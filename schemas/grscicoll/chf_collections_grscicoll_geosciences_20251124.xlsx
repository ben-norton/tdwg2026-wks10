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pia.stieger/Desktop/"/>
    </mc:Choice>
  </mc:AlternateContent>
  <xr:revisionPtr revIDLastSave="0" documentId="13_ncr:1_{1BB6D7B5-1D95-C24F-950C-886955F8D6F0}" xr6:coauthVersionLast="47" xr6:coauthVersionMax="47" xr10:uidLastSave="{00000000-0000-0000-0000-000000000000}"/>
  <bookViews>
    <workbookView xWindow="35460" yWindow="600" windowWidth="42680" windowHeight="23700" activeTab="1" xr2:uid="{00000000-000D-0000-FFFF-FFFF00000000}"/>
  </bookViews>
  <sheets>
    <sheet name="Blatt 1 - CH-collections" sheetId="1" r:id="rId1"/>
    <sheet name="Earth sciences and Paleo" sheetId="3" r:id="rId2"/>
    <sheet name="Earth sciences" sheetId="2" r:id="rId3"/>
    <sheet name="Summary" sheetId="6" r:id="rId4"/>
  </sheets>
  <definedNames>
    <definedName name="_xlnm._FilterDatabase" localSheetId="0" hidden="1">'Blatt 1 - CH-collections'!$A$2:$AT$447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D39" i="6" l="1"/>
  <c r="AD158" i="6"/>
  <c r="AD138" i="6"/>
  <c r="AD134" i="6"/>
  <c r="AD127" i="6"/>
  <c r="AD119" i="6"/>
  <c r="AD108" i="6"/>
  <c r="AD92" i="6"/>
  <c r="AD76" i="6"/>
  <c r="AD64" i="6"/>
  <c r="AF122" i="3"/>
  <c r="AF135" i="3"/>
  <c r="AF132" i="3"/>
  <c r="AF118" i="3"/>
  <c r="AF115" i="3"/>
  <c r="AF112" i="3"/>
  <c r="AF108" i="3"/>
  <c r="AF103" i="3"/>
  <c r="AF101" i="3"/>
  <c r="AF93" i="3"/>
  <c r="AF71" i="3"/>
  <c r="AF66" i="3"/>
  <c r="AF57" i="3"/>
  <c r="AF53" i="3"/>
  <c r="AF24" i="3"/>
  <c r="AF20" i="3"/>
  <c r="AF17" i="3"/>
  <c r="AF15" i="3"/>
  <c r="AF6" i="3"/>
  <c r="AF4" i="3"/>
  <c r="AF448" i="1"/>
  <c r="AF447" i="1"/>
  <c r="AF59" i="2"/>
  <c r="C26" i="6" l="1"/>
  <c r="AF139" i="3"/>
  <c r="AF137" i="3"/>
  <c r="AF138" i="3"/>
</calcChain>
</file>

<file path=xl/sharedStrings.xml><?xml version="1.0" encoding="utf-8"?>
<sst xmlns="http://schemas.openxmlformats.org/spreadsheetml/2006/main" count="16405" uniqueCount="4084">
  <si>
    <t>CH-collections</t>
  </si>
  <si>
    <t>key</t>
  </si>
  <si>
    <t>code</t>
  </si>
  <si>
    <t>name</t>
  </si>
  <si>
    <t>description</t>
  </si>
  <si>
    <t>country</t>
  </si>
  <si>
    <t>city</t>
  </si>
  <si>
    <t>province</t>
  </si>
  <si>
    <t>content_types</t>
  </si>
  <si>
    <t>active</t>
  </si>
  <si>
    <t>personal_collection</t>
  </si>
  <si>
    <t>doi</t>
  </si>
  <si>
    <t>email</t>
  </si>
  <si>
    <t>phone</t>
  </si>
  <si>
    <t>homepage</t>
  </si>
  <si>
    <t>catalog_url</t>
  </si>
  <si>
    <t>api_url</t>
  </si>
  <si>
    <t>preservation_types</t>
  </si>
  <si>
    <t>accession_status</t>
  </si>
  <si>
    <t>institution_name</t>
  </si>
  <si>
    <t>institution_code</t>
  </si>
  <si>
    <t>institution_key</t>
  </si>
  <si>
    <t>mailing_address</t>
  </si>
  <si>
    <t>address</t>
  </si>
  <si>
    <t>created_by</t>
  </si>
  <si>
    <t>modified_by</t>
  </si>
  <si>
    <t>created</t>
  </si>
  <si>
    <t>modified</t>
  </si>
  <si>
    <t>deleted</t>
  </si>
  <si>
    <t>tags</t>
  </si>
  <si>
    <t>identifiers</t>
  </si>
  <si>
    <t>contactPersons</t>
  </si>
  <si>
    <t>number_specimens</t>
  </si>
  <si>
    <t>machine_tags</t>
  </si>
  <si>
    <t>taxonomic_coverage</t>
  </si>
  <si>
    <t>geographic_coverage</t>
  </si>
  <si>
    <t>notes</t>
  </si>
  <si>
    <t>incorporated_collections</t>
  </si>
  <si>
    <t>alternative_codes</t>
  </si>
  <si>
    <t>comments</t>
  </si>
  <si>
    <t>occurrence_mappings</t>
  </si>
  <si>
    <t>replaced_by</t>
  </si>
  <si>
    <t>featuredImageUrl</t>
  </si>
  <si>
    <t>featuredImageLicense</t>
  </si>
  <si>
    <t>temporalCoverage</t>
  </si>
  <si>
    <t>masterSourceType</t>
  </si>
  <si>
    <t>displayOnNHCPortal</t>
  </si>
  <si>
    <t>8bb6c6a0-450f-4962-a423-3d4f7123883f</t>
  </si>
  <si>
    <t>JBUF-Système</t>
  </si>
  <si>
    <t>Système</t>
  </si>
  <si>
    <t>This area contains around 1,100 species, divided into some 140 families based on modern plant classification. Cultivated species and those from other temperate regions of the planet are displayed alongside native species.</t>
  </si>
  <si>
    <t>CH</t>
  </si>
  <si>
    <t>Fribourg</t>
  </si>
  <si>
    <t>true</t>
  </si>
  <si>
    <t>false</t>
  </si>
  <si>
    <r>
      <rPr>
        <u/>
        <sz val="10"/>
        <color indexed="8"/>
        <rFont val="Helvetica Neue"/>
        <family val="2"/>
      </rPr>
      <t>https://www.unifr.ch/jardin-botanique/fr/visite/secteurs/systeme.html</t>
    </r>
  </si>
  <si>
    <t>Jardin Botanique de l'Université de Fribourg</t>
  </si>
  <si>
    <t>JBUF</t>
  </si>
  <si>
    <t>341f73c9-dfbe-4376-909e-460a37373b7c</t>
  </si>
  <si>
    <t>Chemin du Musée 10 Fribourg Fribourg 1700 Switzerland</t>
  </si>
  <si>
    <t>mgrosjean</t>
  </si>
  <si>
    <t>sofiawyler</t>
  </si>
  <si>
    <t>2024-09-23T13:49:27.658Z</t>
  </si>
  <si>
    <t>2024-09-24T12:11:20.940Z</t>
  </si>
  <si>
    <r>
      <rPr>
        <u/>
        <sz val="10"/>
        <color indexed="8"/>
        <rFont val="Helvetica Neue"/>
        <family val="2"/>
      </rPr>
      <t>https://www.unifr.ch/jardin-botanique/fr/assets/public/images/galleries/secteurs/systeme.jpg</t>
    </r>
  </si>
  <si>
    <t>UNSPECIFIED</t>
  </si>
  <si>
    <t>GRSCICOLL</t>
  </si>
  <si>
    <t>60e98090-414f-44e8-81fa-7be4827edaef</t>
  </si>
  <si>
    <t>UZH:NMZ-PIM_A</t>
  </si>
  <si>
    <t>Palaeontology: Vertebrates Glarner Schiefer</t>
  </si>
  <si>
    <t>Estimated number of specimens (individual specimens): 396. Formation period: 1708-1988. Geologic period: Oligocene, Rupelian. Estimated number of species: 40. Number of types: 3 (Holo- and Lectotypes: 3,  Syntypes: 0). SCSPS: 9 [Christian Klug, updated 2022-05-03]</t>
  </si>
  <si>
    <t>Zürich</t>
  </si>
  <si>
    <t>Paleontological;VertebrateFossils</t>
  </si>
  <si>
    <r>
      <rPr>
        <u/>
        <sz val="10"/>
        <color indexed="8"/>
        <rFont val="Helvetica Neue"/>
        <family val="2"/>
      </rPr>
      <t>chklug@pim.uzh.ch</t>
    </r>
  </si>
  <si>
    <r>
      <rPr>
        <u/>
        <sz val="10"/>
        <color indexed="8"/>
        <rFont val="Helvetica Neue"/>
        <family val="2"/>
      </rPr>
      <t>https://www.pim.uzh.ch/sammlung/</t>
    </r>
  </si>
  <si>
    <t>StorageIndoors</t>
  </si>
  <si>
    <t>Universität Zürich, Naturhistorisches Museum</t>
  </si>
  <si>
    <t>UZH:NMZ</t>
  </si>
  <si>
    <t>d34bd63f-0472-419a-a13c-2c5430eb875d</t>
  </si>
  <si>
    <t>Naturhistorisches Museum der Universität Zürich, Universität Zürich Zürich CH-8006 Switzerland</t>
  </si>
  <si>
    <t>tschudin</t>
  </si>
  <si>
    <t>2024-09-18T07:22:27.400Z</t>
  </si>
  <si>
    <t>2024-09-18T08:11:59.732Z</t>
  </si>
  <si>
    <t>Vertebrata: Actinopterygii; Elasmobranchi; Testudines; Aves</t>
  </si>
  <si>
    <t>Wirbeltierfossilien aus dem Glarner Schiefer</t>
  </si>
  <si>
    <t>Johann Jakob Scheuchzer</t>
  </si>
  <si>
    <t>Formation period: 1708-1988. Geologic period: Oligocene, Rupelian</t>
  </si>
  <si>
    <t>6f4834f9-2541-4f22-8fa8-dc2cb75f1736</t>
  </si>
  <si>
    <t>UZH:NMZ-BOT_Wet</t>
  </si>
  <si>
    <t>Wet collection</t>
  </si>
  <si>
    <t>Estimated number of specimens (jar): 750. Formation period: 1905-ongoing. Geologic period: Present. Estimated number of species: not reported. Number of types: unknown. SCSPS: 5 [Alexander Kocyan, updated 2022-04-27]</t>
  </si>
  <si>
    <t>Biological;PreservedOrganisms</t>
  </si>
  <si>
    <r>
      <rPr>
        <u/>
        <sz val="10"/>
        <color indexed="8"/>
        <rFont val="Helvetica Neue"/>
        <family val="2"/>
      </rPr>
      <t>alexander.kocyan@botinst.uzh.ch</t>
    </r>
  </si>
  <si>
    <r>
      <rPr>
        <u/>
        <sz val="10"/>
        <color indexed="8"/>
        <rFont val="Helvetica Neue"/>
        <family val="2"/>
      </rPr>
      <t>https://www.botmuseum.uzh.ch/</t>
    </r>
  </si>
  <si>
    <t>SampleFluidPreserved</t>
  </si>
  <si>
    <t>2024-09-16T12:29:44.481Z</t>
  </si>
  <si>
    <t>2024-09-18T08:12:25.612Z</t>
  </si>
  <si>
    <t>Tracheophytes; Bryophytes; Lichenes; Fungi: Angiosperms; gymnosperms; ferns; bryophytes; lichens; fungi</t>
  </si>
  <si>
    <r>
      <rPr>
        <sz val="10"/>
        <color indexed="8"/>
        <rFont val="Helvetica Neue"/>
        <family val="2"/>
      </rPr>
      <t xml:space="preserve">Mittelmeerländer. Nebst vielen einheimischen Schmetterlingen, Käfern und Hautflüglern gehören insbesondere die Fliegen zu unseren Sammlungsbeständen. Der wichtigste Teil davon sind die Taufliegen (Drosophiliden). Schwerpunkt der mehr als 600 Drosophiliden-Arten bilden die Bestände aus der Schweiz und anderen mitteleuropäischen Ländern. Ausserdem gehören umfangreiche Sammlungen aus der Elfenbeinküste, Brasilien und Indien dazu. Geschenkweise sind viele Arten aus Australien, Hawaii und Nordafrika vorhanden. Der wissenschaftliche bedeutendste Teil bildet das Typenmaterial von 266 Arten.  In der Datenbank </t>
    </r>
    <r>
      <rPr>
        <u/>
        <sz val="10"/>
        <color indexed="8"/>
        <rFont val="Helvetica Neue"/>
        <family val="2"/>
      </rPr>
      <t>taxodros.unizh.ch</t>
    </r>
    <r>
      <rPr>
        <sz val="10"/>
        <color indexed="8"/>
        <rFont val="Helvetica Neue"/>
        <family val="2"/>
      </rPr>
      <t xml:space="preserve"> sind von den weltweit mehr als 3500 Drosophiliden-Arten alle Hinweise zur Systematik, Morphologie und Verbreitung interaktiv abrufbar. Diese Datenbank ist einzigartig in der Datenfülle zu sämtlichen Arten.</t>
    </r>
  </si>
  <si>
    <t>Alfred Ernst</t>
  </si>
  <si>
    <t>Formation period: 1905-ongoing</t>
  </si>
  <si>
    <t>daa264de-84ae-465f-9de0-f5826770a1a8</t>
  </si>
  <si>
    <t>UZH:NMZ-ZMZ_DROSO</t>
  </si>
  <si>
    <t>Drosophilidae</t>
  </si>
  <si>
    <t>Estimated number of specimens (individual specimens): 18´000. Formation period: 1805-ongoing. Geologic period: Present. Estimated number of species: 600. Number of types: 266 (Holo- and Lectotypes: 266,  unreported number of Syntypes). SCSPS: 5 [Gerhard Bächli, updated 2018-08-14]</t>
  </si>
  <si>
    <r>
      <rPr>
        <u/>
        <sz val="10"/>
        <color indexed="8"/>
        <rFont val="Helvetica Neue"/>
        <family val="2"/>
      </rPr>
      <t>gerhard.baechli@bluewin.ch</t>
    </r>
  </si>
  <si>
    <r>
      <rPr>
        <u/>
        <sz val="10"/>
        <color indexed="8"/>
        <rFont val="Helvetica Neue"/>
        <family val="2"/>
      </rPr>
      <t>https://www.zm.uzh.ch/de/sammlungen/wissenschaftlichesammlungen.html</t>
    </r>
  </si>
  <si>
    <t>SamplePinned</t>
  </si>
  <si>
    <t>2024-09-16T12:29:43.024Z</t>
  </si>
  <si>
    <t>2024-09-18T08:12:23.100Z</t>
  </si>
  <si>
    <t>Adolph Hans Schultz;Otto Schlaginhaufen</t>
  </si>
  <si>
    <t>Formation period: 1805-ongoing</t>
  </si>
  <si>
    <t>74c46b2d-2a77-4b42-89c1-18c5fd6bda6c</t>
  </si>
  <si>
    <t>UZH:NMZ-ZMZ_INSECTA</t>
  </si>
  <si>
    <t>Insecta total (ohne Drosophilidae)</t>
  </si>
  <si>
    <t>Estimated number of specimens (individual specimens): 50´000. Formation period: 1629-ongoing. Geologic period: Present. Estimated number of species: 3´000. Number of types: unknown. SCSPS: 2 [Martina Schenkel, updated 2018-08-14]</t>
  </si>
  <si>
    <r>
      <rPr>
        <u/>
        <sz val="10"/>
        <color indexed="8"/>
        <rFont val="Helvetica Neue"/>
        <family val="2"/>
      </rPr>
      <t>martina.schenkel@zm.uzh.ch</t>
    </r>
  </si>
  <si>
    <r>
      <rPr>
        <u/>
        <sz val="10"/>
        <color indexed="8"/>
        <rFont val="Helvetica Neue"/>
        <family val="2"/>
      </rPr>
      <t>https://www.aim.uzh.ch/de/collection.html</t>
    </r>
  </si>
  <si>
    <t>SamplePinned;SampleDried;SampleFluidPreserved</t>
  </si>
  <si>
    <t>2024-09-16T12:29:41.618Z</t>
  </si>
  <si>
    <t>2024-09-18T08:12:20.622Z</t>
  </si>
  <si>
    <t>Insecta: Insecta sine Drosophilidae</t>
  </si>
  <si>
    <t>Fish fossils</t>
  </si>
  <si>
    <t>Formation period: 1629-ongoing</t>
  </si>
  <si>
    <t>7c848858-0c09-46e5-91ef-9e0dfe722bd8</t>
  </si>
  <si>
    <t>UZH:NMZ-ZMZ_INVERTEBRATES</t>
  </si>
  <si>
    <t>Invertebrata</t>
  </si>
  <si>
    <t>Estimated number of specimens (individual specimens): 10´000. Formation period: 1629-ongoing. Geologic period: Present. Estimated number of species: 715. Number of types: unknown. SCSPS: 2; 3 [Martina Schenkel, updated 2018-08-14]</t>
  </si>
  <si>
    <t>SampleDried;SampleFluidPreserved</t>
  </si>
  <si>
    <t>2024-09-16T12:29:40.181Z</t>
  </si>
  <si>
    <t>2024-09-18T08:12:18.836Z</t>
  </si>
  <si>
    <t>ab197054-1a77-456c-8d16-dd9d235e42fc</t>
  </si>
  <si>
    <t>UZH:NMZ-ZMZ_MOLL</t>
  </si>
  <si>
    <t>Molluskensammlung total</t>
  </si>
  <si>
    <t>Estimated number of specimens (individual specimens): 400´000. Formation period: 1629-ongoing. Geologic period: Present. Estimated number of species: 24´000. Number of types: 371 (Holo- and Lectotypes: 371,  unreported number of Syntypes). SCSPS: 5 [Martina Schenkel, updated 2018-08-14]</t>
  </si>
  <si>
    <t>SampleDried</t>
  </si>
  <si>
    <t>2024-09-16T12:29:38.762Z</t>
  </si>
  <si>
    <t>2024-09-18T08:12:16.584Z</t>
  </si>
  <si>
    <t>Mollusca</t>
  </si>
  <si>
    <t>c62f1d2c-7d5a-4f10-97e2-0114b63d331c</t>
  </si>
  <si>
    <t>UZH:NMZ-ZMZ_AMPHIBIA</t>
  </si>
  <si>
    <t>Amphibia</t>
  </si>
  <si>
    <t>Estimated number of specimens (individual specimens): 1´500. Formation period: 1629-ongoing. Geologic period: Present. Estimated number of species: 160. Number of types: unknown. SCSPS: 8 [Martina Schenkel, updated 2018-08-14]</t>
  </si>
  <si>
    <t>SampleSurfaceCoating;SampleFluidPreserved;SampleSkeletonized</t>
  </si>
  <si>
    <t>2024-09-16T12:29:37.340Z</t>
  </si>
  <si>
    <t>2024-09-18T08:12:14.744Z</t>
  </si>
  <si>
    <t>Anura</t>
  </si>
  <si>
    <t>5cd05e19-30b8-4f4e-ba6e-7c1a66f645b4</t>
  </si>
  <si>
    <t>UZH:NMZ-ZMZ_AVES</t>
  </si>
  <si>
    <t>Aves</t>
  </si>
  <si>
    <t>Estimated number of specimens (individual specimens): 13´800. Formation period: 1629-ongoing. Geologic period: Present. Estimated number of species: 3´300. Number of types: unknown. SCSPS: 8 [Martina Schenkel, updated 2018-08-14]</t>
  </si>
  <si>
    <t>SampleDried;SampleFluidPreserved;SampleSurfaceCoating;SampleSkeletonized</t>
  </si>
  <si>
    <t>2024-09-16T12:29:35.925Z</t>
  </si>
  <si>
    <t>2024-09-18T08:12:13.230Z</t>
  </si>
  <si>
    <t>296f6d36-94ae-4327-90fd-ffd3d65a0cfe</t>
  </si>
  <si>
    <t>UZH:NMZ-ZMZ_MAMMALIA</t>
  </si>
  <si>
    <t>Mammalia</t>
  </si>
  <si>
    <t>Estimated number of specimens (individual specimens): 14´970. Formation period: 1629-ongoing. Geologic period: Present. Estimated number of species: 1´209. Number of types: unknown. SCSPS: 8 [Martina Schenkel, updated 2018-08-14]</t>
  </si>
  <si>
    <t>SampleDried;SampleFluidPreserved;SampleSurfaceCoating;SampleSkeletonized;SampleTanned;StorageRefrigerated</t>
  </si>
  <si>
    <t>2024-09-16T12:29:34.486Z</t>
  </si>
  <si>
    <t>2024-09-18T08:12:11.758Z</t>
  </si>
  <si>
    <t>f03daac1-0de7-4343-96f8-7109f9126775</t>
  </si>
  <si>
    <t>UZH:NMZ-ZMZ_PISCES</t>
  </si>
  <si>
    <t>Pisces</t>
  </si>
  <si>
    <t>Estimated number of specimens (individual specimens): 1´800. Formation period: 1629-ongoing. Geologic period: Present. Estimated number of species: 600. Number of types: 1 (Holo- and Lectotypes: 1,  unreported number of Syntypes). SCSPS: 8 [Martina Schenkel, updated 2018-08-14]</t>
  </si>
  <si>
    <t>2024-09-16T12:29:33.027Z</t>
  </si>
  <si>
    <t>2024-09-18T08:12:10.331Z</t>
  </si>
  <si>
    <t>Chordata: Pisces</t>
  </si>
  <si>
    <t>6705db50-08d5-43c7-9b2b-d56a6eae29b0</t>
  </si>
  <si>
    <t>UZH:NMZ-ZMZ_REPTILIA</t>
  </si>
  <si>
    <t>Reptilia</t>
  </si>
  <si>
    <t>Estimated number of specimens: 4´036. Formation period: 1629-ongoing. Geologic period: Present. Estimated number of species: 600. Number of types: unknown. SCSPS: 8 [Martina Schenkel, updated 2018-08-14]</t>
  </si>
  <si>
    <t>2024-09-16T12:29:31.575Z</t>
  </si>
  <si>
    <t>2024-09-18T08:12:08.789Z</t>
  </si>
  <si>
    <t>038d63d8-02e2-406b-a40e-7e9021f66ca3</t>
  </si>
  <si>
    <t>UZH:NMZ-PIM_A/I</t>
  </si>
  <si>
    <t>Palaeontology: Fish</t>
  </si>
  <si>
    <t>Estimated number of specimens (individual specimens): 5´100. Formation period: 1851-ongoing. Geologic period: Silurian-Holocene. Estimated number of species: 814. Number of types: 55 (Holo- and Lectotypes: 54,  Syntypes: 1). SCSPS: 5 (for type specimens SCSPS: 8) [Gabriel Aguirre, updated 2022-05-05]</t>
  </si>
  <si>
    <r>
      <rPr>
        <u/>
        <sz val="10"/>
        <color indexed="8"/>
        <rFont val="Helvetica Neue"/>
        <family val="2"/>
      </rPr>
      <t>gabriel.aguirre@pim.uzh.ch</t>
    </r>
  </si>
  <si>
    <t>2024-09-16T12:29:30.085Z</t>
  </si>
  <si>
    <t>2024-09-18T08:12:04.241Z</t>
  </si>
  <si>
    <t>Gnathostomata: Chondrichtyes; Osteichtyes</t>
  </si>
  <si>
    <t>Formation period: 1851-ongoing. Geologic period: Silurian-Holocene</t>
  </si>
  <si>
    <t>dc8bc597-f14e-4548-bd90-3d9d2362cc8d</t>
  </si>
  <si>
    <t>UZH:NMZ-PIM_A/II</t>
  </si>
  <si>
    <t>Palaeontology: Amphibians</t>
  </si>
  <si>
    <t>Estimated number of specimens (individual specimens): 133. Formation period: 1825-ongoing. Geologic period: Pennsylvanian-Holocene. Estimated number of species: 54. Number of types: 4 (Holo- and Lectotypes: 4,  Syntypes: 0). SCSPS: 5 (for type specimens SCSPS: 8) [Gabriel Aguirre, updated 2022-05-05]</t>
  </si>
  <si>
    <t>2024-09-16T12:29:28.557Z</t>
  </si>
  <si>
    <t>2024-09-18T08:12:07.249Z</t>
  </si>
  <si>
    <t>Amphibian fossils</t>
  </si>
  <si>
    <t>Formation period: 1825-ongoing. Geologic period: Pennsylvanian-Holocene</t>
  </si>
  <si>
    <t>17bdfc14-3f6c-4c90-bde8-5756376d256f</t>
  </si>
  <si>
    <t>UZH:NMZ-PIM_A/III</t>
  </si>
  <si>
    <t>Palaeontology: Reptiles</t>
  </si>
  <si>
    <t>Estimated number of specimens (individual specimens): 5´194. Formation period: 1754-ongoing. Geologic period: Cisuralian-Holocene. Estimated number of species: 314. Number of types: 24 (Holo- and Lectotypes: 24,  Syntypes: 0). SCSPS: 5 (for type specimens SCSPS: 8) [Gabriel Aguirre, updated 2022-05-05]</t>
  </si>
  <si>
    <t>2024-09-16T12:29:27.115Z</t>
  </si>
  <si>
    <t>2024-09-18T08:12:01.196Z</t>
  </si>
  <si>
    <t>Amniota: Crocodylia; Sphenodontia; Squamata; Testudines</t>
  </si>
  <si>
    <t>Reptile fossils</t>
  </si>
  <si>
    <t>Formation period: 1754-ongoing. Geologic period: Cisuralian-Holocene</t>
  </si>
  <si>
    <t>2945cd42-c3af-473f-b5cb-d44b3761fc75</t>
  </si>
  <si>
    <t>UZH:NMZ-PIM_A/IV</t>
  </si>
  <si>
    <t>Palaeontology: Birds</t>
  </si>
  <si>
    <t>Estimated number of specimens (individual specimens): 249. Formation period: 1838-ongoing. Geologic period: Tithonian-Holocene. Estimated number of species: 68. Number of types: 2 (Holo- and Lectotypes: 2,  Syntypes: 0). SCSPS: 5 (for type specimens SCSPS: 8) [Gabriel Aguirre, updated 2022-05-05]</t>
  </si>
  <si>
    <t>2024-09-16T12:29:25.642Z</t>
  </si>
  <si>
    <t>2024-09-18T08:12:05.766Z</t>
  </si>
  <si>
    <t>Bird fossils</t>
  </si>
  <si>
    <t>Formation period: 1838-ongoing. Geologic period: Tithonian-Holocene</t>
  </si>
  <si>
    <t>fab9e67d-a793-44b9-9e0f-47e40fef13f7</t>
  </si>
  <si>
    <t>UZH:NMZ-PIM_A/V</t>
  </si>
  <si>
    <t>Palaeontology: Mammals</t>
  </si>
  <si>
    <t>Estimated number of specimens (individual specimens): 6´068. Formation period: 1836-ongoing. Geologic period: Lower Jurassic-Holocene. Estimated number of species: 854. Number of types: 28 (Holo- and Lectotypes: 28,  Syntypes: 0). SCSPS: 5 (for type specimens SCSPS: 8) [Gabriel Aguirre, updated 2022-05-05]</t>
  </si>
  <si>
    <t>2024-09-16T12:29:24.155Z</t>
  </si>
  <si>
    <t>2024-09-18T08:12:02.701Z</t>
  </si>
  <si>
    <t>Mammal fossils</t>
  </si>
  <si>
    <t>Formation period: 1836-ongoing. Geologic period: Lower Jurassic-Holocene</t>
  </si>
  <si>
    <t>1ef5ac89-2772-4eb3-843b-61c7cc805222</t>
  </si>
  <si>
    <t>UZH:NMZ-PIM_T</t>
  </si>
  <si>
    <t>Palaeontology: Vertebrates Triassic Ticino</t>
  </si>
  <si>
    <t>Estimated number of specimens (individual specimens): 6´017. Formation period: 1853-ongoing. Geologic period: Anisian-Ladinian. Estimated number of species: 149. Number of types: 107 (Holo- and Lectotypes: 104,  Syntypes: 3). SCSPS: 5 (for type specimens SCSPS: 8) [Gabriel Aguirre, updated 2022-05-05]</t>
  </si>
  <si>
    <t>2024-09-16T12:29:22.661Z</t>
  </si>
  <si>
    <t>2024-09-18T08:11:58.247Z</t>
  </si>
  <si>
    <t>Gnathostomata: Osteichtyes; Ichtyosauria; Tanystropheidae; Pachypleurosauridae</t>
  </si>
  <si>
    <t>Vertebrates Triassic Ticin fossils</t>
  </si>
  <si>
    <t>Formation period: 1853-ongoing. Geologic period: Anisian-Ladinian</t>
  </si>
  <si>
    <t>cffa060a-3175-4abe-9936-87c43c3ef372</t>
  </si>
  <si>
    <t>UZH:NMZ-PIM_A/VI</t>
  </si>
  <si>
    <t>Palaeontology: Plants</t>
  </si>
  <si>
    <t>Estimated number of specimens (individual specimens): 166. Formation period: 1937-ongoing. Geologic period: Carboniferous-Holocene. Estimated number of species: 28. Number of types: 0. SCSPS: 5 [Gabriel Aguirre, updated 2022-05-05]</t>
  </si>
  <si>
    <t>Paleontological;PlantFossils</t>
  </si>
  <si>
    <t>2024-09-16T12:29:21.185Z</t>
  </si>
  <si>
    <t>2024-09-18T08:11:56.730Z</t>
  </si>
  <si>
    <t>Plantae</t>
  </si>
  <si>
    <t>Plant fossils</t>
  </si>
  <si>
    <t>Formation period: 1937-ongoing. Geologic period: Carboniferous-Holocene</t>
  </si>
  <si>
    <t>86930322-36ae-4a2b-878a-69a44b53c0fc</t>
  </si>
  <si>
    <t>UZH:NMZ-PIM_INV</t>
  </si>
  <si>
    <t>Palaeontology: Invertebrates</t>
  </si>
  <si>
    <t>Estimated number of specimens (individual specimens): 38´000. Formation period: 1657-ongoing. Geologic period: Paleoproterozoic-Holocene. Estimated number of species: 8´513. Number of types: 506 (Holo- and Lectotypes: 492,  Syntypes: 14). SCSPS: 5 (for type specimens SCSPS: 7) [Gabriel Aguirre, updated 2022-05-05]</t>
  </si>
  <si>
    <t>Paleontological;InvertebrateFossils</t>
  </si>
  <si>
    <t>2024-09-16T12:29:19.712Z</t>
  </si>
  <si>
    <t>2024-09-18T08:11:55.240Z</t>
  </si>
  <si>
    <t>Primates</t>
  </si>
  <si>
    <t>Invertebrate fossils</t>
  </si>
  <si>
    <t>Formation period: 1657-ongoing. Geologic period: Paleoproterozoic-Holocene</t>
  </si>
  <si>
    <t>30b00828-2c7e-41e8-819d-8ee45329b7d5</t>
  </si>
  <si>
    <t>UZH:NMZ-AIM</t>
  </si>
  <si>
    <t>Anthropological Institute and Museum</t>
  </si>
  <si>
    <t>Estimated number of specimens (individual specimens): 15´500. Formation period: 1899-ongoing. Geologic period: Holocene. Estimated number of species: 300. Number of types: 1. SCSPS: 7 (for type specimens SCSPS: 8) [Colin Shaw, updated 2022-07-21]</t>
  </si>
  <si>
    <r>
      <rPr>
        <u/>
        <sz val="10"/>
        <color indexed="8"/>
        <rFont val="Helvetica Neue"/>
        <family val="2"/>
      </rPr>
      <t>collection@aim.uzh.ch</t>
    </r>
  </si>
  <si>
    <t>SampleSkeletonized;StorageOther;SampleDried;SamplePressed;SampleOther</t>
  </si>
  <si>
    <t>2024-09-16T12:29:18.239Z</t>
  </si>
  <si>
    <t>2024-09-18T08:11:53.472Z</t>
  </si>
  <si>
    <t>The collections curated by the AIM at the University of Zurich are significant, having grown over the past 150-years, and now include approximately 15,500 items. The vast majority of the collection is made up of human and non-human primate skeletal remains from across the globe, but also fossils, hominin and hominoid casts, mummies, cadavers, and hair and skin samples. This includes the entirety of the human remains contained in the archaeological collection of Canton of Zurich. Additionally, the collection includes rich archival material associated with the remains. The collection as a whole is a tremendous resource, for both its scientific – over the last decade alone hundreds of academics from all over the world have been granted access – and historic value.</t>
  </si>
  <si>
    <t>Formation period: 1899-ongoing. Geologic period: Holocene</t>
  </si>
  <si>
    <t>ef39ae18-2eec-4f99-a9ff-d68e2bc4b43b</t>
  </si>
  <si>
    <t>UZH:NMZ-BOT_Bulk</t>
  </si>
  <si>
    <t>Bulk Collection</t>
  </si>
  <si>
    <t>Estimated number of specimens (individual specimens): 40´000. Formation period: 1895-ongoing. Geologic period: Present. Estimated number of species: not reported. Number of types: unknown. SCSPS: 5 [Alexander Kocyan, updated 2022-04-29]</t>
  </si>
  <si>
    <t>2024-09-16T12:29:16.769Z</t>
  </si>
  <si>
    <t>2024-09-18T08:12:27.901Z</t>
  </si>
  <si>
    <t>Hans Schinz;Alfred Ernst;Carl Schröter;Martin Rikli;Albert Ulrich Däniker</t>
  </si>
  <si>
    <t>Formation period: 1895-ongoing</t>
  </si>
  <si>
    <t>0cbb9392-2a9f-4529-9b22-42e9daed2e63</t>
  </si>
  <si>
    <t>WSL-Lichens</t>
  </si>
  <si>
    <t>Lichenological collection</t>
  </si>
  <si>
    <t>Estimated number of specimens (individual specimens): 18´000. Formation period: 1978-ongoing. Geologic period: Present. Estimated number of species: 2´350. Number of types: unknown. SCSPS: not reported [Anonymous, Assessment date not reported]</t>
  </si>
  <si>
    <t>Birmensdorf</t>
  </si>
  <si>
    <t>Biological;PreservedOrganisms;MolecularDerivates</t>
  </si>
  <si>
    <r>
      <rPr>
        <u/>
        <sz val="10"/>
        <color indexed="8"/>
        <rFont val="Helvetica Neue"/>
        <family val="2"/>
      </rPr>
      <t>daniel.rigling@wsl.ch</t>
    </r>
    <r>
      <rPr>
        <sz val="10"/>
        <color indexed="8"/>
        <rFont val="Helvetica Neue"/>
        <family val="2"/>
      </rPr>
      <t>;</t>
    </r>
    <r>
      <rPr>
        <u/>
        <sz val="10"/>
        <color indexed="8"/>
        <rFont val="Helvetica Neue"/>
        <family val="2"/>
      </rPr>
      <t>carolina.cornejo@wsl.ch</t>
    </r>
  </si>
  <si>
    <t>SampleDried;StorageFrozenMinus20</t>
  </si>
  <si>
    <t>Swiss Federal Institute for Forest, Snow and Landscape Research</t>
  </si>
  <si>
    <t>WSL</t>
  </si>
  <si>
    <t>4863fe5a-e375-4770-978c-226201546980</t>
  </si>
  <si>
    <t>Eidg. Forschungsanstalt für Wald, Schnee und Landschaft, Zürcherstrasse 111 Birmensdorf CH-8903 Switzerland</t>
  </si>
  <si>
    <t>2024-09-04T06:50:01.882Z</t>
  </si>
  <si>
    <t>Lichen</t>
  </si>
  <si>
    <t>WSL Herbarium</t>
  </si>
  <si>
    <t>C. Scheidegger</t>
  </si>
  <si>
    <t>Formation period: 1978-ongoing</t>
  </si>
  <si>
    <t>a2769560-2779-47aa-a60e-916032e46637</t>
  </si>
  <si>
    <t>WSL-PHPCC</t>
  </si>
  <si>
    <t>Fungi collection</t>
  </si>
  <si>
    <t>Estimated number of specimens (individual specimens in microtubes): 10´300. Formation period: 1950-ongoing. Geologic period: Present. Estimated number of species: 115. Number of types: unknown. SCSPS: 8 [Daniel Rigling, Assessment date not reported]</t>
  </si>
  <si>
    <t>Biological;LivingCellOrTissueCultures</t>
  </si>
  <si>
    <t>StorageFrozenMinus80</t>
  </si>
  <si>
    <t>2024-09-04T06:50:00.388Z</t>
  </si>
  <si>
    <t>Fungi</t>
  </si>
  <si>
    <t>Daniel Rigling</t>
  </si>
  <si>
    <t>Formation period: 1950-ongoing</t>
  </si>
  <si>
    <t>67a48acb-1d27-4121-b2d6-9990a073477e</t>
  </si>
  <si>
    <t>WSL-Vascular_plants</t>
  </si>
  <si>
    <t>Vascular plants</t>
  </si>
  <si>
    <t>Estimated number of specimens (individual specimens): 50´000. Formation period: 1820-1980. Geologic period: Present. Estimated number of species: 3´000. Number of types: unknown. SCSPS: 4; 5 [Thomas Wohlgemuth, updated 2021-11-22]</t>
  </si>
  <si>
    <r>
      <rPr>
        <u/>
        <sz val="10"/>
        <color indexed="8"/>
        <rFont val="Helvetica Neue"/>
        <family val="2"/>
      </rPr>
      <t>thomas.wohlgemuth@wsl.ch</t>
    </r>
  </si>
  <si>
    <t>Zürcherstrasse 111 Birmensdorf CH-8903 Switzerland</t>
  </si>
  <si>
    <t>2024-09-04T06:49:58.894Z</t>
  </si>
  <si>
    <t>Tracheophyta: Vascular plants</t>
  </si>
  <si>
    <t>Ernst Furrer;Walte Nägeli;Herb. Bourgeois;Herb. Deschwanden;Herb. Siefried;H. Etter;Gitzwiler;Ruben Sutter;H. Badoux;Koch</t>
  </si>
  <si>
    <t>Formation period: 1820-1980</t>
  </si>
  <si>
    <t>667a284b-95b4-40b8-84f4-2ae5243ae149</t>
  </si>
  <si>
    <t>WSL-Fauna</t>
  </si>
  <si>
    <t>Entomological collection</t>
  </si>
  <si>
    <t>Estimated number of specimens (individual specimens): 10´000´000. Formation period: 1975-ongoing. Geologic period: Present. Estimated number of species: 4´000. Number of types: unknown. SCSPS: 2 [Martin Obrist, Assessment date not reported]</t>
  </si>
  <si>
    <t>PreservedOrganisms;Biological;LivingCellOrTissueCultures</t>
  </si>
  <si>
    <r>
      <rPr>
        <u/>
        <sz val="10"/>
        <color indexed="8"/>
        <rFont val="Helvetica Neue"/>
        <family val="2"/>
      </rPr>
      <t>martin.obrist@wsl.ch</t>
    </r>
  </si>
  <si>
    <t>2024-09-04T06:49:57.443Z</t>
  </si>
  <si>
    <t>Arthropoda</t>
  </si>
  <si>
    <r>
      <rPr>
        <sz val="10"/>
        <color indexed="8"/>
        <rFont val="Helvetica Neue"/>
        <family val="2"/>
      </rPr>
      <t xml:space="preserve">Peter Duelli;Beat Wermelinger (1957) </t>
    </r>
    <r>
      <rPr>
        <u/>
        <sz val="10"/>
        <color indexed="8"/>
        <rFont val="Helvetica Neue"/>
        <family val="2"/>
      </rPr>
      <t>https://viaf.org/viaf/17146937722713830750;Marco</t>
    </r>
    <r>
      <rPr>
        <sz val="10"/>
        <color indexed="8"/>
        <rFont val="Helvetica Neue"/>
        <family val="2"/>
      </rPr>
      <t xml:space="preserve"> Moretti (1951) </t>
    </r>
    <r>
      <rPr>
        <u/>
        <sz val="10"/>
        <color indexed="8"/>
        <rFont val="Helvetica Neue"/>
        <family val="2"/>
      </rPr>
      <t>https://www.researchgate.net/profile/Marco_Moretti2;Martin</t>
    </r>
    <r>
      <rPr>
        <sz val="10"/>
        <color indexed="8"/>
        <rFont val="Helvetica Neue"/>
        <family val="2"/>
      </rPr>
      <t xml:space="preserve"> Gossner;Martin Obrist</t>
    </r>
  </si>
  <si>
    <t>Formation period: 1975-ongoing</t>
  </si>
  <si>
    <t>94faf1fb-9633-4431-bc13-6404e1db1989</t>
  </si>
  <si>
    <t>UZH:IEM-Dahlheim_Coll</t>
  </si>
  <si>
    <t>Dahlheim Collection</t>
  </si>
  <si>
    <t>Estimated number of specimens (skeletons): 151. Formation period: not reported. Geologic period: Present. Estimated number of species: 1. Number of types: 0. SCSPS: not reported [Martin Häusler, Sabina Carraro, Assessment date not reported]</t>
  </si>
  <si>
    <t>8057 Zürich</t>
  </si>
  <si>
    <r>
      <rPr>
        <u/>
        <sz val="10"/>
        <color indexed="8"/>
        <rFont val="Helvetica Neue"/>
        <family val="2"/>
      </rPr>
      <t>martin.haeusler@iem.uzh.ch</t>
    </r>
  </si>
  <si>
    <r>
      <rPr>
        <u/>
        <sz val="10"/>
        <color indexed="8"/>
        <rFont val="Helvetica Neue"/>
        <family val="2"/>
      </rPr>
      <t>https://www.iem.uzh.ch/en/museum_collections/humanremains.html</t>
    </r>
  </si>
  <si>
    <t>SampleSkeletonized</t>
  </si>
  <si>
    <t>Universität Zürich, Institute of Evolutionary Medicine</t>
  </si>
  <si>
    <t>UZH:IEM</t>
  </si>
  <si>
    <t>6bc72849-0b52-481b-a64f-4d7778469cdf</t>
  </si>
  <si>
    <t>Winterthuerrstr 190 8057 Zürich CH-8057 Switzerland</t>
  </si>
  <si>
    <t>2024-09-04T06:45:25.992Z</t>
  </si>
  <si>
    <t>Homo sapiens</t>
  </si>
  <si>
    <t>Ernst Galler</t>
  </si>
  <si>
    <t>Formation period: not reported</t>
  </si>
  <si>
    <t>53bee316-2eea-4eaf-9225-80457ffa09d6</t>
  </si>
  <si>
    <t>UZH:IEM-DrySpecFor</t>
  </si>
  <si>
    <t>Forensic Dry Specimens</t>
  </si>
  <si>
    <t>Estimated number of specimens (bones): 150. Formation period: not reported. Geologic period: Present. Estimated number of species: 1. Number of types: 0. SCSPS: not reported [Martin Häusler, Sabina Carraro, Assessment date not reported]</t>
  </si>
  <si>
    <t>2024-09-04T06:45:24.546Z</t>
  </si>
  <si>
    <t>e989add6-6203-4d59-adec-4df43bb68388</t>
  </si>
  <si>
    <t>UZH:IEM-Galler_Coll</t>
  </si>
  <si>
    <t>Galler Collection</t>
  </si>
  <si>
    <t>Estimated number of specimens (skeletons and bones): 1´700. Formation period: not reported. Geologic period: Present. Estimated number of species: 1. Number of types: 0. SCSPS: not reported [Martin Häusler, Sabina Carraro, Assessment date not reported]</t>
  </si>
  <si>
    <t>2024-09-04T06:45:23.092Z</t>
  </si>
  <si>
    <t>30b53c86-0e5d-4080-be68-d3ca3d46791c</t>
  </si>
  <si>
    <t>UZH:IEM-General_Coll</t>
  </si>
  <si>
    <t>General Collection</t>
  </si>
  <si>
    <t>Estimated number of specimens (skeletons and bones): 150. Formation period: not reported. Geologic period: Present. Estimated number of species: 1. Number of types: 0. SCSPS: not reported [Martin Häusler, Sabina Carraro, Assessment date not reported]</t>
  </si>
  <si>
    <t>2024-09-04T06:45:21.682Z</t>
  </si>
  <si>
    <t>3e0727a1-a73d-4639-b54d-a1750dbc5d39</t>
  </si>
  <si>
    <t>UZH:IEM-Med_Hist_Coll</t>
  </si>
  <si>
    <t>Former Medical History Collection</t>
  </si>
  <si>
    <t>Estimated number of specimens (skeletons and bones): 250. Formation period: not reported. Geologic period: Present. Estimated number of species: 1. Number of types: 0. SCSPS: not reported [Martin Häusler, Sabina Carraro, Assessment date not reported]</t>
  </si>
  <si>
    <t>2024-09-04T06:45:20.260Z</t>
  </si>
  <si>
    <t>c06f43ca-22ef-468c-a17a-827dcf10d3ac</t>
  </si>
  <si>
    <t>UZH:IEM-Mummies</t>
  </si>
  <si>
    <t>Mummies</t>
  </si>
  <si>
    <t>Estimated number of specimens (mummies): 9. Formation period: not reported. Geologic period: Present. Estimated number of species: 1. Number of types: 0. SCSPS: not reported [Martin Häusler, Sabina Carraro, Assessment date not reported]</t>
  </si>
  <si>
    <t>2024-09-04T06:45:18.794Z</t>
  </si>
  <si>
    <t>95aa3c7e-935e-4fb5-b916-e11b55fef119</t>
  </si>
  <si>
    <t>UZH:IEM-Refrig</t>
  </si>
  <si>
    <t>Refrigerated samples</t>
  </si>
  <si>
    <t>Estimated number of specimens (tissue): 50. Formation period: not reported. Geologic period: Present. Estimated number of species: 1. Number of types: 0. SCSPS: not reported [Martin Häusler, Sabina Carraro, Assessment date not reported]</t>
  </si>
  <si>
    <t>StorageRefrigerated</t>
  </si>
  <si>
    <t>2024-09-04T06:45:17.328Z</t>
  </si>
  <si>
    <t>95fb0fa2-4834-43b2-9b34-444bebb503f5</t>
  </si>
  <si>
    <t>UZH:IEM-Swiss_Army_Coll</t>
  </si>
  <si>
    <t>Swiss Army Collection</t>
  </si>
  <si>
    <t>Estimated number of specimens (teaching models): 10. Formation period: not reported. Geologic period: Present. Estimated number of species: 1. Number of types: 0. SCSPS: not reported [Martin Häusler, Sabina Carraro, Assessment date not reported]</t>
  </si>
  <si>
    <t>SampleOther</t>
  </si>
  <si>
    <t>2024-09-04T06:45:15.878Z</t>
  </si>
  <si>
    <t>ad025f6e-31be-43b3-af64-c146959114f5</t>
  </si>
  <si>
    <t>UZH:IEM-Teaching_Coll</t>
  </si>
  <si>
    <t>Teaching Collection</t>
  </si>
  <si>
    <t>Estimated number of specimens (skeletons and bones): 200. Formation period: not reported. Geologic period: Present. Estimated number of species: 1. Number of types: 0. SCSPS: not reported [Martin Häusler, Sabina Carraro, Assessment date not reported]</t>
  </si>
  <si>
    <t>2024-09-04T06:45:14.387Z</t>
  </si>
  <si>
    <t>499bcc0c-07c0-4ac9-bd25-07181780daf6</t>
  </si>
  <si>
    <t>UZH:IEM-WetSpec</t>
  </si>
  <si>
    <t>Wet Specimens</t>
  </si>
  <si>
    <t>Estimated number of specimens (wet specimens): 1´800. Formation period: not reported. Geologic period: Present. Estimated number of species: 1. Number of types: 0. SCSPS: not reported [Martin Häusler, Sabina Carraro, Assessment date not reported]</t>
  </si>
  <si>
    <r>
      <rPr>
        <u/>
        <sz val="10"/>
        <color indexed="8"/>
        <rFont val="Helvetica Neue"/>
        <family val="2"/>
      </rPr>
      <t>frank.ruehli@iem.uzh.ch</t>
    </r>
  </si>
  <si>
    <t>2024-09-04T06:45:12.925Z</t>
  </si>
  <si>
    <t>f32d1534-4ac1-4798-bad7-1d6dae571bbc</t>
  </si>
  <si>
    <t>UZH:IEM-HistSlides</t>
  </si>
  <si>
    <t>Histological microscopic slides</t>
  </si>
  <si>
    <t>Estimated number of specimens (histological microscopic slides): 1´200. Formation period: not reported. Geologic period: Present. Estimated number of species: 1. Number of types: 0. SCSPS: not reported [Martin Häusler, Sabina Carraro, Assessment date not reported]</t>
  </si>
  <si>
    <t>Biological</t>
  </si>
  <si>
    <t>SampleSlideMount</t>
  </si>
  <si>
    <t>2024-09-04T06:45:11.465Z</t>
  </si>
  <si>
    <t>89a39580-a091-40d0-a8d8-a01765bb3295</t>
  </si>
  <si>
    <t>UNIBAS:DUW-MZB</t>
  </si>
  <si>
    <t>Makrozoobenthos</t>
  </si>
  <si>
    <t>Estimated number of specimens (individual specimens): 100´000. Formation period: 2012-ongoing. Geologic period: Present. Estimated number of species: 100. Number of types: 0. SCSPS: 5 [Stefanie von Fumetti, updated 2021-10-14]</t>
  </si>
  <si>
    <t>Basel</t>
  </si>
  <si>
    <r>
      <rPr>
        <u/>
        <sz val="10"/>
        <color indexed="8"/>
        <rFont val="Helvetica Neue"/>
        <family val="2"/>
      </rPr>
      <t>stefanie.vonfumetti@unibas.ch</t>
    </r>
  </si>
  <si>
    <r>
      <rPr>
        <u/>
        <sz val="10"/>
        <color indexed="8"/>
        <rFont val="Helvetica Neue"/>
        <family val="2"/>
      </rPr>
      <t>https://www.unibas.ch/de/Universitaet/Administration-Services/Generalsekretariat/Archive-Sammlungen/Wissenschaftliche-Sammlungen/Alphabetisch-sortiert/Buntbarsch-Sammlung.html</t>
    </r>
  </si>
  <si>
    <t>Universität Basel, Departement  Umweltwissenschaften</t>
  </si>
  <si>
    <t>UNIBAS:DUW</t>
  </si>
  <si>
    <t>07f5d226-10ac-44cd-9c61-f13438cd8e79</t>
  </si>
  <si>
    <t>Universität Basel, Dpt. Umweltwissenschaften, Departement Umweltwissenschaften Basel CH-4057 Switzerland</t>
  </si>
  <si>
    <t>2024-09-04T06:37:38.334Z</t>
  </si>
  <si>
    <t>Turbellaria; Gastropoda; Insecta; Crustacea; Acari: Aquat. Invertebrates</t>
  </si>
  <si>
    <t>Referenzsammlung Meio- und  Makrofauna Quellen und Quellbäche Schweizerischer Nationalpark und UNESCO Biosphärenreservat Engadina Val Müstair</t>
  </si>
  <si>
    <t>Stefanie von Fumetti;Susanne Felder;Lucas Blattner;Lisette Kaufmann;Lea Mühlemann;Lukas Forlin;Johanna Kestler;Katrin Althaus;Andri Bandli</t>
  </si>
  <si>
    <t>Formation period: 2012-ongoing</t>
  </si>
  <si>
    <t>ec251b42-a63f-43ce-bb26-f5b7525d859d</t>
  </si>
  <si>
    <t>UNIBAS:DUW-CICHLID</t>
  </si>
  <si>
    <t>Cichlid fishes (Lake Tanganyika)</t>
  </si>
  <si>
    <t>Estimated number of specimens (individual specimens): 3´500. Formation period: 2014-ongoing. Geologic period: Present. Estimated number of species: 250. Number of types: unknown. SCSPS: not reported [Fabrizia Ronco &amp; Walter Salzburger, Assessment date not reported]</t>
  </si>
  <si>
    <r>
      <rPr>
        <u/>
        <sz val="10"/>
        <color indexed="8"/>
        <rFont val="Helvetica Neue"/>
        <family val="2"/>
      </rPr>
      <t>fabrizia.ronco@unibas.ch</t>
    </r>
    <r>
      <rPr>
        <sz val="10"/>
        <color indexed="8"/>
        <rFont val="Helvetica Neue"/>
        <family val="2"/>
      </rPr>
      <t>;</t>
    </r>
    <r>
      <rPr>
        <u/>
        <sz val="10"/>
        <color indexed="8"/>
        <rFont val="Helvetica Neue"/>
        <family val="2"/>
      </rPr>
      <t>walter.salzburger@unibas.ch</t>
    </r>
  </si>
  <si>
    <t>2024-09-04T06:37:36.879Z</t>
  </si>
  <si>
    <t>Cichlidae</t>
  </si>
  <si>
    <t>Tanganjikasee-Buntbarsch-Sammlung</t>
  </si>
  <si>
    <t>Fabrizia Ronco;Adrian Indermaur;Walter Salzburger</t>
  </si>
  <si>
    <t>Formation period: 2014-ongoing</t>
  </si>
  <si>
    <t>71cbe56c-06e4-49c8-a22d-e45013a252eb</t>
  </si>
  <si>
    <t>CJBG-G</t>
  </si>
  <si>
    <t>Cryptogamy &amp; Phanerogamy</t>
  </si>
  <si>
    <t>Estimated number of specimens (dried specimens): 6´351´124. Formation period: 1750-ongoing. Geologic period: Present. Estimated number of species: 293´674. Number of types: 157´074 (Holo- and Lectotypes: 17´549,  unreported number of Syntypes). SCSPS: 6 [Michelle Price, updated 2022-04-01]</t>
  </si>
  <si>
    <t>Geneva</t>
  </si>
  <si>
    <r>
      <rPr>
        <u/>
        <sz val="10"/>
        <color indexed="8"/>
        <rFont val="Helvetica Neue"/>
        <family val="2"/>
      </rPr>
      <t>herb-phanero.cjb@ville-ge.ch</t>
    </r>
    <r>
      <rPr>
        <sz val="10"/>
        <color indexed="8"/>
        <rFont val="Helvetica Neue"/>
        <family val="2"/>
      </rPr>
      <t>;</t>
    </r>
    <r>
      <rPr>
        <u/>
        <sz val="10"/>
        <color indexed="8"/>
        <rFont val="Helvetica Neue"/>
        <family val="2"/>
      </rPr>
      <t>herb-crypto.cjb@ville-ge.ch</t>
    </r>
  </si>
  <si>
    <r>
      <rPr>
        <u/>
        <sz val="10"/>
        <color indexed="8"/>
        <rFont val="Helvetica Neue"/>
        <family val="2"/>
      </rPr>
      <t>https://www.cjbg.ch/fr/collections/herbiers</t>
    </r>
  </si>
  <si>
    <t>Conservatoire et Jardin botaniques de Genève</t>
  </si>
  <si>
    <t>CJBG</t>
  </si>
  <si>
    <t>d200fcbc-972e-4488-bcb6-eaa47209148d</t>
  </si>
  <si>
    <t>CJBG, Chemin de l'Impératrice 1 Geneva CH-1292 Switzerland</t>
  </si>
  <si>
    <t>2024-09-04T06:19:40.503Z</t>
  </si>
  <si>
    <t>2024-10-16T08:29:36.394Z</t>
  </si>
  <si>
    <r>
      <rPr>
        <sz val="10"/>
        <color indexed="8"/>
        <rFont val="Helvetica Neue"/>
        <family val="2"/>
      </rPr>
      <t xml:space="preserve">Martin Callmander </t>
    </r>
    <r>
      <rPr>
        <u/>
        <sz val="10"/>
        <color indexed="8"/>
        <rFont val="Helvetica Neue"/>
        <family val="2"/>
      </rPr>
      <t>martin.callmander@geneve.ch</t>
    </r>
    <r>
      <rPr>
        <sz val="10"/>
        <color indexed="8"/>
        <rFont val="Helvetica Neue"/>
        <family val="2"/>
      </rPr>
      <t xml:space="preserve"> Curator creator;Cyrille Chatelain </t>
    </r>
    <r>
      <rPr>
        <u/>
        <sz val="10"/>
        <color indexed="8"/>
        <rFont val="Helvetica Neue"/>
        <family val="2"/>
      </rPr>
      <t>cyrille.chatelainx@geneve.ch</t>
    </r>
    <r>
      <rPr>
        <sz val="10"/>
        <color indexed="8"/>
        <rFont val="Helvetica Neue"/>
        <family val="2"/>
      </rPr>
      <t xml:space="preserve"> Curator creator;Andreas Ensslin </t>
    </r>
    <r>
      <rPr>
        <u/>
        <sz val="10"/>
        <color indexed="8"/>
        <rFont val="Helvetica Neue"/>
        <family val="2"/>
      </rPr>
      <t>andreas.ensslin@geneve.ch</t>
    </r>
    <r>
      <rPr>
        <sz val="10"/>
        <color indexed="8"/>
        <rFont val="Helvetica Neue"/>
        <family val="2"/>
      </rPr>
      <t xml:space="preserve"> Curator creator;Laurent Gautier </t>
    </r>
    <r>
      <rPr>
        <u/>
        <sz val="10"/>
        <color indexed="8"/>
        <rFont val="Helvetica Neue"/>
        <family val="2"/>
      </rPr>
      <t>laurent.gautier@geneve.ch</t>
    </r>
    <r>
      <rPr>
        <sz val="10"/>
        <color indexed="8"/>
        <rFont val="Helvetica Neue"/>
        <family val="2"/>
      </rPr>
      <t xml:space="preserve"> Curator creator;Louis Nusbaumer </t>
    </r>
    <r>
      <rPr>
        <u/>
        <sz val="10"/>
        <color indexed="8"/>
        <rFont val="Helvetica Neue"/>
        <family val="2"/>
      </rPr>
      <t>louis.nusbaumer@geneve.ch</t>
    </r>
    <r>
      <rPr>
        <sz val="10"/>
        <color indexed="8"/>
        <rFont val="Helvetica Neue"/>
        <family val="2"/>
      </rPr>
      <t xml:space="preserve"> Curator creator;Mathieu Perret </t>
    </r>
    <r>
      <rPr>
        <u/>
        <sz val="10"/>
        <color indexed="8"/>
        <rFont val="Helvetica Neue"/>
        <family val="2"/>
      </rPr>
      <t>mathieu.perret@geneve.ch</t>
    </r>
    <r>
      <rPr>
        <sz val="10"/>
        <color indexed="8"/>
        <rFont val="Helvetica Neue"/>
        <family val="2"/>
      </rPr>
      <t xml:space="preserve"> Curator creator;Michelle Price </t>
    </r>
    <r>
      <rPr>
        <u/>
        <sz val="10"/>
        <color indexed="8"/>
        <rFont val="Helvetica Neue"/>
        <family val="2"/>
      </rPr>
      <t>michelle.price@geneve.ch</t>
    </r>
    <r>
      <rPr>
        <sz val="10"/>
        <color indexed="8"/>
        <rFont val="Helvetica Neue"/>
        <family val="2"/>
      </rPr>
      <t xml:space="preserve"> Head of Science, Head of Cryptogamy creator metadataProvider contact;Fred Stauffer </t>
    </r>
    <r>
      <rPr>
        <u/>
        <sz val="10"/>
        <color indexed="8"/>
        <rFont val="Helvetica Neue"/>
        <family val="2"/>
      </rPr>
      <t>fred.stauffer@geneve.ch</t>
    </r>
    <r>
      <rPr>
        <sz val="10"/>
        <color indexed="8"/>
        <rFont val="Helvetica Neue"/>
        <family val="2"/>
      </rPr>
      <t xml:space="preserve"> Curator - Head of Phanerogamy creator metadataProvider contact;Nicolas Wyler </t>
    </r>
    <r>
      <rPr>
        <u/>
        <sz val="10"/>
        <color indexed="8"/>
        <rFont val="Helvetica Neue"/>
        <family val="2"/>
      </rPr>
      <t>nicolas.wyler@geneve.ch</t>
    </r>
    <r>
      <rPr>
        <sz val="10"/>
        <color indexed="8"/>
        <rFont val="Helvetica Neue"/>
        <family val="2"/>
      </rPr>
      <t xml:space="preserve"> Curator creator;Juan Carlos Zamora </t>
    </r>
    <r>
      <rPr>
        <u/>
        <sz val="10"/>
        <color indexed="8"/>
        <rFont val="Helvetica Neue"/>
        <family val="2"/>
      </rPr>
      <t>juan-carlos.zamora@geneve.ch</t>
    </r>
    <r>
      <rPr>
        <sz val="10"/>
        <color indexed="8"/>
        <rFont val="Helvetica Neue"/>
        <family val="2"/>
      </rPr>
      <t xml:space="preserve"> Curator creator</t>
    </r>
  </si>
  <si>
    <t>Bacteria; Protozoa; Chromista; Plantae: Ascomycota; Basidiomycota; Fungi; Mycetozoa; Biconta; Cyanobacteria; Bacillariophyta (diatoms); Phaeophyta; Rhodophyta; Chlorophyta; Charophyta; Marchantiophyta; Bryophyta; Anthocerotophyta; Lycopodiophyta; Polypodiophyta; Gymnosperms; Angiosperms; Tracheophyta; Spermatophyta</t>
  </si>
  <si>
    <t>The Flora Orientalis herbarium (G-BOIS) was reconstituted in the 1960s, by extracting from the Boissier herbarium (1810-1885) the samples cited in his monumental treatment ""Flora Orientalis"".</t>
  </si>
  <si>
    <t>P.-E. Boissier</t>
  </si>
  <si>
    <t>Formation period: 1750-ongoing</t>
  </si>
  <si>
    <t>6a93d9c2-9fcf-4f73-977e-f3bdc3dc6ff4</t>
  </si>
  <si>
    <t>CJBG-G-BOIS</t>
  </si>
  <si>
    <t>Herbier Boissier</t>
  </si>
  <si>
    <t>Estimated number of specimens (dried specimens mounted on sheets): 69´745. Formation period: 1820-1880. Geologic period: Present. Estimated number of species: 12´811. Number of types: 5´000. SCSPS: 5 (for type specimens SCSPS: 6) [Fred Stauffer, updated 2022-04-20]</t>
  </si>
  <si>
    <r>
      <rPr>
        <u/>
        <sz val="10"/>
        <color indexed="8"/>
        <rFont val="Helvetica Neue"/>
        <family val="2"/>
      </rPr>
      <t>herb-phanero.cjb@ville-ge.ch</t>
    </r>
  </si>
  <si>
    <t>2024-09-04T06:19:39.057Z</t>
  </si>
  <si>
    <t>2024-10-16T08:29:33.743Z</t>
  </si>
  <si>
    <r>
      <rPr>
        <sz val="10"/>
        <color indexed="8"/>
        <rFont val="Helvetica Neue"/>
        <family val="2"/>
      </rPr>
      <t xml:space="preserve">Louis Nusbaumer </t>
    </r>
    <r>
      <rPr>
        <u/>
        <sz val="10"/>
        <color indexed="8"/>
        <rFont val="Helvetica Neue"/>
        <family val="2"/>
      </rPr>
      <t>louis.nusbaumer@geneve.ch</t>
    </r>
    <r>
      <rPr>
        <sz val="10"/>
        <color indexed="8"/>
        <rFont val="Helvetica Neue"/>
        <family val="2"/>
      </rPr>
      <t xml:space="preserve"> Curator creator;Michelle Price </t>
    </r>
    <r>
      <rPr>
        <u/>
        <sz val="10"/>
        <color indexed="8"/>
        <rFont val="Helvetica Neue"/>
        <family val="2"/>
      </rPr>
      <t>michelle.price@geneve.ch</t>
    </r>
    <r>
      <rPr>
        <sz val="10"/>
        <color indexed="8"/>
        <rFont val="Helvetica Neue"/>
        <family val="2"/>
      </rPr>
      <t xml:space="preserve"> Head of Science, Head of Cryptogamy creator metadataProvider contact;Fred Stauffer </t>
    </r>
    <r>
      <rPr>
        <u/>
        <sz val="10"/>
        <color indexed="8"/>
        <rFont val="Helvetica Neue"/>
        <family val="2"/>
      </rPr>
      <t>fred.stauffer@geneve.ch</t>
    </r>
    <r>
      <rPr>
        <sz val="10"/>
        <color indexed="8"/>
        <rFont val="Helvetica Neue"/>
        <family val="2"/>
      </rPr>
      <t xml:space="preserve"> Curator - Head of Phanerogamy creator metadataProvider contact</t>
    </r>
  </si>
  <si>
    <t>Tracheophyta</t>
  </si>
  <si>
    <t>Formation period: 1820-1880</t>
  </si>
  <si>
    <t>0ef7d192-9abe-4d4c-b696-b39c0cc8c8cd</t>
  </si>
  <si>
    <t>CJBG-G-BU</t>
  </si>
  <si>
    <t>Herbier Burnat</t>
  </si>
  <si>
    <t>Estimated number of specimens (dried specimens mounted on sheets): 219´843. Formation period: 1850-1910. Geologic period: Present. Estimated number of species: 3´500. Number of types: 1´000. SCSPS: 5 (for type specimens SCSPS: 6) [Fred Stauffer, updated 2022-04-20]</t>
  </si>
  <si>
    <t>2024-09-04T06:19:37.658Z</t>
  </si>
  <si>
    <t>2024-10-16T08:29:31.309Z</t>
  </si>
  <si>
    <t>The Burnat herbarium (G-BU) includes a ""Herbarium of the Maritime Alps"", a European herbarium (where the series collected by Briquet and used for his Prodrome de la Flore Corse are found) and the Thuret herbarium.</t>
  </si>
  <si>
    <t>E. Burnat</t>
  </si>
  <si>
    <t>Formation period: 1850-1910</t>
  </si>
  <si>
    <t>8d09b714-dbb5-4dda-976f-f2f804421f02</t>
  </si>
  <si>
    <t>CJBG-G-DC</t>
  </si>
  <si>
    <t>Herbier De Candolle</t>
  </si>
  <si>
    <t>Estimated number of specimens (dried specimens mounted on sheets): 146´664. Formation period: 1800-1920. Geologic period: Present. Estimated number of species: 44´971. Number of types: 22´420. SCSPS: 5 (for type specimens SCSPS: 6) [Fred Stauffer, updated 2022-04-20]</t>
  </si>
  <si>
    <t>2024-09-04T06:19:36.207Z</t>
  </si>
  <si>
    <t>2024-10-16T08:29:28.735Z</t>
  </si>
  <si>
    <t>Spermatophyta</t>
  </si>
  <si>
    <t>The Prodrome de Candolle herbarium (G-DC) includes the specimens used for the preparation of the 17 volumes of the ""Prodromus systematis naturalis regni vegetabilis"" (1824-1873) and its subsequent contribution, the ""Monographiae Phanerogamarum"" (1874-1896). This herbarium also includes Casimir De Candolle's collection of Piperaceae.</t>
  </si>
  <si>
    <t>A. C. P. Candolle;A. P. Candolle;A. L. P. P. Candolle</t>
  </si>
  <si>
    <t>Formation period: 1800-1920</t>
  </si>
  <si>
    <t>e496511a-a661-439c-920c-c80187a94db7</t>
  </si>
  <si>
    <t>NWSGL-GEISSBACHHOEHLE</t>
  </si>
  <si>
    <t>Collection Geissbach cave</t>
  </si>
  <si>
    <t>Estimated number of specimens (individual specimens): not reported. Formation period: 2005-2009. Geologic period: Pleistocene-Holocene. Estimated number of species: 10. Number of types: unknown. SCSPS: 5 [Martina Pacher, updated 2022-04-20]</t>
  </si>
  <si>
    <t>Glarus</t>
  </si>
  <si>
    <t>Archaeological;FaunalRemains</t>
  </si>
  <si>
    <r>
      <rPr>
        <u/>
        <sz val="10"/>
        <color indexed="8"/>
        <rFont val="Helvetica Neue"/>
        <family val="2"/>
      </rPr>
      <t>roland.mueller@gl.ch</t>
    </r>
  </si>
  <si>
    <r>
      <rPr>
        <u/>
        <sz val="10"/>
        <color indexed="8"/>
        <rFont val="Helvetica Neue"/>
        <family val="2"/>
      </rPr>
      <t>https://www.museum-neuchatel.ch/collections/</t>
    </r>
  </si>
  <si>
    <t>Naturwissenschaftliche Sammlungen des Kantons Glarus</t>
  </si>
  <si>
    <t>NWSGL</t>
  </si>
  <si>
    <t>b661a5a9-e227-4a75-9a93-25d1a11034c1</t>
  </si>
  <si>
    <t>Gerichtshausstrasse 25 Glarus CH-8750 Switzerland</t>
  </si>
  <si>
    <t>2024-09-04T06:12:42.656Z</t>
  </si>
  <si>
    <t>Animalia: Ursidae; Carnivora; Rodentia; Chiroptera; Lagomorpha</t>
  </si>
  <si>
    <t>Ice age fauna from the Geissbach cave, few Holocene remains</t>
  </si>
  <si>
    <t>Jean-Christophe Castel</t>
  </si>
  <si>
    <t>Formation period: 2005-2009. Geologic period: Pleistocene-Holocene</t>
  </si>
  <si>
    <t>29b3c450-0d57-4fab-bf25-0437a70ba21e</t>
  </si>
  <si>
    <t>MUZOO-ALGAE</t>
  </si>
  <si>
    <t>Fonds Straub; Fonds Wuthrich; Fonds Mauler; Fonds Keller</t>
  </si>
  <si>
    <t>Estimated number of specimens (microscope slides): 3´500. Formation period: 1960-ongoing. Geologic period: Present. Estimated number of species: not reported. Number of types: unknown. SCSPS: 9 [Nicolas Margraf, updated 2018-08-31]</t>
  </si>
  <si>
    <t>La Chaux-de-Fonds</t>
  </si>
  <si>
    <t>PreservedOrganisms</t>
  </si>
  <si>
    <r>
      <rPr>
        <u/>
        <sz val="10"/>
        <color indexed="8"/>
        <rFont val="Helvetica Neue"/>
        <family val="2"/>
      </rPr>
      <t>info@muzoo.ch</t>
    </r>
  </si>
  <si>
    <t>MUZOO - Musée d'histoire naturelle de La Chaux-de-Fonds</t>
  </si>
  <si>
    <t>MUZOO</t>
  </si>
  <si>
    <t>278f3403-ad9f-4c6b-b0d8-243a2935cc40</t>
  </si>
  <si>
    <t>Musée d'histoire naturelle de La Chaux-de-Fonds, 63, avenue Léopold-Robert La Chaux-de-Fonds CH-2300 Switzerland</t>
  </si>
  <si>
    <t>2024-09-04T06:10:57.033Z</t>
  </si>
  <si>
    <t>Bacillariophyta: Diatoms</t>
  </si>
  <si>
    <t>Fonds Straub, Fonds Wuthrich, Fonds Mauler, Fonds Keller</t>
  </si>
  <si>
    <t>François Straub;Mauler;Keller;Wuthrich</t>
  </si>
  <si>
    <t>Formation period: 1960-ongoing</t>
  </si>
  <si>
    <t>f35e77b7-36b5-40cc-b541-90068efb8068</t>
  </si>
  <si>
    <t>MUZOO-GAGNEBIN</t>
  </si>
  <si>
    <t>Herbier Gagnebin</t>
  </si>
  <si>
    <t>Estimated number of specimens (individual specimens): not reported. Formation period: 1720-1800. Geologic period: Present. Estimated number of species: not reported. Number of types: unknown. SCSPS: 6 [Nicolas Margraf, updated 2018-08-31]</t>
  </si>
  <si>
    <t>2024-09-04T06:10:55.585Z</t>
  </si>
  <si>
    <t>Herbier déposé à l'Université de Neuchâtel</t>
  </si>
  <si>
    <t>Abraham Gagnebin</t>
  </si>
  <si>
    <t>Formation period: 1720-1800</t>
  </si>
  <si>
    <t>2adc1687-8bf3-4079-8f34-f319414626f1</t>
  </si>
  <si>
    <t>MUZOO-BEGUIN</t>
  </si>
  <si>
    <t>Herbier Charles Béguin</t>
  </si>
  <si>
    <t>Estimated number of specimens (individual specimens): not reported. Formation period: not reported. Geologic period: Present. Estimated number of species: not reported. Number of types: unknown. SCSPS: 6 [Nicolas Margraf, updated 2021-10-14]</t>
  </si>
  <si>
    <t>Biological;PlantDerived</t>
  </si>
  <si>
    <t>2024-09-04T06:10:54.130Z</t>
  </si>
  <si>
    <t>Herbier</t>
  </si>
  <si>
    <t>Charles Béguin</t>
  </si>
  <si>
    <t>9680fcdd-8942-413d-8d37-750fae709579</t>
  </si>
  <si>
    <t>MUZOO-ENTOMO</t>
  </si>
  <si>
    <t>Collection générale entomologie</t>
  </si>
  <si>
    <t>Estimated number of specimens (individual specimens): 80´000. Formation period: not reported. Geologic period: Present. Estimated number of species: not reported. Number of types: 25. SCSPS: 6 [Nicolas Margraf, updated 2018-08-31]</t>
  </si>
  <si>
    <t>2024-09-04T06:10:52.671Z</t>
  </si>
  <si>
    <t>Insecta</t>
  </si>
  <si>
    <t>Insectes, et autres invertébrés: .Plusieurs dizaines de milliers d'invertébrés...Scorpions, coléoptères exotiques, nombreux papillons. Collection de papillons Joss. Collection d?insectes Anton Hirsiger, St.Urban LU.</t>
  </si>
  <si>
    <t>Anton Hirsiger</t>
  </si>
  <si>
    <t>a86ca655-6389-4bb3-b0a1-7358878113f4</t>
  </si>
  <si>
    <t>MUZOO-HIRSIGER</t>
  </si>
  <si>
    <t>Collection Hirsiger</t>
  </si>
  <si>
    <t>Estimated number of specimens (individual specimens): 1´500. Formation period: 1940-1967. Geologic period: Present. Estimated number of species: not reported. Number of types: unknown. SCSPS: 6 [Nicolas Margraf, updated 2018-08-31]</t>
  </si>
  <si>
    <t>2024-09-04T06:10:51.216Z</t>
  </si>
  <si>
    <t>Lepidoptera</t>
  </si>
  <si>
    <t>env. 1500 insectes exotiques et régionaux (surtout lépidoptères) collectés essentiellement au pied du Jura entre 1940 et 1967. Don et achat 1999.</t>
  </si>
  <si>
    <t>Formation period: 1940-1967</t>
  </si>
  <si>
    <t>b96ad8f7-57f9-47ba-a359-d6912e9064dd</t>
  </si>
  <si>
    <t>MUZOO-JOSS</t>
  </si>
  <si>
    <t>Collection Joss</t>
  </si>
  <si>
    <t>Estimated number of specimens (individual specimens): 8´784. Formation period: not reported. Geologic period: Present. Estimated number of species: 1´865. Number of types: unknown. SCSPS: 6 [Nicolas Margraf, updated 2018-08-31]</t>
  </si>
  <si>
    <t>2024-09-04T06:10:49.754Z</t>
  </si>
  <si>
    <t>8784 lépidoptères de 1865 espèces, de la région jurassienne essentiellement, collection récente rangée dans 118 boîtes, achat. Un catalogue manuscrit établi par M. Joss accompagne l’exposition.</t>
  </si>
  <si>
    <t>Michel Joss</t>
  </si>
  <si>
    <t>f5d64482-5858-4055-b1c9-a176937ad917</t>
  </si>
  <si>
    <t>MUZOO-VUILLEMIER</t>
  </si>
  <si>
    <t>Collection Fernand Vuillemier</t>
  </si>
  <si>
    <t>Estimated number of specimens (individual specimens): 1´400. Formation period: not reported. Geologic period: Present. Estimated number of species: not reported. Number of types: unknown. SCSPS: 6 [Nicolas Margraf, updated 2018-08-31]</t>
  </si>
  <si>
    <t>2024-09-04T06:10:48.317Z</t>
  </si>
  <si>
    <t>reçue en don de Mme Jacqueline et Monsieur Pierre-Henri Jeanneret, La Chaux-de-Fonds et comprenant de très nombreux papillons régionaux répartis en 41 boîtes et env. 1400 spécimens, auxquels s’ajoutent quelques ouvrages intéressants, notamment la série de Seitz.</t>
  </si>
  <si>
    <t>Fernand Vuilleumier</t>
  </si>
  <si>
    <t>cde98838-bc0f-424f-9c82-87c95885d111</t>
  </si>
  <si>
    <t>MUZOO-VERTEBRATA</t>
  </si>
  <si>
    <t>Collection générale vertébrés</t>
  </si>
  <si>
    <t>Estimated number of specimens (individual specimens): not reported. Formation period: not reported. Geologic period: Present. Estimated number of species: not reported. Number of types: unknown. SCSPS: 8 [Nicolas Margraf, updated 2021-10-14]</t>
  </si>
  <si>
    <t>2024-09-04T06:10:46.871Z</t>
  </si>
  <si>
    <t>Vertebrata</t>
  </si>
  <si>
    <t>plusieurs dizaines d’oiseaux naturalisés au XIXe, don 1999 de la famille Brack, Zurich.</t>
  </si>
  <si>
    <t>Quaile</t>
  </si>
  <si>
    <t>dbe61df8-3ad4-4b7a-9ece-3623dee79bbf</t>
  </si>
  <si>
    <t>MUZOO-QUAILE</t>
  </si>
  <si>
    <t>Collection Quaile</t>
  </si>
  <si>
    <t>Estimated number of specimens (individual specimens): 173. Formation period: 1850-1887. Geologic period: Present. Estimated number of species: not reported. Number of types: unknown. SCSPS: 9 [Nicolas Margraf, updated 2018-08-31]</t>
  </si>
  <si>
    <t>SampleTanned</t>
  </si>
  <si>
    <t>2024-09-04T06:10:45.416Z</t>
  </si>
  <si>
    <t>Formation period: 1850-1887</t>
  </si>
  <si>
    <t>927da16c-7a4b-4755-bcdb-56399b2f5fe6</t>
  </si>
  <si>
    <t>MUZOO-PALAEO</t>
  </si>
  <si>
    <t>Collection générale de paléontologie</t>
  </si>
  <si>
    <t>Estimated number of specimens (individual specimens): not reported. Formation period: not reported. Geologic period: not reported. Estimated number of species: not reported. Number of types: unknown. SCSPS: not reported [Nicolas Margraf, updated 2021-10-14]</t>
  </si>
  <si>
    <t>Paleontological</t>
  </si>
  <si>
    <t>2024-09-04T06:10:43.930Z</t>
  </si>
  <si>
    <t>Minéraux réuni sur une période de 40 ans par le dentiste Louis Jeanneret, Le Locle</t>
  </si>
  <si>
    <t>Louis Jeanneret</t>
  </si>
  <si>
    <t>Formation period: not reported. Geologic period: not reported</t>
  </si>
  <si>
    <t>9569e08b-d9a5-42df-ae66-b3e6964f8e0f</t>
  </si>
  <si>
    <t>MUZOO-GEOL</t>
  </si>
  <si>
    <t>Collection générale de géologie</t>
  </si>
  <si>
    <t>Estimated number of specimens (individual specimens): 727. Formation period: 1900-ongoing. Geologic period: not reported. Estimated number of species: n/a. Number of types: n/a. SCSPS: not reported [Nicolas Margraf, updated 2021-10-14]</t>
  </si>
  <si>
    <t>EarthPlanetary;Rocks</t>
  </si>
  <si>
    <t>2024-09-04T06:10:42.530Z</t>
  </si>
  <si>
    <t>Formation period: 1900-ongoing. Geologic period: not reported</t>
  </si>
  <si>
    <t>b7c9a433-c81d-48fb-b847-42024fab3d8b</t>
  </si>
  <si>
    <t>MUZOO-MIN</t>
  </si>
  <si>
    <t>Collection Louis Jeanneret, et autres</t>
  </si>
  <si>
    <t>Estimated number of specimens (individual specimens): 450. Formation period: 1950-1990. Geologic period: not reported. Estimated number of species: not reported. Number of types: unknown. SCSPS: 6 [Nicolas Margraf, updated 2021-10-14]</t>
  </si>
  <si>
    <t>EarthPlanetary;Minerals</t>
  </si>
  <si>
    <t>2024-09-04T06:10:41.086Z</t>
  </si>
  <si>
    <t>Formation period: 1950-1990. Geologic period: not reported</t>
  </si>
  <si>
    <t>61de6e26-b3a8-4d6f-bbbf-87cead0ba9c0</t>
  </si>
  <si>
    <t>MUZOO-URECH</t>
  </si>
  <si>
    <t>Collection du Pasteur Urech</t>
  </si>
  <si>
    <t>Estimated number of specimens (individual specimens/ microscope slides): not reported. Formation period: 1920-1984. Geologic period: Present. Estimated number of species: n/a. Number of types: n/a. SCSPS: 6 [Nicolas Margraf, updated 2018-08-31]</t>
  </si>
  <si>
    <t>PreservedOrganisms;Biological</t>
  </si>
  <si>
    <t>2024-09-04T06:10:39.700Z</t>
  </si>
  <si>
    <t>dessins, aquarelles, coquillages, insectes reçus de sa famille en plusieurs fois, la dernière en 2001</t>
  </si>
  <si>
    <t>Edouard Urech </t>
  </si>
  <si>
    <t>Formation period: 1920-1984</t>
  </si>
  <si>
    <t>2e1338e0-d355-4539-b38c-ddfcd567cce8</t>
  </si>
  <si>
    <t>MUZOO-BOILLAT</t>
  </si>
  <si>
    <t>Collection Boillat</t>
  </si>
  <si>
    <t>Estimated number of specimens (individual specimens): 433. Formation period: 1920-1979. Geologic period: Present. Estimated number of species: n/a. Number of types: n/a. SCSPS: 9 [Nicolas Margraf, updated 2018-08-31]</t>
  </si>
  <si>
    <t>2024-09-04T06:10:38.207Z</t>
  </si>
  <si>
    <t>250 oiseaux, 36 mammifères, trophées, roches et fossiles régionaux, livres. Acquisition par achat à son neveu Hubert Boillat en1990.</t>
  </si>
  <si>
    <t>Boillat Raymond</t>
  </si>
  <si>
    <t>Formation period: 1920-1979</t>
  </si>
  <si>
    <t>a37bf0c1-fed9-4517-9b8e-756b88b35834</t>
  </si>
  <si>
    <t>MUZOO-MONARD</t>
  </si>
  <si>
    <t>Collection Monard</t>
  </si>
  <si>
    <t>Estimated number of specimens (individual specimens/ vials): not reported. Formation period: 1928-1947. Geologic period: Present. Estimated number of species: n/a. Number of types: n/a. SCSPS: 9 [Nicolas Margraf, updated 2018-08-31]</t>
  </si>
  <si>
    <t>2024-09-04T06:10:36.725Z</t>
  </si>
  <si>
    <t>Animalia</t>
  </si>
  <si>
    <t>Les expéditions africaines d'Albert Monard:.* 1928-29 Angola.* 1932-33 Angola.* 1937-38 Guinée portugaise (Guinée Bissau).* 1946-47 Cameroun..</t>
  </si>
  <si>
    <r>
      <rPr>
        <sz val="10"/>
        <color indexed="8"/>
        <rFont val="Helvetica Neue"/>
        <family val="2"/>
      </rPr>
      <t xml:space="preserve">Albert Monard (1886/1952) </t>
    </r>
    <r>
      <rPr>
        <u/>
        <sz val="10"/>
        <color indexed="8"/>
        <rFont val="Helvetica Neue"/>
        <family val="2"/>
      </rPr>
      <t>https://viaf.org/viaf/8185896</t>
    </r>
  </si>
  <si>
    <t>Formation period: 1928-1947</t>
  </si>
  <si>
    <t>b394f0d1-dd46-452c-b2d5-4ffa6290ce37</t>
  </si>
  <si>
    <t>Museum.BL-INV-BL</t>
  </si>
  <si>
    <t>Entomology</t>
  </si>
  <si>
    <t>Estimated number of specimens (individual specimen): not reported. Formation period: 1835-ongoing. Geologic period: Present. Estimated number of species: 20´000. Number of types: unknown. SCSPS: 5 [Pascal Favre; Marc Limat, updated 2024-07-05]</t>
  </si>
  <si>
    <t>Liestal</t>
  </si>
  <si>
    <r>
      <rPr>
        <u/>
        <sz val="10"/>
        <color indexed="8"/>
        <rFont val="Helvetica Neue"/>
        <family val="2"/>
      </rPr>
      <t>marc.limat@bl.ch</t>
    </r>
  </si>
  <si>
    <t>StorageControlledAtmosphere</t>
  </si>
  <si>
    <t>Museum.BL, Liestal</t>
  </si>
  <si>
    <t>Museum.BL</t>
  </si>
  <si>
    <t>58f0cf31-4c49-4568-87d5-60d51389230f</t>
  </si>
  <si>
    <t>Museum.Bl, Amtshausgasse 7 Liestal CH-4410 Switzerland</t>
  </si>
  <si>
    <t>2024-09-04T06:10:35.281Z</t>
  </si>
  <si>
    <t>Animalia: Arthropoda</t>
  </si>
  <si>
    <r>
      <rPr>
        <sz val="10"/>
        <color indexed="8"/>
        <rFont val="Helvetica Neue"/>
        <family val="2"/>
      </rPr>
      <t xml:space="preserve">Alfred-Jacques(-Henri) Berthoud-Coulon;Charles Joseph Latrobe (La Trobe);Auguste-Frédéric de Meuron (-Perregaux);Philippe de Rougemont;André Schertenleib (1923/2009);Gustav Schneider;Louis de Coulon (1804/1894) </t>
    </r>
    <r>
      <rPr>
        <u/>
        <sz val="10"/>
        <color indexed="8"/>
        <rFont val="Helvetica Neue"/>
        <family val="2"/>
      </rPr>
      <t>https://hls-dhs-dss.ch/fr/articles/029095/2005-08-16;Louis</t>
    </r>
    <r>
      <rPr>
        <sz val="10"/>
        <color indexed="8"/>
        <rFont val="Helvetica Neue"/>
        <family val="2"/>
      </rPr>
      <t xml:space="preserve"> Agassiz;Jean-Jacques von Tschudi;Édouard Borel (-Sandoz devenu -Lagnier)</t>
    </r>
  </si>
  <si>
    <t>Formation period: 1835-ongoing</t>
  </si>
  <si>
    <t>87758d0b-f0df-468a-90a3-bdfcb47a0f14</t>
  </si>
  <si>
    <t>MHNN-PORIFERA</t>
  </si>
  <si>
    <t>Porifera including Calcarea, Hexaxtinellida and Demospongia</t>
  </si>
  <si>
    <t>Estimated number of specimens (individual specimens): 100. Formation period: 1796-ongoing. Geologic period: Present. Estimated number of species: 50. Number of types: unknown. SCSPS: not reported [Celia Bueno, updated 2024-05-31]</t>
  </si>
  <si>
    <t>Neuchâtel</t>
  </si>
  <si>
    <t>Biological;AnimalBuiltStructures;Exoskeletons</t>
  </si>
  <si>
    <r>
      <rPr>
        <u/>
        <sz val="10"/>
        <color indexed="8"/>
        <rFont val="Helvetica Neue"/>
        <family val="2"/>
      </rPr>
      <t>celia.bueno@ne.ch</t>
    </r>
  </si>
  <si>
    <t>StorageIndoors;SampleFluidPreserved</t>
  </si>
  <si>
    <t>Muséum d'histoire naturelle de Neuchâtel</t>
  </si>
  <si>
    <t>MHNN</t>
  </si>
  <si>
    <t>01ef07f0-5502-4935-b00e-7657417b8dae</t>
  </si>
  <si>
    <t>rue des Terreaux 14 Neuchâtel CH-2000 Switzerland</t>
  </si>
  <si>
    <t>2024-09-04T06:10:26.945Z</t>
  </si>
  <si>
    <t>Porifera</t>
  </si>
  <si>
    <t>Formation period: 1796-ongoing</t>
  </si>
  <si>
    <t>fc223fbc-bc15-4412-a38c-c9692cca3ed8</t>
  </si>
  <si>
    <t>MHNN-PISCES</t>
  </si>
  <si>
    <t>Chondrichtyes and Osteichtyes</t>
  </si>
  <si>
    <t>Estimated number of specimens (individual specimen/ jar/ batch specimens): 1´800. Formation period: 1796-ongoing. Geologic period: Present. Estimated number of species: 900. Number of types: 87. SCSPS: not reported [Celia Bueno, updated 2024-05-31]</t>
  </si>
  <si>
    <t>PreservedOrganisms;Radiograph;Endoskeletons;HumanDerived</t>
  </si>
  <si>
    <t>StorageFrozenMinus20;StorageIndoors;SampleFluidPreserved;SampleSkeletonized;SampleTanned</t>
  </si>
  <si>
    <t>2024-09-04T06:10:23.703Z</t>
  </si>
  <si>
    <t>0215b1e6-800c-4cc0-856e-534ab6bf2b13</t>
  </si>
  <si>
    <t>MHNN-REPTILIA</t>
  </si>
  <si>
    <t>Sauropsida</t>
  </si>
  <si>
    <t>Estimated number of specimens (individual specimen/ jar/ batch specimens): 1´250. Formation period: 1796-ongoing. Geologic period: Present. Estimated number of species: 550. Number of types: 75. SCSPS: not reported [Celia Bueno, updated 2024-05-31]</t>
  </si>
  <si>
    <t>PreservedOrganisms;CellsTissue;Endoskeletons;HumanDerived;Biological</t>
  </si>
  <si>
    <t>2024-09-04T06:10:22.206Z</t>
  </si>
  <si>
    <r>
      <rPr>
        <sz val="10"/>
        <color indexed="8"/>
        <rFont val="Helvetica Neue"/>
        <family val="2"/>
      </rPr>
      <t xml:space="preserve">Alfred-Jacques(-Henri) Berthoud-Coulon;Fritz Gehringer;Gustave et Hélène Jacottet;Charles Joseph Latrobe (La Trobe);Auguste-Frédéric de Meuron (-Perregaux);Albert Monard (1886/1952) </t>
    </r>
    <r>
      <rPr>
        <u/>
        <sz val="10"/>
        <color indexed="8"/>
        <rFont val="Helvetica Neue"/>
        <family val="2"/>
      </rPr>
      <t>https://viaf.org/viaf/8185896;Philippe</t>
    </r>
    <r>
      <rPr>
        <sz val="10"/>
        <color indexed="8"/>
        <rFont val="Helvetica Neue"/>
        <family val="2"/>
      </rPr>
      <t xml:space="preserve"> de Rougemont;André Schertenleib (1923/2009);Gustav Schneider;Louis de Coulon (1804/1894) </t>
    </r>
    <r>
      <rPr>
        <u/>
        <sz val="10"/>
        <color indexed="8"/>
        <rFont val="Helvetica Neue"/>
        <family val="2"/>
      </rPr>
      <t>https://hls-dhs-dss.ch/fr/articles/029095/2005-08-16;Jean-Jacques</t>
    </r>
    <r>
      <rPr>
        <sz val="10"/>
        <color indexed="8"/>
        <rFont val="Helvetica Neue"/>
        <family val="2"/>
      </rPr>
      <t xml:space="preserve"> von Tschudi;Édouard Borel (-Sandoz devenu -Lagnier)</t>
    </r>
  </si>
  <si>
    <t>e55205f2-edc4-4b06-a0a9-af8000831b0a</t>
  </si>
  <si>
    <t>MHNN-AMPHIBIA</t>
  </si>
  <si>
    <t>Amphibians</t>
  </si>
  <si>
    <t>Estimated number of specimens (individual specimen/ jar/ batch specimens): 300. Formation period: 1840-ongoing. Geologic period: Present. Estimated number of species: 150. Number of types: 9. SCSPS: not reported [Celia Bueno, updated 2024-05-31]</t>
  </si>
  <si>
    <t>PreservedOrganisms;CellsTissue;Endoskeletons;HumanDerived</t>
  </si>
  <si>
    <t>StorageFrozenMinus20;StorageIndoors;SampleFluidPreserved;SampleSkeletonized</t>
  </si>
  <si>
    <t>2024-09-04T06:10:20.710Z</t>
  </si>
  <si>
    <r>
      <rPr>
        <sz val="10"/>
        <color indexed="8"/>
        <rFont val="Helvetica Neue"/>
        <family val="2"/>
      </rPr>
      <t xml:space="preserve">Alfred-Jacques(-Henri) Berthoud-Coulon;Fritz Gehringer;Philippe de Rougemont;André Schertenleib (1923/2009);Gustav Schneider;Louis de Coulon (1804/1894) </t>
    </r>
    <r>
      <rPr>
        <u/>
        <sz val="10"/>
        <color indexed="8"/>
        <rFont val="Helvetica Neue"/>
        <family val="2"/>
      </rPr>
      <t>https://hls-dhs-dss.ch/fr/articles/029095/2005-08-16;Jean-Jacques</t>
    </r>
    <r>
      <rPr>
        <sz val="10"/>
        <color indexed="8"/>
        <rFont val="Helvetica Neue"/>
        <family val="2"/>
      </rPr>
      <t xml:space="preserve"> von Tschudi</t>
    </r>
  </si>
  <si>
    <t>Formation period: 1840-ongoing</t>
  </si>
  <si>
    <t>3775fa88-2f71-48c6-9432-86bf446d6907</t>
  </si>
  <si>
    <t>MHNN-AVES</t>
  </si>
  <si>
    <t>Birds</t>
  </si>
  <si>
    <t>Estimated number of specimens (individual specimen/ batch specimens): 15´050. Formation period: 1796-ongoing. Geologic period: Present. Estimated number of species: 3´300. Number of types: 148. SCSPS: not reported [Celia Bueno, updated 2024-05-31]</t>
  </si>
  <si>
    <t>PreservedOrganisms;AnimalBuiltStructures;CellsTissue;Feces;Endoskeletons;Biological;HumanDerived</t>
  </si>
  <si>
    <t>StorageFrozenMinus20;StorageIndoors;SampleSkeletonized;SampleTanned</t>
  </si>
  <si>
    <t>2024-09-04T06:10:19.248Z</t>
  </si>
  <si>
    <r>
      <rPr>
        <sz val="10"/>
        <color indexed="8"/>
        <rFont val="Helvetica Neue"/>
        <family val="2"/>
      </rPr>
      <t xml:space="preserve">Alfred-Jacques(-Henri) Berthoud-Coulon;Fritz Gehringer;Gustave et Hélène Jacottet;Jean-Pierre Jéquier;Charles Joseph Latrobe (La Trobe);Auguste-Frédéric de Meuron (-Perregaux);Albert Monard (1886/1952) </t>
    </r>
    <r>
      <rPr>
        <u/>
        <sz val="10"/>
        <color indexed="8"/>
        <rFont val="Helvetica Neue"/>
        <family val="2"/>
      </rPr>
      <t>https://viaf.org/viaf/8185896;Philippe</t>
    </r>
    <r>
      <rPr>
        <sz val="10"/>
        <color indexed="8"/>
        <rFont val="Helvetica Neue"/>
        <family val="2"/>
      </rPr>
      <t xml:space="preserve"> de Rougemont;André Schertenleib (1923/2009);Gustav Schneider;Samuel Robert;Louis de Coulon (1804/1894) </t>
    </r>
    <r>
      <rPr>
        <u/>
        <sz val="10"/>
        <color indexed="8"/>
        <rFont val="Helvetica Neue"/>
        <family val="2"/>
      </rPr>
      <t>https://hls-dhs-dss.ch/fr/articles/029095/2005-08-16;Louis</t>
    </r>
    <r>
      <rPr>
        <sz val="10"/>
        <color indexed="8"/>
        <rFont val="Helvetica Neue"/>
        <family val="2"/>
      </rPr>
      <t xml:space="preserve"> Agassiz;Jean-Jacques von Tschudi;Édouard Borel (-Sandoz devenu -Lagnier)</t>
    </r>
  </si>
  <si>
    <t>8f4acbea-26ab-4e3b-b44a-0c344880ab97</t>
  </si>
  <si>
    <t>MHNN-MAMMALIA</t>
  </si>
  <si>
    <t>Mammals</t>
  </si>
  <si>
    <t>Estimated number of specimens (individual specimen/ jar/ batch specimens): 3´300. Formation period: 1796-ongoing. Geologic period: Present. Estimated number of species: 700. Number of types: 27. SCSPS: not reported [Celia Bueno, updated 2024-05-31]</t>
  </si>
  <si>
    <t>2024-09-04T06:10:17.767Z</t>
  </si>
  <si>
    <r>
      <rPr>
        <sz val="10"/>
        <color indexed="8"/>
        <rFont val="Helvetica Neue"/>
        <family val="2"/>
      </rPr>
      <t xml:space="preserve">Alfred-Jacques(-Henri) Berthoud-Coulon;Fritz Gehringer;Charles Joseph Latrobe (La Trobe);Auguste-Frédéric de Meuron (-Perregaux);Albert Monard (1886/1952) </t>
    </r>
    <r>
      <rPr>
        <u/>
        <sz val="10"/>
        <color indexed="8"/>
        <rFont val="Helvetica Neue"/>
        <family val="2"/>
      </rPr>
      <t>https://viaf.org/viaf/8185896;Philippe</t>
    </r>
    <r>
      <rPr>
        <sz val="10"/>
        <color indexed="8"/>
        <rFont val="Helvetica Neue"/>
        <family val="2"/>
      </rPr>
      <t xml:space="preserve"> de Rougemont;André Schertenleib (1923/2009);Gustav Schneider;Louis de Coulon (1804/1894) </t>
    </r>
    <r>
      <rPr>
        <u/>
        <sz val="10"/>
        <color indexed="8"/>
        <rFont val="Helvetica Neue"/>
        <family val="2"/>
      </rPr>
      <t>https://hls-dhs-dss.ch/fr/articles/029095/2005-08-16;Louis</t>
    </r>
    <r>
      <rPr>
        <sz val="10"/>
        <color indexed="8"/>
        <rFont val="Helvetica Neue"/>
        <family val="2"/>
      </rPr>
      <t xml:space="preserve"> Agassiz;Jean-Jacques von Tschudi;Édouard Borel (-Sandoz devenu -Lagnier)</t>
    </r>
  </si>
  <si>
    <t>6b5cec12-2162-447b-a729-e26748b8cf98</t>
  </si>
  <si>
    <t>MCSN-MICOLOGY</t>
  </si>
  <si>
    <t>Micological collections</t>
  </si>
  <si>
    <t>Estimated number of specimens (individual specimens): 29´562. Formation period: 1860-ongoing. Geologic period: Present. Estimated number of species: 6´750. Number of types: unknown. SCSPS: 7 [Neria Römer, updated 2021-11-05]</t>
  </si>
  <si>
    <t>Lugano</t>
  </si>
  <si>
    <t>SampleDried;SampleFreezeDrying</t>
  </si>
  <si>
    <t>Museo cantonale di storia naturale, Lugano</t>
  </si>
  <si>
    <t>MCSN</t>
  </si>
  <si>
    <t>24ab1eae-4509-4433-afa7-d13fc5e25d04</t>
  </si>
  <si>
    <t>Museo cantonale di storia naturale, Lugano, Viale Carlo Cattaneo 4 Lugano CH-6901 Switzerland</t>
  </si>
  <si>
    <t>2024-09-04T06:08:15.337Z</t>
  </si>
  <si>
    <t>2024-09-04T09:31:57.006Z</t>
  </si>
  <si>
    <t>08597881-2539-42c0-86d9-2fa2deb74eb7</t>
  </si>
  <si>
    <t>Formation period: 1860-ongoing</t>
  </si>
  <si>
    <t>a0799830-8a7c-4fa6-b2b4-934266de0b17</t>
  </si>
  <si>
    <t>MCSN-BOTANY</t>
  </si>
  <si>
    <t>Botanical collections</t>
  </si>
  <si>
    <t>Estimated number of specimens (individual specimens/ boxes): 73´939. Formation period: not reported. Geologic period: Present. Estimated number of species: 17´000. Number of types: unknown. SCSPS: 9 [Sofia Mangili, updated 2021-11-18]</t>
  </si>
  <si>
    <t>PreservedOrganisms;Biological;PlantDerived</t>
  </si>
  <si>
    <r>
      <rPr>
        <u/>
        <sz val="10"/>
        <color indexed="8"/>
        <rFont val="Helvetica Neue"/>
        <family val="2"/>
      </rPr>
      <t>chiara.pradella@ti.ch</t>
    </r>
  </si>
  <si>
    <t>[41] 91 815 47 61;[39] 041918154761</t>
  </si>
  <si>
    <t>SampleDried;SamplePressed</t>
  </si>
  <si>
    <t>2024-09-04T06:08:13.860Z</t>
  </si>
  <si>
    <t>2024-09-17T12:01:22.817Z</t>
  </si>
  <si>
    <t>3f19deee-c384-4df8-8095-ccbe03c9cfe0;gbif:ih:irn:125322;b2fe5e95-655d-4983-b4b0-3a5440ad7a1d;98850aa8-ab55-41e9-b1ca-897cb432017d</t>
  </si>
  <si>
    <r>
      <rPr>
        <sz val="10"/>
        <color indexed="8"/>
        <rFont val="Helvetica Neue"/>
        <family val="2"/>
      </rPr>
      <t xml:space="preserve">Filippo Rampazzi [41] 91 815 47 61 </t>
    </r>
    <r>
      <rPr>
        <u/>
        <sz val="10"/>
        <color indexed="8"/>
        <rFont val="Helvetica Neue"/>
        <family val="2"/>
      </rPr>
      <t>filippo.rampazzi@ti.ch</t>
    </r>
    <r>
      <rPr>
        <sz val="10"/>
        <color indexed="8"/>
        <rFont val="Helvetica Neue"/>
        <family val="2"/>
      </rPr>
      <t xml:space="preserve"> Director;Neria Römer [41] 91 815 47 61 </t>
    </r>
    <r>
      <rPr>
        <u/>
        <sz val="10"/>
        <color indexed="8"/>
        <rFont val="Helvetica Neue"/>
        <family val="2"/>
      </rPr>
      <t>neria.roemer@ti.ch</t>
    </r>
    <r>
      <rPr>
        <sz val="10"/>
        <color indexed="8"/>
        <rFont val="Helvetica Neue"/>
        <family val="2"/>
      </rPr>
      <t xml:space="preserve"> Curator of Cryptogams;Sofia Mangili [41] 91 815 47 61 </t>
    </r>
    <r>
      <rPr>
        <u/>
        <sz val="10"/>
        <color indexed="8"/>
        <rFont val="Helvetica Neue"/>
        <family val="2"/>
      </rPr>
      <t>sofia.mangili@ti.ch</t>
    </r>
    <r>
      <rPr>
        <sz val="10"/>
        <color indexed="8"/>
        <rFont val="Helvetica Neue"/>
        <family val="2"/>
      </rPr>
      <t xml:space="preserve"> Curator of Phanerogams</t>
    </r>
  </si>
  <si>
    <t>AFP (Algae, Fungi, Plants)</t>
  </si>
  <si>
    <t>Switzerland.</t>
  </si>
  <si>
    <t>Updated Mar 2017 (Address/geocoordinates, staff).</t>
  </si>
  <si>
    <t>MCSN-BOTANY;LUG</t>
  </si>
  <si>
    <t>b572b98d-4c1e-41e8-b051-e8728c043bde</t>
  </si>
  <si>
    <t>MCSN-INVERTEBRATES</t>
  </si>
  <si>
    <t>Invertebrates Collections</t>
  </si>
  <si>
    <t>Estimated number of specimens (individual specimens/ vials/ boxes): 316´403. Formation period: not reported. Geologic period: Present. Estimated number of species: 14´615. Number of types: unknown. SCSPS: 9 [Lucia Pollini Paltrinieri, updated 2021-11-26]</t>
  </si>
  <si>
    <t>SampleFluidPreserved;SamplePinned;SampleOther</t>
  </si>
  <si>
    <t>2024-09-04T06:08:12.383Z</t>
  </si>
  <si>
    <t>2024-09-04T09:29:55.681Z</t>
  </si>
  <si>
    <t>f50bed51-79df-45f3-92a9-dd97d7b20797</t>
  </si>
  <si>
    <t>de24947c-2e91-43ff-aefc-c3c35565c420</t>
  </si>
  <si>
    <t>MCSN-VERTEBRATES</t>
  </si>
  <si>
    <t>Vertebrates Collections</t>
  </si>
  <si>
    <t>Estimated number of specimens (individual specimen/ vials): 7´351. Formation period: not reported. Geologic period: Present. Estimated number of species: not reported. Number of types: unknown. SCSPS: 9 [Nicola Zambelli, updated 2021-11-19]</t>
  </si>
  <si>
    <t>SampleFluidPreserved;SampleSkeletonized;SampleSlideMount;SampleDried;SampleFreezeDrying</t>
  </si>
  <si>
    <t>2024-09-04T06:08:10.904Z</t>
  </si>
  <si>
    <t>2024-09-04T09:33:40.298Z</t>
  </si>
  <si>
    <t>0847eb7a-3065-4067-b15b-4b56c8bbabdc</t>
  </si>
  <si>
    <t>8ec073b0-80e6-419b-be73-a84bb56941dc</t>
  </si>
  <si>
    <t>MCSN-PALEONTOLOGY</t>
  </si>
  <si>
    <t>Paleontogical Collections</t>
  </si>
  <si>
    <t>Estimated number of specimens (individual specimen): 20´269. Formation period: 1835-ongoing. Geologic period: not reported. Estimated number of species: 643. Number of types: unknown. SCSPS: 6 [Rudolf Stockar, updated 2021-11-16]</t>
  </si>
  <si>
    <t>InvertebrateFossils;InvertebrateMicrofossils;PlantFossils;VertebrateFossils;Paleontological</t>
  </si>
  <si>
    <t>2024-09-04T06:08:09.444Z</t>
  </si>
  <si>
    <t>2024-09-04T09:36:41.962Z</t>
  </si>
  <si>
    <t>7bbf1525-1fb7-43ad-8898-b12a30487cbd</t>
  </si>
  <si>
    <t>Formation period: 1835-ongoing. Geologic period: not reported</t>
  </si>
  <si>
    <t>345fc436-2c30-496c-9403-9d903f892b3d</t>
  </si>
  <si>
    <t>MCSN-MINERALOGY</t>
  </si>
  <si>
    <t>Mineralogical Collections</t>
  </si>
  <si>
    <t>Estimated number of specimens (individual specimen): 25´926. Formation period: 1830-ongoing. Geologic period: not reported. Estimated number of species: 3´125. Number of types: unknown. SCSPS: 9 [Marco Antognini, updated 2021-11-15]</t>
  </si>
  <si>
    <t>Rocks;Minerals;EarthPlanetary</t>
  </si>
  <si>
    <t>2024-09-04T06:08:07.974Z</t>
  </si>
  <si>
    <t>2024-09-04T09:35:09.134Z</t>
  </si>
  <si>
    <t>666bee1d-19c3-4f22-acc8-4f1b3114e26d</t>
  </si>
  <si>
    <t>Formation period: 1830-ongoing. Geologic period: not reported</t>
  </si>
  <si>
    <t>32ff076a-70b7-477a-91a3-f9dc60bcb304</t>
  </si>
  <si>
    <t>NMLU-BOT_11</t>
  </si>
  <si>
    <t>Herbarium Generale (Bryophyta)</t>
  </si>
  <si>
    <t>Estimated number of specimens (specimens in paper envelopes in wooden boxes): 1´424. Formation period: not reported. Geologic period: Present. Estimated number of species: not reported. Number of types: unknown. SCSPS: 3 (-4) [Elisabeth Danner, updated 2024-04-24]</t>
  </si>
  <si>
    <t>Luzern</t>
  </si>
  <si>
    <r>
      <rPr>
        <u/>
        <sz val="10"/>
        <color indexed="8"/>
        <rFont val="Helvetica Neue"/>
        <family val="2"/>
      </rPr>
      <t>elisabeth.danner@lu.ch</t>
    </r>
  </si>
  <si>
    <t>Natur-Museum Luzern</t>
  </si>
  <si>
    <t>NMLU</t>
  </si>
  <si>
    <t>582f1eda-5673-4265-87ac-6a164cd8d193</t>
  </si>
  <si>
    <t>Natur-Museum Luzern, Kasernenplatz 6 Luzern CH-6003 Switzerland</t>
  </si>
  <si>
    <t>2024-09-02T16:39:14.665Z</t>
  </si>
  <si>
    <t>2024-09-16T12:21:44.642Z</t>
  </si>
  <si>
    <t>Bryophyta</t>
  </si>
  <si>
    <t>Schenkung der Mykologischen Gesellschaft</t>
  </si>
  <si>
    <t>Mycological Society of Lucerne</t>
  </si>
  <si>
    <t>47bd6d81-ac60-4dee-a5c9-8e66f5c3b5cd</t>
  </si>
  <si>
    <t>1bcf335c-2950-4f11-8344-1de9e444ebf6</t>
  </si>
  <si>
    <t>NMLU-BOT_12</t>
  </si>
  <si>
    <t>Herbarium of the Lucerne Mycological Society (MGL)</t>
  </si>
  <si>
    <t>Estimated number of specimens (exsicata in paper and plastic envelopes): 11´931. Formation period: 1988-ongoing. Geologic period: Present. Estimated number of species: not reported. Number of types: unknown. SCSPS: 9 [Elisabeth Danner, updated 2024-04-24]</t>
  </si>
  <si>
    <t>2024-09-02T16:39:13.256Z</t>
  </si>
  <si>
    <t>2024-09-16T12:23:38.671Z</t>
  </si>
  <si>
    <t>Formation period: 1988-ongoing</t>
  </si>
  <si>
    <t>bedf4d97-41bf-4e58-b6a4-dea33bf99459</t>
  </si>
  <si>
    <t>NMLU-BOT_14</t>
  </si>
  <si>
    <t>Lichen herbarium Kanton Lucerne</t>
  </si>
  <si>
    <t>Estimated number of specimens (specimens in paper and paper envelopes): 1´677. Formation period: not reported. Geologic period: Present. Estimated number of species: not reported. Number of types: unknown. SCSPS: 9 [Elisabeth Danner, updated 2024-04-24]</t>
  </si>
  <si>
    <t>2024-09-02T16:39:11.868Z</t>
  </si>
  <si>
    <t>2024-09-16T12:24:02.416Z</t>
  </si>
  <si>
    <t>Umfassende Spezialsammlung der Gattung Cladonia</t>
  </si>
  <si>
    <t>Engelbert Ruoss</t>
  </si>
  <si>
    <t>7a279f12-829c-4d22-ba74-60bc6b8e89cf</t>
  </si>
  <si>
    <t>NMLU-BOT_15</t>
  </si>
  <si>
    <t>Lichen herbarium Ruoss</t>
  </si>
  <si>
    <t>Estimated number of specimens (specimens in paper and paper envelopes): 1´000. Formation period: not reported. Geologic period: Present. Estimated number of species: not reported. Number of types: unknown. SCSPS: 1 [Elisabeth Danner, updated 2024-04-24]</t>
  </si>
  <si>
    <t>2024-09-02T16:39:10.458Z</t>
  </si>
  <si>
    <t>2024-09-16T12:25:10.709Z</t>
  </si>
  <si>
    <t>99aae440-5d53-45aa-97d0-42920b14a4a0</t>
  </si>
  <si>
    <t>NMLU-BOT_16</t>
  </si>
  <si>
    <t>Lichen herbarium Blank</t>
  </si>
  <si>
    <t>Estimated number of specimens (specimens in paper and paper envelopes): 1´000. Formation period: not reported. Geologic period: Present. Estimated number of species: not reported. Number of types: unknown. SCSPS: 4 [Elisabeth Danner, updated 2024-04-24]</t>
  </si>
  <si>
    <t>2024-09-02T16:39:09.007Z</t>
  </si>
  <si>
    <t>2024-09-16T12:25:33.755Z</t>
  </si>
  <si>
    <t>Belege aus der Zentral Schweiz</t>
  </si>
  <si>
    <t>A. Blank</t>
  </si>
  <si>
    <t>237282e9-079a-47a0-b35d-89e312a7e646</t>
  </si>
  <si>
    <t>NMLU-BOT_17</t>
  </si>
  <si>
    <t>Lichen herbarium NMLU (Generale) 1</t>
  </si>
  <si>
    <t>Estimated number of specimens (specimens in paper and paper envelopes): 4´000. Formation period: not reported. Geologic period: Present. Estimated number of species: not reported. Number of types: unknown. SCSPS: 4 [Elisabeth Danner, updated 2024-04-24]</t>
  </si>
  <si>
    <t>2024-09-02T16:39:07.558Z</t>
  </si>
  <si>
    <t>2024-09-16T12:25:52.812Z</t>
  </si>
  <si>
    <t>5e18e4ee-748b-4299-8ca3-8adfec599818</t>
  </si>
  <si>
    <t>NMLU-BOT_18</t>
  </si>
  <si>
    <t>Lichen herbarium NMLU (Generale) 2</t>
  </si>
  <si>
    <t>Estimated number of specimens (specimens in paper and paper envelopes): 4´000. Formation period: not reported. Geologic period: Present. Estimated number of species: not reported. Number of types: unknown. SCSPS: 1 [Elisabeth Danner, updated 2024-04-24]</t>
  </si>
  <si>
    <t>2024-09-02T16:39:06.117Z</t>
  </si>
  <si>
    <t>2024-09-16T12:26:11.614Z</t>
  </si>
  <si>
    <t>Grundlage für das Buch „Flora des Kantons Luzern“, hrg. von der NGL 1985</t>
  </si>
  <si>
    <t>f6796aec-7290-418c-bd4e-b94a2b9a043e</t>
  </si>
  <si>
    <t>NMLU-BOT_01</t>
  </si>
  <si>
    <t>Herbarium Lucernense</t>
  </si>
  <si>
    <t>Estimated number of specimens (mounted specimens (paper a3)): 27´116. Formation period: 1814-ongoing. Geologic period: Present. Estimated number of species: not reported. Number of types: unknown. SCSPS: 9 [Elisabeth Danner, updated 2024-04-24]</t>
  </si>
  <si>
    <t>2024-09-02T16:39:04.684Z</t>
  </si>
  <si>
    <t>2024-09-16T12:20:43.063Z</t>
  </si>
  <si>
    <t>Hans Wallimann</t>
  </si>
  <si>
    <t>Formation period: 1814-ongoing</t>
  </si>
  <si>
    <t>9254e026-964e-4aae-9943-23ffd6c63342</t>
  </si>
  <si>
    <t>NMLU-BOT_02</t>
  </si>
  <si>
    <t>Herbarium Wallimann</t>
  </si>
  <si>
    <t>Estimated number of specimens (mounted specimens (paper a3)): 16´041. Formation period: 1897-1990. Geologic period: Present. Estimated number of species: not reported. Number of types: unknown. SCSPS: 9 [Elisabeth Danner, updated 2024-04-24]</t>
  </si>
  <si>
    <t>2024-09-02T16:39:03.281Z</t>
  </si>
  <si>
    <t>2024-09-16T12:26:47.903Z</t>
  </si>
  <si>
    <t>Grundlage für das Buch ""Moosflora des Kantons Luzern"", hrg. Von der Naturf. Ges. Luzern2016</t>
  </si>
  <si>
    <t>Formation period: 1897-1990</t>
  </si>
  <si>
    <t>d9809926-be26-4cc6-b41d-9e307f417dda</t>
  </si>
  <si>
    <t>NMLU-BOT_03</t>
  </si>
  <si>
    <t>Herbarium Generale (Vascular plants)</t>
  </si>
  <si>
    <t>Estimated number of specimens (mounted specimens (paper a3)): 35´000. Formation period: not reported. Geologic period: Present. Estimated number of species: not reported. Number of types: unknown. SCSPS: 5 (-9) [Elisabeth Danner, updated 2024-04-24]</t>
  </si>
  <si>
    <t>2024-09-02T16:39:01.860Z</t>
  </si>
  <si>
    <t>2024-09-16T12:14:43.045Z</t>
  </si>
  <si>
    <t>gbif:ih:irn:125504;47bd6d81-ac60-4dee-a5c9-8e66f5c3b5cd</t>
  </si>
  <si>
    <r>
      <rPr>
        <sz val="10"/>
        <color indexed="8"/>
        <rFont val="Helvetica Neue"/>
        <family val="2"/>
      </rPr>
      <t xml:space="preserve">Elisabeth Danner </t>
    </r>
    <r>
      <rPr>
        <u/>
        <sz val="10"/>
        <color indexed="8"/>
        <rFont val="Helvetica Neue"/>
        <family val="2"/>
      </rPr>
      <t>elisabeth.danner@lu.ch</t>
    </r>
    <r>
      <rPr>
        <sz val="10"/>
        <color indexed="8"/>
        <rFont val="Helvetica Neue"/>
        <family val="2"/>
      </rPr>
      <t xml:space="preserve"> Curator;Rolf Mürner </t>
    </r>
    <r>
      <rPr>
        <u/>
        <sz val="10"/>
        <color indexed="8"/>
        <rFont val="Helvetica Neue"/>
        <family val="2"/>
      </rPr>
      <t>rmuerner@naturmuseum.ch</t>
    </r>
  </si>
  <si>
    <t>Anton Ehrler</t>
  </si>
  <si>
    <t>5c4aaa03-fa58-4daf-8fb1-792ad90a2f13</t>
  </si>
  <si>
    <t>NMLU-BOT_04</t>
  </si>
  <si>
    <t>Fern collection Ehrler</t>
  </si>
  <si>
    <t>Estimated number of specimens (mounted specimens (paper a3)): not reported. Formation period: 1872-1965. Geologic period: Present. Estimated number of species: not reported. Number of types: unknown. SCSPS: 5 [Elisabeth Danner, updated 2024-04-24]</t>
  </si>
  <si>
    <t>2024-09-02T16:39:00.403Z</t>
  </si>
  <si>
    <t>2024-09-16T12:27:06.796Z</t>
  </si>
  <si>
    <t>Formation period: 1872-1965</t>
  </si>
  <si>
    <t>1101fc60-b209-4b05-b7cd-90a33767d58e</t>
  </si>
  <si>
    <t>NMLU-BOT_05</t>
  </si>
  <si>
    <t>Garden and park flora</t>
  </si>
  <si>
    <t>Estimated number of specimens (mounted specimens (paper a3)): not reported. Formation period: not reported. Geologic period: Present. Estimated number of species: not reported. Number of types: unknown. SCSPS: 4 [Elisabeth Danner, updated 2024-04-24]</t>
  </si>
  <si>
    <t>2024-09-02T16:38:58.948Z</t>
  </si>
  <si>
    <t>2024-09-16T12:27:28.770Z</t>
  </si>
  <si>
    <t>Fredi Zemp</t>
  </si>
  <si>
    <t>7a0138b4-2c3c-4da6-8a24-1d50488e9540</t>
  </si>
  <si>
    <t>NMLU-BOT_06</t>
  </si>
  <si>
    <t>Greenland collection Bachmann</t>
  </si>
  <si>
    <t>Estimated number of specimens (pressed specimens): not reported. Formation period: 1892-1940. Geologic period: Present. Estimated number of species: not reported. Number of types: unknown. SCSPS: 4 [Elisabeth Danner, updated 2024-04-24]</t>
  </si>
  <si>
    <t>2024-09-02T16:38:57.399Z</t>
  </si>
  <si>
    <t>2024-09-16T12:27:51.688Z</t>
  </si>
  <si>
    <t>Formation period: 1892-1940</t>
  </si>
  <si>
    <t>9e1d6433-43b7-4dd4-9e71-623cc9a06655</t>
  </si>
  <si>
    <t>NMLU-BOT_08</t>
  </si>
  <si>
    <t>Herbarium Zemp</t>
  </si>
  <si>
    <t>Estimated number of specimens (specimens in paper envelopes in wooden boxes): 19´723. Formation period: not reported. Geologic period: Present. Estimated number of species: 700. Number of types: unknown. SCSPS: 9 [Elisabeth Danner, updated 2024-04-24]</t>
  </si>
  <si>
    <t>2024-09-02T16:38:55.887Z</t>
  </si>
  <si>
    <t>2024-09-16T12:30:33.645Z</t>
  </si>
  <si>
    <t>051ee55b-4d49-41bd-966e-c0fd2ea57217</t>
  </si>
  <si>
    <t>NMLU-BOT_09</t>
  </si>
  <si>
    <t>Herbarium Greter</t>
  </si>
  <si>
    <t>Estimated number of specimens (specimens in paper envelopes in wooden boxes): 9´439. Formation period: 1899-1984. Geologic period: Present. Estimated number of species: not reported. Number of types: unknown. SCSPS: 9 [Elisabeth Danner, updated 2024-04-24]</t>
  </si>
  <si>
    <t>2024-09-02T16:38:54.437Z</t>
  </si>
  <si>
    <t>2024-09-16T12:30:03.364Z</t>
  </si>
  <si>
    <t>Schenkung vom Kloster Engelberg 1992</t>
  </si>
  <si>
    <t>Pater Fintan Greter</t>
  </si>
  <si>
    <t>Formation period: 1899-1984</t>
  </si>
  <si>
    <t>daf374ab-e504-4b65-bb5f-403d0d9dfecd</t>
  </si>
  <si>
    <t>NMLU-BOT_10</t>
  </si>
  <si>
    <t>Herbarium Widmer</t>
  </si>
  <si>
    <t>Estimated number of specimens (specimens in paper envelopes in wooden boxes): 1´479. Formation period: 1899-1955. Geologic period: Present. Estimated number of species: not reported. Number of types: unknown. SCSPS: 9 [Elisabeth Danner, updated 2024-04-24]</t>
  </si>
  <si>
    <t>2024-09-02T16:38:53.000Z</t>
  </si>
  <si>
    <t>2024-09-16T12:29:39.775Z</t>
  </si>
  <si>
    <t>Schenkung vom Kloster Engelberg 1992; Grundlage für das Buch ""Flechten - Faszinierende Vielfalt in der Bergwelt um Engelberg auf den Spuren von Pater Fintan Greter (1899-1984); hrg. von der Naturf. Ges. Ob- und Nidwalden 2014</t>
  </si>
  <si>
    <t>Franz Widmer</t>
  </si>
  <si>
    <t>Formation period: 1899-1955</t>
  </si>
  <si>
    <t>b63fc308-ef38-4f54-8a4a-e47b9e411bb9</t>
  </si>
  <si>
    <t>NMLU-BOT_13</t>
  </si>
  <si>
    <t>Herbarium Pater Fintan Greter</t>
  </si>
  <si>
    <t>Estimated number of specimens (specimens in paper and paper envelopes): 3´077. Formation period: 1899-1984. Geologic period: Present. Estimated number of species: 264. Number of types: unknown. SCSPS: 9 [Elisabeth Danner, updated 2024-04-24]</t>
  </si>
  <si>
    <t>2024-09-02T16:38:51.580Z</t>
  </si>
  <si>
    <t>2024-09-16T12:24:45.762Z</t>
  </si>
  <si>
    <t>9e0d3e22-8279-42dd-a3f0-57f0266e1200</t>
  </si>
  <si>
    <t>NMLU-ENT_44</t>
  </si>
  <si>
    <t>Thematic entomological collection</t>
  </si>
  <si>
    <t>Estimated number of specimens (pinned specimens): not reported. Formation period: 1978-ongoing. Geologic period: Present. Estimated number of species: not reported. Number of types: unknown. SCSPS: 5 (-6) [Marco V. Bernasconi, updated 2024-04-18]</t>
  </si>
  <si>
    <r>
      <rPr>
        <u/>
        <sz val="10"/>
        <color indexed="8"/>
        <rFont val="Helvetica Neue"/>
        <family val="2"/>
      </rPr>
      <t>marco.bernasconi@lu.ch</t>
    </r>
  </si>
  <si>
    <t>2024-09-02T16:37:45.885Z</t>
  </si>
  <si>
    <t>Pinned specimens in 125 Insektenkästen, und andere Präparate auch aus dem Insektenbestimmungsdienst</t>
  </si>
  <si>
    <r>
      <rPr>
        <sz val="10"/>
        <color indexed="8"/>
        <rFont val="Helvetica Neue"/>
        <family val="2"/>
      </rPr>
      <t xml:space="preserve">Ladislaus Reser;Peter Herger;Marco Bernasconi;Denise Wyniger;Christoph Germann (1978) </t>
    </r>
    <r>
      <rPr>
        <u/>
        <sz val="10"/>
        <color indexed="8"/>
        <rFont val="Helvetica Neue"/>
        <family val="2"/>
      </rPr>
      <t>https://www.researchgate.net/profile/Christoph_Germann</t>
    </r>
  </si>
  <si>
    <t>7bf71768-70a9-48b6-9e8b-b69890a14e01</t>
  </si>
  <si>
    <t>NMLU-ENT_45</t>
  </si>
  <si>
    <t>Beetle collection, duplicates</t>
  </si>
  <si>
    <t>Estimated number of specimens (pinned specimens): 2´000. Formation period: 1978-ongoing. Geologic period: Present. Estimated number of species: not reported. Number of types: unknown. SCSPS: 9 [Marco V. Bernasconi, updated 2024-04-18]</t>
  </si>
  <si>
    <t>2024-09-02T16:37:44.411Z</t>
  </si>
  <si>
    <t>Pinned specimens, Insektenkästen</t>
  </si>
  <si>
    <t>Ladislaus Reser;Peter Herger;Roman Graf</t>
  </si>
  <si>
    <t>bdfb2ec0-cfbe-44b4-b7be-d3af82c65f21</t>
  </si>
  <si>
    <t>NMLU-ENT_46</t>
  </si>
  <si>
    <t>Plexiglas specimens</t>
  </si>
  <si>
    <t>Estimated number of specimens (specimens in plexiglas): 94. Formation period: not reported. Geologic period: Present. Estimated number of species: not reported. Number of types: unknown. SCSPS: 6 [Marco V. Bernasconi, updated 2024-04-18]</t>
  </si>
  <si>
    <t>2024-09-02T16:37:43.000Z</t>
  </si>
  <si>
    <t>Plexiglas-Präparate</t>
  </si>
  <si>
    <t>Georg Surbeck</t>
  </si>
  <si>
    <t>a21859a7-fc9f-4404-ab06-4707dfb57511</t>
  </si>
  <si>
    <t>NMLU-ZOO_08</t>
  </si>
  <si>
    <t>Molluscs collection (Surbeck)</t>
  </si>
  <si>
    <t>Estimated number of specimens: 30´000. Formation period: 1900-1936. Geologic period: Present. Estimated number of species: not reported. Number of types: unknown. SCSPS: 9 [René Heim;Tamara Emmenegger, updated 2019-11-20]</t>
  </si>
  <si>
    <r>
      <rPr>
        <u/>
        <sz val="10"/>
        <color indexed="8"/>
        <rFont val="Helvetica Neue"/>
        <family val="2"/>
      </rPr>
      <t>tamara.emmenegger@lu.ch</t>
    </r>
  </si>
  <si>
    <t>2024-09-02T16:37:41.519Z</t>
  </si>
  <si>
    <t>Mollusken-Sammlung ohne Nacktschnecken von Georg Surbeck</t>
  </si>
  <si>
    <t>Formation period: 1900-1936</t>
  </si>
  <si>
    <t>d62e526e-d288-44dc-8e1e-4f02a4ab214e</t>
  </si>
  <si>
    <t>NMLU-ZOO_09</t>
  </si>
  <si>
    <t>Slug collection (Limax)</t>
  </si>
  <si>
    <t>Estimated number of specimens (wet (alcohol) preserved specimens): 600. Formation period: 1990-ongoing. Geologic period: Present. Estimated number of species: not reported. Number of types: unknown. SCSPS: 9 [René Heim;Tamara Emmenegger, updated 2019-11-20]</t>
  </si>
  <si>
    <t>2024-09-02T16:37:40.040Z</t>
  </si>
  <si>
    <t>Mollusca: Gastropoda: Limacidae; Arionidae</t>
  </si>
  <si>
    <t>Mollusken-Spezialsammlung; Sammlungsteile sind Bestandteil eines internationalen Forschungsprojektes</t>
  </si>
  <si>
    <t>René Heim</t>
  </si>
  <si>
    <t>Formation period: 1990-ongoing</t>
  </si>
  <si>
    <t>93fe6ae4-f24d-4753-9caf-c25009f4f46d</t>
  </si>
  <si>
    <t>NMLU-ZOO_10</t>
  </si>
  <si>
    <t>Marine Collection  Bachmann, from Naples 1900</t>
  </si>
  <si>
    <t>Estimated number of specimens (wet (formalin) preserved specimens): 70. Formation period: 1900-ongoing. Geologic period: Present. Estimated number of species: not reported. Number of types: unknown. SCSPS: 5 [René Heim;Tamara Emmenegger, updated 2019-11-20]</t>
  </si>
  <si>
    <t>2024-09-02T16:37:38.586Z</t>
  </si>
  <si>
    <t>Marine Objekte aus der gegend Neapel in Flüssigkeit</t>
  </si>
  <si>
    <t>Hans Bachmann</t>
  </si>
  <si>
    <t>Formation period: 1900-ongoing</t>
  </si>
  <si>
    <t>98ceb64d-0cf7-4736-9965-4f71afd0425e</t>
  </si>
  <si>
    <t>NMLU-ZOO_12</t>
  </si>
  <si>
    <t>Marine molluscs</t>
  </si>
  <si>
    <t>Estimated number of specimens: 50´000. Formation period: 1930-1976. Geologic period: Present. Estimated number of species: not reported. Number of types: unknown. SCSPS: 2 [René Heim;Tamara Emmenegger, updated 2019-11-20]</t>
  </si>
  <si>
    <t>2024-09-02T16:37:37.148Z</t>
  </si>
  <si>
    <t>Schnecken und Muscheln welt-weit, fast alles ohne Daten, häufig schlechter Zustand</t>
  </si>
  <si>
    <t>J. Troller;René Heim</t>
  </si>
  <si>
    <t>Formation period: 1930-1976</t>
  </si>
  <si>
    <t>4e7900f8-2aa1-455b-862e-f0dbba0cf558</t>
  </si>
  <si>
    <t>NMLU-ZOO_13</t>
  </si>
  <si>
    <t>Lower animals: Sponges &amp; Corals</t>
  </si>
  <si>
    <t>Estimated number of specimens: 200. Formation period: not reported. Geologic period: Present. Estimated number of species: not reported. Number of types: unknown. SCSPS: 2 [René Heim;Tamara Emmenegger, updated 2019-11-20]</t>
  </si>
  <si>
    <t>2024-09-02T16:37:35.742Z</t>
  </si>
  <si>
    <t>Porifera; Anthozoa</t>
  </si>
  <si>
    <t>Wissenschaftliche Beleg-Sammlung</t>
  </si>
  <si>
    <t>ffbd7ec1-c5ae-4cbf-8401-1dba78785f89</t>
  </si>
  <si>
    <t>NMLU-ZOO_01</t>
  </si>
  <si>
    <t>Vertebrate collection: mounted birds + mammals</t>
  </si>
  <si>
    <t>Estimated number of specimens (mounted specimens): 700. Formation period: 1827-ongoing. Geologic period: Present. Estimated number of species: not reported. Number of types: unknown. SCSPS: 6 (-8) [René Heim;Tamara Emmenegger, updated 2019-11-20]</t>
  </si>
  <si>
    <t>2024-09-02T16:37:34.318Z</t>
  </si>
  <si>
    <t>Vertebrata: Aves; Mammalia</t>
  </si>
  <si>
    <t>Formation period: 1827-ongoing</t>
  </si>
  <si>
    <t>49241146-4666-49f3-b946-faf4df42cfdc</t>
  </si>
  <si>
    <t>NMLU-ZOO_02</t>
  </si>
  <si>
    <t>Avian skin collection (skeleton parts / skull)</t>
  </si>
  <si>
    <t>Estimated number of specimens (wissenschaftliche balgsammlung ): 1´180. Formation period: 1870-ongoing. Geologic period: Present. Estimated number of species: not reported. Number of types: unknown. SCSPS: 8 [René Heim;Tamara Emmenegger, updated 2019-11-20]</t>
  </si>
  <si>
    <t>2024-09-02T16:37:32.870Z</t>
  </si>
  <si>
    <t>Vertebrata: Aves</t>
  </si>
  <si>
    <t>Wissenschaftliche Balgsammlung</t>
  </si>
  <si>
    <t>Formation period: 1870-ongoing</t>
  </si>
  <si>
    <t>2f8dccd0-c491-49b4-bfea-36a01cca9797</t>
  </si>
  <si>
    <t>NMLU-ZOO_03</t>
  </si>
  <si>
    <t>Mammal skin collection (skeleton parts / skull)</t>
  </si>
  <si>
    <t>Estimated number of specimens (wissenschaftliche balgsammlung ): 450. Formation period: 1980-ongoing. Geologic period: Present. Estimated number of species: not reported. Number of types: unknown. SCSPS: 8 [René Heim;Tamara Emmenegger, updated 2019-11-20]</t>
  </si>
  <si>
    <t>2024-09-02T16:37:31.417Z</t>
  </si>
  <si>
    <t>Vertebrata: Mammalia</t>
  </si>
  <si>
    <t>Formation period: 1980-ongoing</t>
  </si>
  <si>
    <t>b59e4415-dde8-40b6-967d-3c4df8399ea9</t>
  </si>
  <si>
    <t>NMLU-ZOO_04</t>
  </si>
  <si>
    <t>Parrot collection</t>
  </si>
  <si>
    <t>Estimated number of specimens (mounted specimens): 64. Formation period: 1880-1900. Geologic period: Present. Estimated number of species: not reported. Number of types: unknown. SCSPS: 4 [René Heim;Tamara Emmenegger, updated 2019-11-20]</t>
  </si>
  <si>
    <t>2024-09-02T16:37:29.944Z</t>
  </si>
  <si>
    <t>Vertebrata: Aves; Psittaciformes</t>
  </si>
  <si>
    <t>Linsenmaier-Sammlung und Schenkung Roebert Stocker</t>
  </si>
  <si>
    <t>Formation period: 1880-1900</t>
  </si>
  <si>
    <t>d9c9a558-90fb-4329-84c9-1ea728d7f32d</t>
  </si>
  <si>
    <t>NMLU-ZOO_05</t>
  </si>
  <si>
    <t>Greenland Bachmann Collection</t>
  </si>
  <si>
    <t>Estimated number of specimens (various specimens): 68. Formation period: 1908-ongoing. Geologic period: Present. Estimated number of species: not reported. Number of types: unknown. SCSPS: 8 [René Heim;Tamara Emmenegger, updated 2019-11-20]</t>
  </si>
  <si>
    <t>2024-09-02T16:37:28.521Z</t>
  </si>
  <si>
    <t>Belege von arktischen Tieren von Grönlandreise von Hans  Bachmann, Konservator im NML von 1892-1940.</t>
  </si>
  <si>
    <t>Formation period: 1908-ongoing</t>
  </si>
  <si>
    <t>65ec9fea-c063-430d-9cb4-4d9291dea5ea</t>
  </si>
  <si>
    <t>NMLU-ZOO_06</t>
  </si>
  <si>
    <t>Linsenmaier Collection Animal World Panorama: Vertebrates &amp; Birds</t>
  </si>
  <si>
    <t>Estimated number of specimens (mounted specimens): 180. Formation period: 1924-1998. Geologic period: Present. Estimated number of species: not reported. Number of types: unknown. SCSPS: 1 (-8) [René Heim;Tamara Emmenegger, updated 2019-11-20]</t>
  </si>
  <si>
    <t>2024-09-02T16:37:26.927Z</t>
  </si>
  <si>
    <t>Bei der Auflösung des Muse-ums von Walter Linsenmaier ging ein Teil der Montagen an das Natur-Museum</t>
  </si>
  <si>
    <r>
      <rPr>
        <sz val="10"/>
        <color indexed="8"/>
        <rFont val="Helvetica Neue"/>
        <family val="2"/>
      </rPr>
      <t xml:space="preserve">Walter Linsenmaier (1917/2000) </t>
    </r>
    <r>
      <rPr>
        <u/>
        <sz val="10"/>
        <color indexed="8"/>
        <rFont val="Helvetica Neue"/>
        <family val="2"/>
      </rPr>
      <t>https://viaf.org/viaf/22669656</t>
    </r>
  </si>
  <si>
    <t>Formation period: 1924-1998</t>
  </si>
  <si>
    <t>3d42b619-f4d6-48f5-8074-cddb8dde193e</t>
  </si>
  <si>
    <t>NMLU-ZOO_07</t>
  </si>
  <si>
    <t>Wet (Alcohol) collection Amphibians, reptiles, fish. Mammals</t>
  </si>
  <si>
    <t>Estimated number of specimens (wet preserved specimens): 330. Formation period: 1880-1904. Geologic period: Present. Estimated number of species: not reported. Number of types: unknown. SCSPS: 7 (-8) [René Heim;Tamara Emmenegger, updated 2019-11-20]</t>
  </si>
  <si>
    <t>2024-09-02T16:37:25.364Z</t>
  </si>
  <si>
    <t>Wissenschaftliche WirbeltierBelegsammlung in Flüssgkeit (Ethanol / Formalin)</t>
  </si>
  <si>
    <t>Otto Appert</t>
  </si>
  <si>
    <t>Formation period: 1880-1904</t>
  </si>
  <si>
    <t>cb336c7a-6252-4549-9a1d-730e7e24a030</t>
  </si>
  <si>
    <t>NMLU-ZOO_16</t>
  </si>
  <si>
    <t>Paradise parrot pair</t>
  </si>
  <si>
    <t>Estimated number of specimens (mounted specimen): 1. Formation period: 1880-ongoing. Geologic period: Present. Estimated number of species: not reported. Number of types: unknown. SCSPS: 6 [René Heim;Tamara Emmenegger, updated 2019-11-20]</t>
  </si>
  <si>
    <t>2024-09-02T16:37:23.683Z</t>
  </si>
  <si>
    <t>Kostbarkeit. Ausgestorbene Art. Weltweit gibt es vielleicht 20 solche Präparate.</t>
  </si>
  <si>
    <t>Formation period: 1880-ongoing</t>
  </si>
  <si>
    <t>e720fa25-5282-416d-8fc5-3efdfb7bf0f2</t>
  </si>
  <si>
    <t>NMLU-ZOO_17</t>
  </si>
  <si>
    <t>Kakapo, New Zealand</t>
  </si>
  <si>
    <t>Estimated number of specimens (mounted specimen): 1. Formation period: 1905-ongoing. Geologic period: Present. Estimated number of species: not reported. Number of types: unknown. SCSPS: 6 [René Heim;Tamara Emmenegger, updated 2019-11-20]</t>
  </si>
  <si>
    <t>2024-09-02T16:37:22.120Z</t>
  </si>
  <si>
    <t>Kostbarkeit</t>
  </si>
  <si>
    <t>fdd2bf9c-84f3-42fd-80e5-234109bd7968</t>
  </si>
  <si>
    <t>NMLU-ZOO_18</t>
  </si>
  <si>
    <t>Kiwi, New Zealand</t>
  </si>
  <si>
    <t>Estimated number of specimens (mounted specimen): 1. Formation period: 1880-1900. Geologic period: Present. Estimated number of species: not reported. Number of types: unknown. SCSPS: 6 [René Heim;Tamara Emmenegger, updated 2019-11-20]</t>
  </si>
  <si>
    <t>2024-09-02T16:37:20.480Z</t>
  </si>
  <si>
    <t>5c6ce9f4-00ac-4c4c-8323-f724cfaad28d</t>
  </si>
  <si>
    <t>NMLU-ZOO_19</t>
  </si>
  <si>
    <t>Vertebrates</t>
  </si>
  <si>
    <t>Estimated number of specimens (mounted specimens): 300. Formation period: 1930-ongoing. Geologic period: Present. Estimated number of species: not reported. Number of types: unknown. SCSPS: not reported [René Heim;Tamara Emmenegger, updated 2019-11-20]</t>
  </si>
  <si>
    <t>2024-09-02T16:37:18.926Z</t>
  </si>
  <si>
    <t>Teilweise gute oder schlechte Präparate</t>
  </si>
  <si>
    <t>Formation period: 1930-ongoing</t>
  </si>
  <si>
    <t>6e3cd63c-8781-4a06-8895-4809be3982d1</t>
  </si>
  <si>
    <t>NMLU-GEO_19</t>
  </si>
  <si>
    <t>Giant of Reiden</t>
  </si>
  <si>
    <t>Estimated number of specimens (bone): 1. Formation period: 1577-ongoing. Geologic period: Quarternary-unknown. Estimated number of species: not reported. Number of types: unknown. SCSPS: 8 [Benedict Hotz, updated 2019-11-20]</t>
  </si>
  <si>
    <r>
      <rPr>
        <u/>
        <sz val="10"/>
        <color indexed="8"/>
        <rFont val="Helvetica Neue"/>
        <family val="2"/>
      </rPr>
      <t>benedict.hotz@lu.ch</t>
    </r>
  </si>
  <si>
    <t>2024-09-02T16:37:17.404Z</t>
  </si>
  <si>
    <t>Vertebrata: Mammalia; Mammuthus primigenius</t>
  </si>
  <si>
    <t>Einziger Überrest in der Schweiz des Mammut-Fundes von 1577</t>
  </si>
  <si>
    <t>Formation period: 1577-ongoing. Geologic period: Quarternary-unknown</t>
  </si>
  <si>
    <t>c0fc2a61-1808-4a66-853f-64f75d639e0a</t>
  </si>
  <si>
    <t>NMLU-GEO_20</t>
  </si>
  <si>
    <t>Mammoth tusk</t>
  </si>
  <si>
    <t>Estimated number of specimens (tusk): 1. Formation period: 2000-ongoing. Geologic period: Quarternary-unknown. Estimated number of species: not reported. Number of types: unknown. SCSPS: 9 [Benedict Hotz, updated 2019-11-20]</t>
  </si>
  <si>
    <t>2024-09-02T16:37:15.960Z</t>
  </si>
  <si>
    <t>Stosszahnbruchstück von Übergangsform zu Mammuthus primigenius</t>
  </si>
  <si>
    <t>Formation period: 2000-ongoing. Geologic period: Quarternary-unknown</t>
  </si>
  <si>
    <t>0eade9dd-7485-4163-be4f-40f2d7cae82e</t>
  </si>
  <si>
    <t>NMLU-GEO_21</t>
  </si>
  <si>
    <t>Estimated number of specimens (tusk): 1. Formation period: 2006-ongoing. Geologic period: Quarternary. Estimated number of species: not reported. Number of types: unknown. SCSPS: 9 [Benedict Hotz, updated 2019-11-20]</t>
  </si>
  <si>
    <t>2024-09-02T16:37:14.495Z</t>
  </si>
  <si>
    <t>2024-09-04T07:22:03.156Z</t>
  </si>
  <si>
    <t>Fast vollständig erhaltener Stosszahn</t>
  </si>
  <si>
    <t>Formation period: 2006-ongoing. Geologic period: Quarternary</t>
  </si>
  <si>
    <t>c49e9c9d-be40-4505-bd6e-f3e376d4f0fd</t>
  </si>
  <si>
    <t>NMLU-GEO_9</t>
  </si>
  <si>
    <t>Paleontology Collection Vertebrates</t>
  </si>
  <si>
    <t>Estimated number of specimens (bones): 400. Formation period: 1850-ongoing. Geologic period: Quaternary-unknown. Estimated number of species: not reported. Number of types: unknown. SCSPS: 2 [Benedict Hotz, updated 2019-11-20]</t>
  </si>
  <si>
    <t>2024-09-02T16:37:13.008Z</t>
  </si>
  <si>
    <t>Knochen- und Zahnfunde</t>
  </si>
  <si>
    <t>Formation period: 1850-ongoing. Geologic period: Quaternary-unknown</t>
  </si>
  <si>
    <t>e97fad7b-dcda-41c9-a89f-563bb8db26b8</t>
  </si>
  <si>
    <t>NMLU-GEO_10</t>
  </si>
  <si>
    <t>Paleobotany Collection Central Switzerland</t>
  </si>
  <si>
    <t>Estimated number of specimens (rock sample): 1´500. Formation period: 1960-2012. Geologic period: Tertiary-unknown. Estimated number of species: not reported. Number of types: unknown. SCSPS: 3 [Benedict Hotz, updated 2019-11-20]</t>
  </si>
  <si>
    <t>2024-09-02T16:37:11.522Z</t>
  </si>
  <si>
    <t>Tertiärfossilien vom Sulzigtobel (LU)</t>
  </si>
  <si>
    <t>Formation period: 1960-2012. Geologic period: Tertiary-unknown</t>
  </si>
  <si>
    <t>436f387a-a608-4d31-b0e9-c08a3973c5f3</t>
  </si>
  <si>
    <t>NMLU-GEO_11</t>
  </si>
  <si>
    <t>Paleobotany Collection Switzerland/Alps</t>
  </si>
  <si>
    <t>Estimated number of specimens (rock sample): 500. Formation period: 1850-ongoing. Geologic period: Carboniferous-Tertiary. Estimated number of species: not reported. Number of types: unknown. SCSPS: 2 [Benedict Hotz, updated 2019-11-20]</t>
  </si>
  <si>
    <t>2024-09-02T16:37:10.057Z</t>
  </si>
  <si>
    <t>Handstücke von diversen Fundorten in der Zentralschweiz</t>
  </si>
  <si>
    <t>Franz Josef Kaufmann</t>
  </si>
  <si>
    <t>Formation period: 1850-ongoing. Geologic period: Carboniferous-Tertiary</t>
  </si>
  <si>
    <t>1604ac4c-e26a-46d5-b204-cedcf28f227a</t>
  </si>
  <si>
    <t>NMLU-GEO_12</t>
  </si>
  <si>
    <t>Paleobotany Collection Europe</t>
  </si>
  <si>
    <t>2024-09-02T16:37:08.577Z</t>
  </si>
  <si>
    <t>1cbd5060-322e-4486-ae27-99d372ddea86</t>
  </si>
  <si>
    <t>NMLU-GEO_6</t>
  </si>
  <si>
    <t>Paleontology Voucher specimens Collection Invertebrates Central Switzerland/Alps</t>
  </si>
  <si>
    <t>Estimated number of specimens (rock sample): 6´000. Formation period: 1860-1892. Geologic period: Jurassic-Tertiary. Estimated number of species: not reported. Number of types: 1. SCSPS: 2 [Benedict Hotz, updated 2019-11-20]</t>
  </si>
  <si>
    <t>2024-09-02T16:37:07.146Z</t>
  </si>
  <si>
    <t>Formation period: 1860-1892. Geologic period: Jurassic-Tertiary</t>
  </si>
  <si>
    <t>be45f383-fc9e-4107-8795-1b88b894d162</t>
  </si>
  <si>
    <t>NMLU-GEO_7</t>
  </si>
  <si>
    <t>Paleontology Collection Invertebrates Jura/ Southern Switzerland</t>
  </si>
  <si>
    <t>Estimated number of specimens (rock sample): 2´000. Formation period: 1850-ongoing. Geologic period: Jurassic-Tertiary. Estimated number of species: not reported. Number of types: unknown. SCSPS: 2 [Benedict Hotz, updated 2019-11-20]</t>
  </si>
  <si>
    <t>2024-09-02T16:37:05.662Z</t>
  </si>
  <si>
    <t>Bemalte Tonkugel von ausserordentlicher Ausstrahlung</t>
  </si>
  <si>
    <t>Formation period: 1850-ongoing. Geologic period: Jurassic-Tertiary</t>
  </si>
  <si>
    <t>97832906-c9dc-4669-ab9e-a690fbc02c60</t>
  </si>
  <si>
    <t>NMLU-GEO_8</t>
  </si>
  <si>
    <t>Paleontology Collection Invertebrates Europe</t>
  </si>
  <si>
    <t>Estimated number of specimens (rock sample): 3´000. Formation period: 1850-ongoing. Geologic period: Devonian-Tertiary. Estimated number of species: not reported. Number of types: unknown. SCSPS: 2 [Benedict Hotz, updated 2019-11-20]</t>
  </si>
  <si>
    <t>2024-09-02T16:37:04.241Z</t>
  </si>
  <si>
    <t>Formation period: 1850-ongoing. Geologic period: Devonian-Tertiary</t>
  </si>
  <si>
    <t>32e77e75-9b6f-4646-b225-5ac7956a8f44</t>
  </si>
  <si>
    <t>NMLU-GEO_18</t>
  </si>
  <si>
    <t>Dragonstone</t>
  </si>
  <si>
    <t>Estimated number of specimens (bullet of clay): 1. Formation period: 1421-ongoing. Geologic period: not reported. Estimated number of species: not reported. Number of types: unknown. SCSPS: 8 [Benedict Hotz, updated 2019-11-20]</t>
  </si>
  <si>
    <t>Archaeological</t>
  </si>
  <si>
    <t>2024-09-02T16:37:02.803Z</t>
  </si>
  <si>
    <t>Formation period: 1421-ongoing. Geologic period: not reported</t>
  </si>
  <si>
    <t>59eb7397-b0a2-43d9-a870-52e880041b44</t>
  </si>
  <si>
    <t>NMLU-GEO_1</t>
  </si>
  <si>
    <t>Special collection ""Quartz""</t>
  </si>
  <si>
    <t>Estimated number of specimens (rock sample): 4´000. Formation period: 1920-2010. Geologic period: not reported. Estimated number of species: not reported. Number of types: unknown. SCSPS: 5 [Benedict Hotz, updated 2019-11-20]</t>
  </si>
  <si>
    <t>2024-09-02T16:37:01.368Z</t>
  </si>
  <si>
    <t>Quarz-Einzelkristalle und -Stufen</t>
  </si>
  <si>
    <t>Formation period: 1920-2010. Geologic period: not reported</t>
  </si>
  <si>
    <t>fdd47590-283a-4194-8dda-7135b064478a</t>
  </si>
  <si>
    <t>NMLU-GEO_13</t>
  </si>
  <si>
    <t>Tunnel Voucher specimen collections</t>
  </si>
  <si>
    <t>Estimated number of specimens (rock sample): 500. Formation period: 1875-1912. Geologic period: not reported. Estimated number of species: not reported. Number of types: unknown. SCSPS: 2 [Benedict Hotz, updated 2019-11-20]</t>
  </si>
  <si>
    <t>2024-09-02T16:36:59.873Z</t>
  </si>
  <si>
    <t>Salz- und flüssige Erdölproben</t>
  </si>
  <si>
    <t>Formation period: 1875-1912. Geologic period: not reported</t>
  </si>
  <si>
    <t>07645145-9869-426a-b891-031d345c4ec4</t>
  </si>
  <si>
    <t>NMLU-GEO_14</t>
  </si>
  <si>
    <t>Drill hole voucher specimen collection</t>
  </si>
  <si>
    <t>Estimated number of specimens (rock sample): 100. Formation period: 1910-1964. Geologic period: not reported. Estimated number of species: not reported. Number of types: unknown. SCSPS: 2 [Benedict Hotz, updated 2019-11-20]</t>
  </si>
  <si>
    <t>2024-09-02T16:36:58.410Z</t>
  </si>
  <si>
    <t>Formation period: 1910-1964. Geologic period: not reported</t>
  </si>
  <si>
    <t>b339450e-5854-4903-9dd6-084e27639649</t>
  </si>
  <si>
    <t>NMLU-GEO_15</t>
  </si>
  <si>
    <t>Greenland Collection Bachmann</t>
  </si>
  <si>
    <t>Estimated number of specimens (rock sample): 200. Formation period: 1908-ongoing. Geologic period: not reported. Estimated number of species: not reported. Number of types: unknown. SCSPS: 3 [Benedict Hotz, updated 2019-11-20]</t>
  </si>
  <si>
    <t>2024-09-02T16:36:56.928Z</t>
  </si>
  <si>
    <t>Mineralien, Gesteine und Blattfossilen von der Insel Disko, Grönland</t>
  </si>
  <si>
    <t>Formation period: 1908-ongoing. Geologic period: not reported</t>
  </si>
  <si>
    <t>a5bd14ef-06e5-444c-a3e7-7874df7f22f2</t>
  </si>
  <si>
    <t>NMLU-GEO_16</t>
  </si>
  <si>
    <t>Demonstration collections</t>
  </si>
  <si>
    <t>Estimated number of specimens (rock sample): 800. Formation period: 1960-ongoing. Geologic period: not reported. Estimated number of species: not reported. Number of types: unknown. SCSPS: 2 [Benedict Hotz, updated 2019-11-20]</t>
  </si>
  <si>
    <t>2024-09-02T16:36:55.449Z</t>
  </si>
  <si>
    <t>Handstücke</t>
  </si>
  <si>
    <t>Formation period: 1960-ongoing. Geologic period: not reported</t>
  </si>
  <si>
    <t>a802b4f0-eb18-49fd-8724-6f432ba69b89</t>
  </si>
  <si>
    <t>NMLU-GEO_3</t>
  </si>
  <si>
    <t>Rocks (petrography)</t>
  </si>
  <si>
    <t>Estimated number of specimens (rock sample): 3´000. Formation period: 1850-ongoing. Geologic period: not reported. Estimated number of species: not reported. Number of types: unknown. SCSPS: 4 [Benedict Hotz, updated 2019-11-20]</t>
  </si>
  <si>
    <t>2024-09-02T16:36:53.988Z</t>
  </si>
  <si>
    <t>Formation period: 1850-ongoing. Geologic period: not reported</t>
  </si>
  <si>
    <t>ca6e04e0-fa12-404f-b5e5-f3b241000407</t>
  </si>
  <si>
    <t>NMLU-GEO_4</t>
  </si>
  <si>
    <t>Rock collection of the ""Museum Lucernense Langianum""</t>
  </si>
  <si>
    <t>Estimated number of specimens (rock sample): 900. Formation period: 1670-1741. Geologic period: not reported. Estimated number of species: not reported. Number of types: unknown. SCSPS: 2 [Benedict Hotz, updated 2019-11-20]</t>
  </si>
  <si>
    <t>2024-09-02T16:36:52.541Z</t>
  </si>
  <si>
    <t>Privatsammlung aus dem Kuriositätenkabinett des Luzerner Stadtarztes Karl Nikolaus Lang</t>
  </si>
  <si>
    <t>Formation period: 1670-1741. Geologic period: not reported</t>
  </si>
  <si>
    <t>947f2413-dd38-48aa-a566-6f8f3f788211</t>
  </si>
  <si>
    <t>NMLU-GEO_5</t>
  </si>
  <si>
    <t>Petrography collection Central Switzerland/Alps</t>
  </si>
  <si>
    <t>Estimated number of specimens (rock sample): 3´000. Formation period: 1860-1892. Geologic period: Permian-Tertiary. Estimated number of species: not reported. Number of types: unknown. SCSPS: 2 [Benedict Hotz, updated 2019-11-20]</t>
  </si>
  <si>
    <t>2024-09-02T16:36:51.077Z</t>
  </si>
  <si>
    <t>Formation period: 1860-1892. Geologic period: Permian-Tertiary</t>
  </si>
  <si>
    <t>b3197daa-5555-4e8d-93c2-f2df144680e9</t>
  </si>
  <si>
    <t>NMLU-GEO_17</t>
  </si>
  <si>
    <t>Minerals Schwethelm</t>
  </si>
  <si>
    <t>Estimated number of specimens (rock sample): 600. Formation period: 1940-1992. Geologic period: not reported. Estimated number of species: not reported. Number of types: unknown. SCSPS: 5 [Benedict Hotz, updated 2019-11-20]</t>
  </si>
  <si>
    <t>2024-09-02T16:36:49.609Z</t>
  </si>
  <si>
    <t>Wertvolle Sammlungsstücke</t>
  </si>
  <si>
    <t>Formation period: 1940-1992. Geologic period: not reported</t>
  </si>
  <si>
    <t>3e0ef62a-be7d-4bec-b258-404260e27f80</t>
  </si>
  <si>
    <t>NMLU-GEO_2</t>
  </si>
  <si>
    <t>Minerals</t>
  </si>
  <si>
    <t>Estimated number of specimens (mineral sample): 11´000. Formation period: 1750-ongoing. Geologic period: not reported. Estimated number of species: not reported. Number of types: unknown. SCSPS: 4 [Benedict Hotz, updated 2019-11-20]</t>
  </si>
  <si>
    <t>2024-09-02T16:36:48.026Z</t>
  </si>
  <si>
    <t>Mineralstufen und Einzelkristalle</t>
  </si>
  <si>
    <t>Formation period: 1750-ongoing. Geologic period: not reported</t>
  </si>
  <si>
    <t>5df0602d-eec9-46d8-8fe8-f06ee241347d</t>
  </si>
  <si>
    <t>NMLU-GEO_22</t>
  </si>
  <si>
    <t>Calcite specimen (large)</t>
  </si>
  <si>
    <t>Estimated number of specimens (mineral sample): 1. Formation period: 2005-2010. Geologic period: not reported. Estimated number of species: not reported. Number of types: unknown. SCSPS: 7 [Benedict Hotz, updated 2019-11-20]</t>
  </si>
  <si>
    <t>2024-09-02T16:36:46.543Z</t>
  </si>
  <si>
    <t>Imposantes Ausstellungsstück</t>
  </si>
  <si>
    <t>Formation period: 2005-2010. Geologic period: not reported</t>
  </si>
  <si>
    <t>ffe6e099-c50e-4a02-bffb-325843806a72</t>
  </si>
  <si>
    <t>NMLU-ZOO_15</t>
  </si>
  <si>
    <t>Pugmark Collection</t>
  </si>
  <si>
    <t>Estimated number of specimens: 30. Formation period: 1990-ongoing. Geologic period: Present. Estimated number of species: n/a. Number of types: n/a. SCSPS: not reported [René Heim;Tamara Emmenegger, updated 2019-11-20]</t>
  </si>
  <si>
    <t>Records</t>
  </si>
  <si>
    <t>2024-09-02T15:24:07.745Z</t>
  </si>
  <si>
    <t>2024-09-02T16:36:45.036Z</t>
  </si>
  <si>
    <t>Künstlich angefertigte Trittsiegel; dient zur Erkennung von Tierarten</t>
  </si>
  <si>
    <t>ab5b20a1-b4f2-4729-b8c1-0a0b465fc8f7</t>
  </si>
  <si>
    <t>NMLU-ZOO_11</t>
  </si>
  <si>
    <t>General wet (Alcohol) collection</t>
  </si>
  <si>
    <t>Estimated number of specimens (wet preserved specimens): 200. Formation period: 1900-1980. Geologic period: Present. Estimated number of species: n/a. Number of types: n/a. SCSPS: 1 (-5) [René Heim;Tamara Emmenegger, updated 2019-11-20]</t>
  </si>
  <si>
    <t>2024-09-02T15:24:06.354Z</t>
  </si>
  <si>
    <t>2024-09-02T16:36:43.567Z</t>
  </si>
  <si>
    <t>Konservierte Kot-Sammlung, die zur Identifikation von Tieren respektive zum Nachweis derer Anwesenheit dient</t>
  </si>
  <si>
    <t>Kloster Engelberg</t>
  </si>
  <si>
    <t>Formation period: 1900-1980</t>
  </si>
  <si>
    <t>9ccf03bc-50e0-4003-bd3c-e5b2e49fba84</t>
  </si>
  <si>
    <t>NMLU-ZOO_14</t>
  </si>
  <si>
    <t>Faeces collection</t>
  </si>
  <si>
    <t>Estimated number of specimens (dry samples): 50. Formation period: 1980-ongoing. Geologic period: Present. Estimated number of species: n/a. Number of types: n/a. SCSPS: 8 [René Heim;Tamara Emmenegger, updated 2019-11-20]</t>
  </si>
  <si>
    <t>Biological;Feces</t>
  </si>
  <si>
    <t>2024-09-02T15:24:04.922Z</t>
  </si>
  <si>
    <t>2024-09-02T16:36:42.035Z</t>
  </si>
  <si>
    <t>82c3e084-c13d-46ff-9713-0247a95feb0b</t>
  </si>
  <si>
    <t>UNINE:NEU-Cryptogams</t>
  </si>
  <si>
    <t>NEU Cryptogam collection</t>
  </si>
  <si>
    <t>Estimated number of specimens (individual specimens): 190´000. Formation period: 1835-ongoing. Geologic period: Present. Estimated number of species: not reported. Number of types: 2´640. SCSPS: not reported [Jason Grant, Assessment date not reported]</t>
  </si>
  <si>
    <r>
      <rPr>
        <u/>
        <sz val="10"/>
        <color indexed="8"/>
        <rFont val="Helvetica Neue"/>
        <family val="2"/>
      </rPr>
      <t>jason.grant@unine.ch</t>
    </r>
  </si>
  <si>
    <t>StorageOther;SampleDried</t>
  </si>
  <si>
    <t>Université de Neuchâtel, Herbarium</t>
  </si>
  <si>
    <t>UNINE:NEU</t>
  </si>
  <si>
    <t>ee1fe2cc-fd6e-4bf6-a691-46518d806154</t>
  </si>
  <si>
    <t>Université de Neuchâtel, rue Emile-Argand 11 Neuchâtel CH-2000 Switzerland</t>
  </si>
  <si>
    <t>jasongrant</t>
  </si>
  <si>
    <t>2024-04-25T11:51:02.226Z</t>
  </si>
  <si>
    <t>2024-10-29T15:06:47.656Z</t>
  </si>
  <si>
    <r>
      <rPr>
        <sz val="10"/>
        <color indexed="8"/>
        <rFont val="Helvetica Neue"/>
        <family val="2"/>
      </rPr>
      <t xml:space="preserve">Jason Grant +41327183958 </t>
    </r>
    <r>
      <rPr>
        <u/>
        <sz val="10"/>
        <color indexed="8"/>
        <rFont val="Helvetica Neue"/>
        <family val="2"/>
      </rPr>
      <t>jason.grant@unine.ch</t>
    </r>
    <r>
      <rPr>
        <sz val="10"/>
        <color indexed="8"/>
        <rFont val="Helvetica Neue"/>
        <family val="2"/>
      </rPr>
      <t xml:space="preserve"> DAGI - Technical Support creator metadataProvider contact Bromeliaceae, Gentianaceae, Ophioglossaceae</t>
    </r>
  </si>
  <si>
    <t>Fungi; Lichens; Bryophytes; Pteridophytes</t>
  </si>
  <si>
    <t>World</t>
  </si>
  <si>
    <t>05561b50-458f-4fb2-b596-26c5e6f36e69</t>
  </si>
  <si>
    <t>UNINE:NEU-Phanerogams</t>
  </si>
  <si>
    <t>NEU Phanerogam collection</t>
  </si>
  <si>
    <t>Estimated number of specimens (individual specimens): 460´000. Formation period: 1835-ongoing. Geologic period: Present. Estimated number of species: not reported. Number of types: 830. SCSPS: not reported [Jason Grant, Assessment date not reported]</t>
  </si>
  <si>
    <t>[41] 32 718 39 58</t>
  </si>
  <si>
    <t>Universtié de Neuchâtel, Rue Émile-Argand 11 Neuchâtel Neuchâtel 2000 Switzerland</t>
  </si>
  <si>
    <t>2024-04-25T11:50:59.929Z</t>
  </si>
  <si>
    <t>2024-10-29T15:05:18.361Z</t>
  </si>
  <si>
    <t>gbif:ih:irn:126534;84aa16c1-ee66-4d0a-a813-4b959a2abc5c</t>
  </si>
  <si>
    <r>
      <rPr>
        <sz val="10"/>
        <color indexed="8"/>
        <rFont val="Helvetica Neue"/>
        <family val="2"/>
      </rPr>
      <t xml:space="preserve">Jason R. Grant [41] 32/ 718 39 58 </t>
    </r>
    <r>
      <rPr>
        <u/>
        <sz val="10"/>
        <color indexed="8"/>
        <rFont val="Helvetica Neue"/>
        <family val="2"/>
      </rPr>
      <t>jason.grant@unine.ch</t>
    </r>
    <r>
      <rPr>
        <sz val="10"/>
        <color indexed="8"/>
        <rFont val="Helvetica Neue"/>
        <family val="2"/>
      </rPr>
      <t xml:space="preserve"> Director creator contact  DAGI - Technical Support metadataProvider Bromeliaceae, Gentianaceae, Ophioglossaceae</t>
    </r>
  </si>
  <si>
    <t>Animaliae</t>
  </si>
  <si>
    <t>World. Main countries of origin: CH</t>
  </si>
  <si>
    <t>Broad regional collection of minerals, some worldwide</t>
  </si>
  <si>
    <t>Karl Franz Lusser;Musée d'histoire naturelle de La Chaux-de-Fonds;Anton Gisler;Pater Fintan Amstad;u.a. Franz Josef Nager</t>
  </si>
  <si>
    <t>NEU</t>
  </si>
  <si>
    <t>d77bda19-80ac-45c7-ab3a-31d43681668c</t>
  </si>
  <si>
    <t>UNIBAS:IPNA-ARCHANTH_IAG</t>
  </si>
  <si>
    <t>Anthropological collection (IAG)</t>
  </si>
  <si>
    <t>Estimated number of specimens (human skeletons): 40´000. Formation period: not reported. Geologic period: Holocene-unknown. Estimated number of species: not reported. Number of types: 0. SCSPS: 5 [Anonymous, Assessment date not reported]</t>
  </si>
  <si>
    <t>Bottmingen</t>
  </si>
  <si>
    <t>Archaeological;HumanRemains</t>
  </si>
  <si>
    <r>
      <rPr>
        <u/>
        <sz val="10"/>
        <color indexed="8"/>
        <rFont val="Helvetica Neue"/>
        <family val="2"/>
      </rPr>
      <t>sandra.pichler@unibas.ch</t>
    </r>
  </si>
  <si>
    <t>Universität Basel, Interkantonale Arbeitsgemeinschaft für Anthropologie</t>
  </si>
  <si>
    <t>UNIBAS:IPNA</t>
  </si>
  <si>
    <t>90070fe3-51ec-4a56-96be-cb6c00dd0ae2</t>
  </si>
  <si>
    <t>Wuhrmattstrasse 13 Bottmingen CH-4103 Switzerland</t>
  </si>
  <si>
    <t>2024-04-25T11:50:57.610Z</t>
  </si>
  <si>
    <t>2024-09-04T06:37:57.249Z</t>
  </si>
  <si>
    <t>Switzerland</t>
  </si>
  <si>
    <t>u.a. Franz Josef Nager;Pater Fintan Amstad;Karl Franz Lusser;Anton Gisler</t>
  </si>
  <si>
    <t>Formation period: not reported. Geologic period: Holocene-unknown</t>
  </si>
  <si>
    <t>a6cba913-b224-4973-8a6d-7d9bdafc16d1</t>
  </si>
  <si>
    <t>UNIBAS:IPNA-GEOARCH</t>
  </si>
  <si>
    <t>Reference collection Geoarchaeology</t>
  </si>
  <si>
    <t>Estimated number of specimens: not reported. Formation period: 1953-ongoing. Geologic period: Present. Estimated number of species: n/a. Number of types: n/a. SCSPS: not reported [Anonymous, Assessment date not reported]</t>
  </si>
  <si>
    <t>Archaeological;Archaeological;Sediments;Rocks;Feces</t>
  </si>
  <si>
    <r>
      <rPr>
        <u/>
        <sz val="10"/>
        <color indexed="8"/>
        <rFont val="Helvetica Neue"/>
        <family val="2"/>
      </rPr>
      <t>philippe.rentzel@unibas.ch</t>
    </r>
  </si>
  <si>
    <t>Universität Basel, Dpt. Umweltwissenschaften, IPNA , Spalenring 145 Basel CH-4055 Switzerland</t>
  </si>
  <si>
    <t>2024-04-25T11:50:55.269Z</t>
  </si>
  <si>
    <t>2024-09-04T06:37:44.273Z</t>
  </si>
  <si>
    <t>Europe</t>
  </si>
  <si>
    <t>Formation period: 1953-ongoing</t>
  </si>
  <si>
    <t>7ea58356-b89c-4b5b-b9a6-09665ccbce3f</t>
  </si>
  <si>
    <t>UNIBAS:IPNA-ARCHZOO</t>
  </si>
  <si>
    <t>Reference collection  Archaeozoology</t>
  </si>
  <si>
    <t>Estimated number of specimens (animal remains): 100´000. Formation period: 1953-ongoing. Geologic period: Holocene-unknown. Estimated number of species: n/a. Number of types: n/a. SCSPS: not reported [Anonymous, Assessment date not reported]</t>
  </si>
  <si>
    <t>Archaeological;TechonologicalProcessesRemains;Endoskeletons;Exoskeletons;AnimalDerived</t>
  </si>
  <si>
    <r>
      <rPr>
        <u/>
        <sz val="10"/>
        <color indexed="8"/>
        <rFont val="Helvetica Neue"/>
        <family val="2"/>
      </rPr>
      <t>sabine.deschler@unibas.ch</t>
    </r>
  </si>
  <si>
    <t>StorageIndoors;StorageRefrigerated;StorageFrozenMinus20</t>
  </si>
  <si>
    <t>2024-04-25T11:50:51.690Z</t>
  </si>
  <si>
    <t>2024-09-04T06:37:53.290Z</t>
  </si>
  <si>
    <t>Formation period: 1953-ongoing. Geologic period: Holocene-unknown</t>
  </si>
  <si>
    <t>210c1a98-d3fc-4643-9b68-b630ea9c641e</t>
  </si>
  <si>
    <t>UNIBAS:IPNA-PREH</t>
  </si>
  <si>
    <t>Reference collection Prehistory</t>
  </si>
  <si>
    <t>Estimated number of specimens: 37´100. Formation period: not reported. Geologic period: Pleistocene-Holocene. Estimated number of species: n/a. Number of types: n/a. SCSPS: not reported [Anonymous, Assessment date not reported]</t>
  </si>
  <si>
    <t>Archaeological;Archaeological;TechonologicalProcessesRemains;VertebrateFossils</t>
  </si>
  <si>
    <r>
      <rPr>
        <u/>
        <sz val="10"/>
        <color indexed="8"/>
        <rFont val="Helvetica Neue"/>
        <family val="2"/>
      </rPr>
      <t>reto.jagher@unibas.ch</t>
    </r>
  </si>
  <si>
    <t>2024-04-25T11:50:46.738Z</t>
  </si>
  <si>
    <t>2024-09-04T06:37:45.823Z</t>
  </si>
  <si>
    <t>Formation period: not reported. Geologic period: Pleistocene-Holocene</t>
  </si>
  <si>
    <t>152da4fb-a5da-498f-9ffd-3c56c75e895c</t>
  </si>
  <si>
    <t>UNIBAS:IPNA-ARCHBOT</t>
  </si>
  <si>
    <t>Reference collection  Archaeobotany</t>
  </si>
  <si>
    <t>Estimated number of specimens (seeds and fruits stored in bags): 8´500. Formation period: not reported. Geologic period: Holocene-unknown. Estimated number of species: n/a. Number of types: n/a. SCSPS: 5 [Anonymous, Assessment date not reported]</t>
  </si>
  <si>
    <t>Archaeological;PlantDerived</t>
  </si>
  <si>
    <r>
      <rPr>
        <u/>
        <sz val="10"/>
        <color indexed="8"/>
        <rFont val="Helvetica Neue"/>
        <family val="2"/>
      </rPr>
      <t>oerni.akeret@unibas.ch</t>
    </r>
  </si>
  <si>
    <t>StorageIndoors;StorageOther</t>
  </si>
  <si>
    <t>2024-04-25T11:50:43.558Z</t>
  </si>
  <si>
    <t>2024-09-04T06:37:47.747Z</t>
  </si>
  <si>
    <t>ee659ac9-e8da-4680-9751-3c83d727a298</t>
  </si>
  <si>
    <t>NSUR-Geology</t>
  </si>
  <si>
    <t>Minerals, Fossils</t>
  </si>
  <si>
    <t>Estimated number of specimens (individual specimens): 1´000. Formation period: 1900-ongoing. Geologic period: not reported. Estimated number of species: n/a. Number of types: n/a. SCSPS: 3 [Casparina Aschwanden, updated 2022-03-02]</t>
  </si>
  <si>
    <t>Altdorf</t>
  </si>
  <si>
    <r>
      <rPr>
        <u/>
        <sz val="10"/>
        <color indexed="8"/>
        <rFont val="Helvetica Neue"/>
        <family val="2"/>
      </rPr>
      <t>casparina.aschwanden@kmsu.ch</t>
    </r>
  </si>
  <si>
    <t>Naturkundliche Sammlung Uri</t>
  </si>
  <si>
    <t>NSUR</t>
  </si>
  <si>
    <t>2c521b92-4c8d-4fe6-990c-50d426708847</t>
  </si>
  <si>
    <t>Naturkundliche Sammlung Uri, Kantonale Mittelschule Uri Altdorf CH-6460 Switzerland</t>
  </si>
  <si>
    <t>2024-04-25T11:50:30.499Z</t>
  </si>
  <si>
    <t>2024-09-04T06:12:41.155Z</t>
  </si>
  <si>
    <t>Arthropoda; Insecta; Lepidoptera; Hymenoptera; Coleoptera: Arachnida; Lepidoptera; Coleoptera; Hemiptera; Odonata; Saltatoria; Papilionoidea; Zygaenidae; Apoidea; Vespoidea;</t>
  </si>
  <si>
    <t>Switzerland; Europe; World</t>
  </si>
  <si>
    <t>7d10deeb-d25e-403c-9798-319468e00bee</t>
  </si>
  <si>
    <t>NSUR-Zoology</t>
  </si>
  <si>
    <t>Zoology</t>
  </si>
  <si>
    <t>Estimated number of specimens (individual specimens): 2´130. Formation period: 1800-ongoing. Geologic period: Present. Estimated number of species: n/a. Number of types: n/a. SCSPS: 4 [Casparina Aschwanden, updated 2022-03-02]</t>
  </si>
  <si>
    <t>2024-04-25T11:50:28.172Z</t>
  </si>
  <si>
    <t>2024-09-04T06:12:39.686Z</t>
  </si>
  <si>
    <t>Switzerland; Africa</t>
  </si>
  <si>
    <t>Collection African objects</t>
  </si>
  <si>
    <t>Franz Josef Nager;Pater Fintan Amstad;Karl Franz Lusser;Anton Gisler</t>
  </si>
  <si>
    <t>Formation period: 1800-ongoing</t>
  </si>
  <si>
    <t>0b66952e-470c-44d3-983e-be2ee54592ca</t>
  </si>
  <si>
    <t>NSUR-Culture</t>
  </si>
  <si>
    <t>African objects</t>
  </si>
  <si>
    <t>Estimated number of specimens (individual specimens): 40. Formation period: 1800-ongoing. Geologic period: Present. Estimated number of species: n/a. Number of types: n/a. SCSPS: 2 [Casparina Aschwanden, updated 2022-03-02]</t>
  </si>
  <si>
    <t>Archaeological;TechonologicalProcessesRemains</t>
  </si>
  <si>
    <t>2024-04-25T11:50:25.844Z</t>
  </si>
  <si>
    <t>2024-09-04T06:12:38.209Z</t>
  </si>
  <si>
    <t>Africa</t>
  </si>
  <si>
    <t>Pater Fintan Amstad</t>
  </si>
  <si>
    <t>20bc1920-4fb2-45ec-a3e9-694170497c50</t>
  </si>
  <si>
    <t>NMSH-Entomo_MzA</t>
  </si>
  <si>
    <t>Entomological Collection</t>
  </si>
  <si>
    <t>Estimated number of specimens (individual specimens): 53´200. Formation period: 1860-2011. Geologic period: Present. Estimated number of species: not reported. Number of types: unknown. SCSPS: 7 [Urs Weibel, Assessment date not reported]</t>
  </si>
  <si>
    <t>Schaffhausen</t>
  </si>
  <si>
    <r>
      <rPr>
        <u/>
        <sz val="10"/>
        <color indexed="8"/>
        <rFont val="Helvetica Neue"/>
        <family val="2"/>
      </rPr>
      <t>urs.weibel@stsh.ch</t>
    </r>
  </si>
  <si>
    <t>SampleFluidPreserved;SamplePinned</t>
  </si>
  <si>
    <t>Museum zu Allerheiligen Schaffhausen</t>
  </si>
  <si>
    <t>NMSH</t>
  </si>
  <si>
    <t>170b7cf5-9b5f-44e2-859b-39e23034aa48</t>
  </si>
  <si>
    <t>Museum zu Allerheiligen Schaffhausen, Baumgartenstrasse 6 Schaffhausen CH-8200 Switzerland</t>
  </si>
  <si>
    <t>2024-04-25T11:49:39.041Z</t>
  </si>
  <si>
    <t>2024-09-04T06:12:27.750Z</t>
  </si>
  <si>
    <t>Europe|Switzerland. Main countries of origin: CH</t>
  </si>
  <si>
    <t>Cuckoo wasps collection from all around the world</t>
  </si>
  <si>
    <r>
      <rPr>
        <sz val="10"/>
        <color indexed="8"/>
        <rFont val="Helvetica Neue"/>
        <family val="2"/>
      </rPr>
      <t xml:space="preserve">Friedrich Ris (1867/1931) </t>
    </r>
    <r>
      <rPr>
        <u/>
        <sz val="10"/>
        <color indexed="8"/>
        <rFont val="Helvetica Neue"/>
        <family val="2"/>
      </rPr>
      <t>https://hls-dhs-dss.ch/fr/articles/032000/2010-04-16;Hans</t>
    </r>
    <r>
      <rPr>
        <sz val="10"/>
        <color indexed="8"/>
        <rFont val="Helvetica Neue"/>
        <family val="2"/>
      </rPr>
      <t xml:space="preserve"> Wanner Schachenmann;Hermann Pfaehler-Ziegler;Johann Rudolf Schalch;Heinz Müller;Hans Kägi;Georg Alfred Böschenstein;Ernst Vogelsanger;Theodor Vogelsanger (1880/1953);Marion Schmid;Willi Ruh</t>
    </r>
  </si>
  <si>
    <t>Formation period: 1860-2011</t>
  </si>
  <si>
    <t>bde93785-598e-4bd0-ba87-2403e3022b0a</t>
  </si>
  <si>
    <t>NMLU-ENT_01</t>
  </si>
  <si>
    <t>Cuckoo wasps (Chrysididae)</t>
  </si>
  <si>
    <t>Estimated number of specimens (pinned specimens): 57´000. Formation period: 1924-ongoing. Geologic period: Present. Estimated number of species: 1´742. Number of types: 4´380 (Holo- and Lectotypes: 579,  unreported number of Syntypes). SCSPS: 9 [Marco V. Bernasconi, updated 2022-01-17]</t>
  </si>
  <si>
    <t>SamplePinned;StorageControlledAtmosphere</t>
  </si>
  <si>
    <t>2024-04-25T11:49:07.834Z</t>
  </si>
  <si>
    <t>2024-09-02T16:38:50.066Z</t>
  </si>
  <si>
    <t>Insecta : Hymenoptera</t>
  </si>
  <si>
    <t>Switzerland|World. Main countries of origin: CH</t>
  </si>
  <si>
    <t>Walter Linsenmaier (and others)</t>
  </si>
  <si>
    <t>Formation period: 1924-ongoing</t>
  </si>
  <si>
    <t>db5cf302-6ff5-461e-a863-6fb59a472cfe</t>
  </si>
  <si>
    <t>NMLU-ENT_02</t>
  </si>
  <si>
    <t>Hymenoptera Linsenmaier</t>
  </si>
  <si>
    <t>Estimated number of specimens (pinned specimens): 60´000. Formation period: 1924-1998. Geologic period: Present. Estimated number of species: not reported. Number of types: unknown. SCSPS: 5 [Marco V. Bernasconi, updated 2019-11-20]</t>
  </si>
  <si>
    <t>2024-04-25T11:49:05.016Z</t>
  </si>
  <si>
    <t>2024-09-02T16:38:48.590Z</t>
  </si>
  <si>
    <t>188 Insektenkästen</t>
  </si>
  <si>
    <t>8957c9d3-0ae6-496e-9d4a-82102871b22e</t>
  </si>
  <si>
    <t>NMLU-ENT_03</t>
  </si>
  <si>
    <t>Hymenoptera Reser</t>
  </si>
  <si>
    <t>Estimated number of specimens (pinned specimens(and dried specimens)): 35´000. Formation period: 1967-ongoing. Geologic period: Present. Estimated number of species: not reported. Number of types: unknown. SCSPS: (1)-9 [Marco V. Bernasconi, updated 2019-11-20]</t>
  </si>
  <si>
    <t>2024-04-25T11:49:02.241Z</t>
  </si>
  <si>
    <t>2024-09-02T16:38:47.158Z</t>
  </si>
  <si>
    <t>Switzerland. Main countries of origin: CH</t>
  </si>
  <si>
    <t>140 Insektenkästen (plus viele weitere trocken, unpräpariert in Döschen)</t>
  </si>
  <si>
    <t>Ladislaus Reser</t>
  </si>
  <si>
    <t>Formation period: 1967-ongoing</t>
  </si>
  <si>
    <t>f3e82508-190c-4c70-906e-afe4251596e4</t>
  </si>
  <si>
    <t>NMLU-ENT_04</t>
  </si>
  <si>
    <t>Centipede Reser</t>
  </si>
  <si>
    <t>Estimated number of specimens (specimens in alcohol (70% ethanol)): 100. Formation period: 1967-2020. Geologic period: Present. Estimated number of species: not reported. Number of types: unknown. SCSPS: 5 [Marco V. Bernasconi, updated 2019-11-20]</t>
  </si>
  <si>
    <t>2024-04-25T11:48:59.424Z</t>
  </si>
  <si>
    <t>2024-09-02T16:38:45.761Z</t>
  </si>
  <si>
    <t>Chilopoda</t>
  </si>
  <si>
    <t>Eine kleine Anzahl Belege aus Bodenfallen in Alkoholgläschen</t>
  </si>
  <si>
    <t>Formation period: 1967-2020</t>
  </si>
  <si>
    <t>5dba3107-37c1-424e-ba0a-0e67b694e305</t>
  </si>
  <si>
    <t>NMLU-ENT_05</t>
  </si>
  <si>
    <t>Caddisfly Reser</t>
  </si>
  <si>
    <t>Estimated number of specimens (pinned specimens/specimens in alcohol (70% ethanol)): 5´000. Formation period: 1967-2020. Geologic period: Present. Estimated number of species: not reported. Number of types: unknown. SCSPS: 2 [Marco V. Bernasconi, updated 2019-11-20]</t>
  </si>
  <si>
    <t>SamplePinned;StorageControlledAtmosphere;StorageIndoors</t>
  </si>
  <si>
    <t>2024-04-25T11:48:57.104Z</t>
  </si>
  <si>
    <t>2024-09-02T16:38:43.893Z</t>
  </si>
  <si>
    <t>Trichoptera</t>
  </si>
  <si>
    <t>Nur wenig genadeltes Material; die meistens Belege in Alkoholgläschen nach Fundorten und Daten sortiert</t>
  </si>
  <si>
    <t>034a1a94-82c1-4b10-8351-02ee05826c75</t>
  </si>
  <si>
    <t>NMLU-ENT_06</t>
  </si>
  <si>
    <t>Acari Reser</t>
  </si>
  <si>
    <t>Estimated number of specimens (specimens in alcohol (70% ethanol)): 1´000. Formation period: 1967-2020. Geologic period: Present. Estimated number of species: not reported. Number of types: unknown. SCSPS: 1 [Marco V. Bernasconi, updated 2019-11-20]</t>
  </si>
  <si>
    <t>SampleFluidPreserved;StorageIndoors</t>
  </si>
  <si>
    <t>2024-04-25T11:48:52.976Z</t>
  </si>
  <si>
    <t>2024-09-02T16:38:42.438Z</t>
  </si>
  <si>
    <t>Acariformes: Acari</t>
  </si>
  <si>
    <t>Alkoholgläschen mit viel Material aus Bodenfallen</t>
  </si>
  <si>
    <t>fc8291c6-3cec-4b9f-96ad-3a099c318857</t>
  </si>
  <si>
    <t>NMLU-ENT_07</t>
  </si>
  <si>
    <t>Net-winged insects (Neuroptera) Reser</t>
  </si>
  <si>
    <t>2024-04-25T11:48:50.173Z</t>
  </si>
  <si>
    <t>2024-09-02T16:38:40.913Z</t>
  </si>
  <si>
    <t>Insecta : Neuroptera</t>
  </si>
  <si>
    <t>12 Insektenkästen mit genadeltem Material, sowie viel Belege in Alkoholgläschen</t>
  </si>
  <si>
    <t>1862e696-9f40-4e13-8343-9e5449c137e4</t>
  </si>
  <si>
    <t>NMLU-ENT_08</t>
  </si>
  <si>
    <t>Net-winged insects (Neuroptera) Linsenmaier</t>
  </si>
  <si>
    <t>Estimated number of specimens (pinned specimens): not reported. Formation period: 1924-1998. Geologic period: Present. Estimated number of species: not reported. Number of types: unknown. SCSPS: 1 [Marco V. Bernasconi, updated 2019-11-20]</t>
  </si>
  <si>
    <t>2024-04-25T11:48:46.947Z</t>
  </si>
  <si>
    <t>2024-09-02T16:38:39.413Z</t>
  </si>
  <si>
    <t>10 Insektenkästen mit genadeltem Material</t>
  </si>
  <si>
    <t>18112047-8aa2-4a64-ab0c-e0ed9d23d5ed</t>
  </si>
  <si>
    <t>NMLU-ENT_09</t>
  </si>
  <si>
    <t>Lepidoptera Bättig</t>
  </si>
  <si>
    <t>Estimated number of specimens (pinned specimens): 13´000. Formation period: 1930-1979. Geologic period: Present. Estimated number of species: not reported. Number of types: unknown. SCSPS: 3 [Marco V. Bernasconi, updated 2019-11-20]</t>
  </si>
  <si>
    <t>2024-04-25T11:48:43.476Z</t>
  </si>
  <si>
    <t>2024-09-02T16:38:37.911Z</t>
  </si>
  <si>
    <t>Insecta : Lepidoptera</t>
  </si>
  <si>
    <t>Switzerland|Europe|Asia. Main countries of origin: CH</t>
  </si>
  <si>
    <t>66 Insektenkästen determiniert und geordnet</t>
  </si>
  <si>
    <t>Max Bättig (1903/1995)</t>
  </si>
  <si>
    <t>Formation period: 1930-1979</t>
  </si>
  <si>
    <t>f31a9c43-9992-4cba-9b4b-14ef7b62551c</t>
  </si>
  <si>
    <t>NMLU-ENT_10</t>
  </si>
  <si>
    <t>Lepidoptera Blumer</t>
  </si>
  <si>
    <t>Estimated number of specimens (pinned specimens): 8´000. Formation period: 1955-1984. Geologic period: Present. Estimated number of species: not reported. Number of types: unknown. SCSPS: 5 [Marco V. Bernasconi, updated 2019-11-20]</t>
  </si>
  <si>
    <t>2024-04-25T11:48:40.731Z</t>
  </si>
  <si>
    <t>2024-09-02T16:38:36.390Z</t>
  </si>
  <si>
    <t>Switzerland|Europe. Main countries of origin: CH</t>
  </si>
  <si>
    <t>132 Insektenkästen determiniert und geordnet</t>
  </si>
  <si>
    <t>Rolf Blumer</t>
  </si>
  <si>
    <t>Formation period: 1955-1984</t>
  </si>
  <si>
    <t>cdc636c0-3de6-47e5-bfc9-d93dd04f2905</t>
  </si>
  <si>
    <t>NMLU-ENT_11</t>
  </si>
  <si>
    <t>Lepidoptera Buholzer</t>
  </si>
  <si>
    <t>Estimated number of specimens (pinned specimens): 35´000. Formation period: 1906-1971. Geologic period: Present. Estimated number of species: not reported. Number of types: unknown. SCSPS: 5 [Marco V. Bernasconi, updated 2019-11-20]</t>
  </si>
  <si>
    <t>2024-04-25T11:48:37.654Z</t>
  </si>
  <si>
    <t>2024-09-02T16:38:34.905Z</t>
  </si>
  <si>
    <t>350 Insektenkästen determiniert und geordnet</t>
  </si>
  <si>
    <t>Robert Buholzer (1893/1971)</t>
  </si>
  <si>
    <t>Formation period: 1906-1971</t>
  </si>
  <si>
    <t>4d631664-0a14-44c6-87e4-d81449bf6951</t>
  </si>
  <si>
    <t>NMLU-ENT_12</t>
  </si>
  <si>
    <t>Lepidoptera Imhoff</t>
  </si>
  <si>
    <t>Estimated number of specimens (pinned specimens): 8´000. Formation period: 1932-1992. Geologic period: Present. Estimated number of species: not reported. Number of types: unknown. SCSPS: 5 [Marco V. Bernasconi, updated 2019-11-20]</t>
  </si>
  <si>
    <t>2024-04-25T11:48:34.291Z</t>
  </si>
  <si>
    <t>2024-09-02T16:38:33.410Z</t>
  </si>
  <si>
    <t>85 Insektenkästen zum Teil  determiniert und geordnet</t>
  </si>
  <si>
    <t>Eduard Imhoff (1921/1992)</t>
  </si>
  <si>
    <t>Formation period: 1932-1992</t>
  </si>
  <si>
    <t>0b28847c-4445-47b1-87a8-e2ccc88a86f0</t>
  </si>
  <si>
    <t>NMLU-ENT_13</t>
  </si>
  <si>
    <t>Lepidoptera Kälin</t>
  </si>
  <si>
    <t>Estimated number of specimens (pinned specimens): 615. Formation period: 1910-1967. Geologic period: Present. Estimated number of species: not reported. Number of types: unknown. SCSPS: 5 [Marco V. Bernasconi, updated 2019-11-20]</t>
  </si>
  <si>
    <t>2024-04-25T11:48:31.563Z</t>
  </si>
  <si>
    <t>2024-09-02T16:38:31.904Z</t>
  </si>
  <si>
    <t>10 Insektenkästen determiniert und geordnet</t>
  </si>
  <si>
    <t>August Kälin-Ochsner;August Kälin-Zurbriggen</t>
  </si>
  <si>
    <t>Formation period: 1910-1967</t>
  </si>
  <si>
    <t>97e1f4ef-5042-41ec-9b6e-7da9d4f8ff04</t>
  </si>
  <si>
    <t>NMLU-ENT_14</t>
  </si>
  <si>
    <t>Lepidoptera Kurz</t>
  </si>
  <si>
    <t>Estimated number of specimens (pinned specimens): 1´000. Formation period: 1954-1979. Geologic period: Present. Estimated number of species: not reported. Number of types: unknown. SCSPS: 5 [Marco V. Bernasconi, updated 2019-11-20]</t>
  </si>
  <si>
    <t>2024-04-25T11:48:28.804Z</t>
  </si>
  <si>
    <t>2024-09-02T16:38:30.420Z</t>
  </si>
  <si>
    <t>15 Insektenkästen determiniert und geordnet</t>
  </si>
  <si>
    <t>Alfred Kurz-Winistörfer</t>
  </si>
  <si>
    <t>Formation period: 1954-1979</t>
  </si>
  <si>
    <t>27edc9de-7d5e-423c-b0c6-c6cce942d2e8</t>
  </si>
  <si>
    <t>NMLU-ENT_15</t>
  </si>
  <si>
    <t>Lepidoptera Leidenbach</t>
  </si>
  <si>
    <t>Estimated number of specimens (pinned specimens): 1´300. Formation period: 1919-1974. Geologic period: Present. Estimated number of species: not reported. Number of types: unknown. SCSPS: 5 [Marco V. Bernasconi, updated 2019-11-20]</t>
  </si>
  <si>
    <t>2024-04-25T11:48:26.023Z</t>
  </si>
  <si>
    <t>2024-09-02T16:38:28.931Z</t>
  </si>
  <si>
    <t>87 Insektenkästen determiniert und geordnet</t>
  </si>
  <si>
    <t>Ludwig Leidenbach (1908/1975)</t>
  </si>
  <si>
    <t>Formation period: 1919-1974</t>
  </si>
  <si>
    <t>85e4ec5a-5166-4170-8a5e-7bf97b0ec42f</t>
  </si>
  <si>
    <t>NMLU-ENT_16</t>
  </si>
  <si>
    <t>Lepidoptera Linsenmaier</t>
  </si>
  <si>
    <t>Estimated number of specimens (pinned specimens): 37´200. Formation period: 1924-1998. Geologic period: Present. Estimated number of species: not reported. Number of types: unknown. SCSPS: 5 [Marco V. Bernasconi, updated 2019-11-20]</t>
  </si>
  <si>
    <t>2024-04-25T11:48:23.265Z</t>
  </si>
  <si>
    <t>2024-09-02T16:38:27.419Z</t>
  </si>
  <si>
    <t>360 Insektenkästen grösstenteils determiniert und geordnet</t>
  </si>
  <si>
    <t>384858af-da5d-4e11-8e58-7abf571e25dc</t>
  </si>
  <si>
    <t>NMLU-ENT_17</t>
  </si>
  <si>
    <t>Lepidoptera Maier</t>
  </si>
  <si>
    <t>Estimated number of specimens (pinned specimens): 10´000. Formation period: 1969-1992. Geologic period: Present. Estimated number of species: not reported. Number of types: unknown. SCSPS: 5 [Marco V. Bernasconi, updated 2019-11-20]</t>
  </si>
  <si>
    <t>2024-04-25T11:48:20.460Z</t>
  </si>
  <si>
    <t>2024-09-02T16:38:25.862Z</t>
  </si>
  <si>
    <t>72 Insektenkästen determiniert und geordnet</t>
  </si>
  <si>
    <t>Eva Maier &amp; Hermann Maier</t>
  </si>
  <si>
    <t>Formation period: 1969-1992</t>
  </si>
  <si>
    <t>f6c9e4ff-ab17-4c5d-af12-64f5d7d94533</t>
  </si>
  <si>
    <t>NMLU-ENT_18</t>
  </si>
  <si>
    <t>Lepidoptera Petersen</t>
  </si>
  <si>
    <t>Estimated number of specimens (pinned specimens): 1´417. Formation period: 1933-1974. Geologic period: Present. Estimated number of species: not reported. Number of types: unknown. SCSPS: 5 [Marco V. Bernasconi, updated 2019-11-20]</t>
  </si>
  <si>
    <t>2024-04-25T11:48:17.666Z</t>
  </si>
  <si>
    <t>2024-09-02T16:38:24.338Z</t>
  </si>
  <si>
    <t>37 Insektenkästen grösstenteils determiniert und geordnet</t>
  </si>
  <si>
    <t>Alfons Petersen</t>
  </si>
  <si>
    <t>Formation period: 1933-1974</t>
  </si>
  <si>
    <t>583a736a-b56c-4123-b38a-eb47477ef979</t>
  </si>
  <si>
    <t>NMLU-ENT_19</t>
  </si>
  <si>
    <t>Lepidoptera Pfyffer</t>
  </si>
  <si>
    <t>Estimated number of specimens (pinned specimens): 13´000. Formation period: 1918-1983. Geologic period: Present. Estimated number of species: not reported. Number of types: unknown. SCSPS: 5 [Marco V. Bernasconi, updated 2019-11-20]</t>
  </si>
  <si>
    <t>2024-04-25T11:48:14.881Z</t>
  </si>
  <si>
    <t>2024-09-02T16:38:22.876Z</t>
  </si>
  <si>
    <t>88 Insektenkästen determiniert und geordnet</t>
  </si>
  <si>
    <t>Ulrich Pfyffer</t>
  </si>
  <si>
    <t>Formation period: 1918-1983</t>
  </si>
  <si>
    <t>805c0ee4-e802-462f-ae75-397e2fbf4cc5</t>
  </si>
  <si>
    <t>NMLU-ENT_20</t>
  </si>
  <si>
    <t>Lepidoptera Reser</t>
  </si>
  <si>
    <t>Estimated number of specimens (pinned specimens): 700´000. Formation period: 1960-ongoing. Geologic period: Present. Estimated number of species: 2´000. Number of types: unknown. SCSPS: 9 [Marco V. Bernasconi, updated 2019-11-20]</t>
  </si>
  <si>
    <t>2024-04-25T11:48:12.111Z</t>
  </si>
  <si>
    <t>2024-09-02T16:38:21.355Z</t>
  </si>
  <si>
    <t>Mehr als 2100 Insektenkästen. Eine der bedeutenden Nachtfaltersammlungen in Europa, wahrscheinlich die grösste und vor allem aktuellste Schweizer Nachtfaltersammlung überhaupt.</t>
  </si>
  <si>
    <t>7b83b73e-681f-4caa-baaa-efd210e2f584</t>
  </si>
  <si>
    <t>NMLU-ENT_21</t>
  </si>
  <si>
    <t>Lepidoptera Roos-Röösli</t>
  </si>
  <si>
    <t>Estimated number of specimens (pinned specimens): 4´011. Formation period: 1927-1985. Geologic period: Present. Estimated number of species: not reported. Number of types: unknown. SCSPS: 5 [Marco V. Bernasconi, updated 2019-11-20]</t>
  </si>
  <si>
    <t>2024-04-25T11:48:09.336Z</t>
  </si>
  <si>
    <t>2024-09-02T16:38:19.898Z</t>
  </si>
  <si>
    <t>52 Insektenkästen determiniert und geordnet</t>
  </si>
  <si>
    <t>Josef Roos-Röösli</t>
  </si>
  <si>
    <t>Formation period: 1927-1985</t>
  </si>
  <si>
    <t>9fb6b2d3-3c69-45f8-86c5-3c5c76d2e6e8</t>
  </si>
  <si>
    <t>NMLU-ENT_22</t>
  </si>
  <si>
    <t>Lepidoptera Schönenberger</t>
  </si>
  <si>
    <t>Estimated number of specimens (pinned specimens): 2´500. Formation period: 1900-1934. Geologic period: Present. Estimated number of species: not reported. Number of types: unknown. SCSPS: 5 [Marco V. Bernasconi, updated 2019-11-20]</t>
  </si>
  <si>
    <t>2024-04-25T11:48:06.531Z</t>
  </si>
  <si>
    <t>2024-09-02T16:38:18.499Z</t>
  </si>
  <si>
    <t>Switzerland|Europe. Main countries of origin: CH|IT</t>
  </si>
  <si>
    <t>20 Kästen, determiniert und geordnet</t>
  </si>
  <si>
    <t>Paul Schönenberg (=Pater Michael)</t>
  </si>
  <si>
    <t>Formation period: 1900-1934</t>
  </si>
  <si>
    <t>56aebf1b-2a3d-46b6-b51a-4f0b11df64ec</t>
  </si>
  <si>
    <t>NMLU-ENT_23</t>
  </si>
  <si>
    <t>Lepidoptera Zingg</t>
  </si>
  <si>
    <t>Estimated number of specimens (pinned specimens): 20´000. Formation period: 1889-1953. Geologic period: Present. Estimated number of species: not reported. Number of types: unknown. SCSPS: 5 [Marco V. Bernasconi, updated 2019-11-20]</t>
  </si>
  <si>
    <t>2024-04-25T11:48:03.743Z</t>
  </si>
  <si>
    <t>2024-09-02T16:38:17.008Z</t>
  </si>
  <si>
    <t>148 Kästen, determiniert und geordnet</t>
  </si>
  <si>
    <t>Josef Zingg-Blankart</t>
  </si>
  <si>
    <t>Formation period: 1889-1953</t>
  </si>
  <si>
    <t>4fd02179-0a51-46ac-a27a-84e9436e6d15</t>
  </si>
  <si>
    <t>NMLU-ENT_24</t>
  </si>
  <si>
    <t>Lepidoptera ""general""</t>
  </si>
  <si>
    <t>Estimated number of specimens (pinned specimens): 10´000. Formation period: 1945-1976. Geologic period: Present. Estimated number of species: not reported. Number of types: unknown. SCSPS: 5 [Marco V. Bernasconi, updated 2019-11-20]</t>
  </si>
  <si>
    <t>2024-04-25T11:48:00.377Z</t>
  </si>
  <si>
    <t>2024-09-02T16:38:15.542Z</t>
  </si>
  <si>
    <t>50 Kästen, determiniert und geordnet</t>
  </si>
  <si>
    <t>Werner Paul Bühler(-Zingg);O. Gelpke</t>
  </si>
  <si>
    <t>Formation period: 1945-1976</t>
  </si>
  <si>
    <t>a574b720-d320-4b15-9a0c-a4d0d65f9259</t>
  </si>
  <si>
    <t>NMLU-ENT_25</t>
  </si>
  <si>
    <t>Arachnida</t>
  </si>
  <si>
    <t>Estimated number of specimens (specimens in alcohol (70% ethanol)): 5´000. Formation period: 1967-2020. Geologic period: Present. Estimated number of species: not reported. Number of types: unknown. SCSPS: 1 [Marco V. Bernasconi, updated 2019-11-20]</t>
  </si>
  <si>
    <t>2024-04-25T11:47:57.629Z</t>
  </si>
  <si>
    <t>2024-09-02T16:38:14.075Z</t>
  </si>
  <si>
    <t>Material aus Tag- und Bodenfallenfängen in zahlreichen Alkoholgläschen</t>
  </si>
  <si>
    <t>7a2ba034-e13a-4687-a7cb-3375c9dbb6a9</t>
  </si>
  <si>
    <t>NMLU-ENT_26</t>
  </si>
  <si>
    <t>Myriapoda</t>
  </si>
  <si>
    <t>Estimated number of specimens (specimens in alcohol (70% ethanol)): 200. Formation period: 1967-2020. Geologic period: Present. Estimated number of species: not reported. Number of types: unknown. SCSPS: 5 [Marco V. Bernasconi, updated 2019-11-20]</t>
  </si>
  <si>
    <t>2024-04-25T11:47:54.866Z</t>
  </si>
  <si>
    <t>2024-09-02T16:38:12.595Z</t>
  </si>
  <si>
    <t>Myriapoda: Chilopoda, Diplopoda</t>
  </si>
  <si>
    <t>Eine kleine Anzahl Belege aus Bodenfallen in Alkoholgläschen.</t>
  </si>
  <si>
    <t>52d42196-bf24-4393-819c-d39a68923d1c</t>
  </si>
  <si>
    <t>NMLU-ENT_27</t>
  </si>
  <si>
    <t>Heteroptera Reser &amp; Wyniger</t>
  </si>
  <si>
    <t>Estimated number of specimens (pinned specimens): 20´000. Formation period: 1967-2020. Geologic period: Present. Estimated number of species: not reported. Number of types: unknown. SCSPS: 5 [Marco V. Bernasconi, updated 2019-11-20]</t>
  </si>
  <si>
    <t>2024-04-25T11:47:52.057Z</t>
  </si>
  <si>
    <t>2024-09-02T16:38:11.105Z</t>
  </si>
  <si>
    <t>Insecta : Heteroptera</t>
  </si>
  <si>
    <t>140 Insektenkästen</t>
  </si>
  <si>
    <t>Ladislaus Reser;Denise Wyniger</t>
  </si>
  <si>
    <t>352693a9-9b91-4698-8816-de2b20a84991</t>
  </si>
  <si>
    <t>NMLU-ENT_28</t>
  </si>
  <si>
    <t>Hemiptera Linsenmaier</t>
  </si>
  <si>
    <t>Estimated number of specimens (pinned specimens): 5´600. Formation period: 1924-1998. Geologic period: Present. Estimated number of species: not reported. Number of types: unknown. SCSPS: 5 [Marco V. Bernasconi, updated 2019-11-20]</t>
  </si>
  <si>
    <t>2024-04-25T11:47:49.202Z</t>
  </si>
  <si>
    <t>2024-09-02T16:38:09.658Z</t>
  </si>
  <si>
    <t>Insecta : Hemiptera</t>
  </si>
  <si>
    <t>39 Insektenkästen</t>
  </si>
  <si>
    <t>c172fedf-0d78-4c99-b265-6c28115d59ce</t>
  </si>
  <si>
    <t>NMLU-ENT_29</t>
  </si>
  <si>
    <t>Diptera Linsenmaier</t>
  </si>
  <si>
    <t>Estimated number of specimens (pinned specimens): 4´560. Formation period: 1924-1998. Geologic period: Present. Estimated number of species: not reported. Number of types: unknown. SCSPS: 5 [Marco V. Bernasconi, updated 2019-11-20]</t>
  </si>
  <si>
    <t>2024-04-25T11:47:46.473Z</t>
  </si>
  <si>
    <t>2024-09-02T16:38:08.139Z</t>
  </si>
  <si>
    <t>Insecta: Diptera</t>
  </si>
  <si>
    <t>cced6d9e-c206-4ed0-88a8-7eb01902da92</t>
  </si>
  <si>
    <t>NMLU-ENT_30</t>
  </si>
  <si>
    <t>Diptera  ""general""</t>
  </si>
  <si>
    <t>Estimated number of specimens (pinned specimens/ dried specimens/ specimens in alcohol (70% ethanol)): 32´000. Formation period: 1967-ongoing. Geologic period: Present. Estimated number of species: not reported. Number of types: unknown. SCSPS: 2(-5) [Marco V. Bernasconi, updated 2019-11-20]</t>
  </si>
  <si>
    <t>2024-04-25T11:47:43.707Z</t>
  </si>
  <si>
    <t>2024-09-02T16:38:06.589Z</t>
  </si>
  <si>
    <t>100 Insektenkästen und sehr viele weitere entweder in Alkohol oder trocken, unpräpariert in Döschen</t>
  </si>
  <si>
    <t>Ladislaus Reser;Marco Bernasconi</t>
  </si>
  <si>
    <t>492a1094-5346-4001-aa0f-3e72f7dbc722</t>
  </si>
  <si>
    <t>NMLU-ENT_31</t>
  </si>
  <si>
    <t>Other Insects Linsenmaier</t>
  </si>
  <si>
    <t>Estimated number of specimens (pinned specimens): 3´100. Formation period: 1924-1998. Geologic period: Present. Estimated number of species: not reported. Number of types: unknown. SCSPS: 2 [Marco V. Bernasconi, updated 2019-11-20]</t>
  </si>
  <si>
    <t>2024-04-25T11:47:40.985Z</t>
  </si>
  <si>
    <t>2024-09-02T16:38:05.065Z</t>
  </si>
  <si>
    <t>58 Insektenkästen</t>
  </si>
  <si>
    <t>06c2b20c-b681-4df9-8470-668353f572ae</t>
  </si>
  <si>
    <t>NMLU-ENT_32</t>
  </si>
  <si>
    <t>Other Insects ""general""</t>
  </si>
  <si>
    <t>Estimated number of specimens (pinned specimens): 2´100. Formation period: 1967-2020. Geologic period: Present. Estimated number of species: not reported. Number of types: unknown. SCSPS: 2 [Marco V. Bernasconi, updated 2019-11-20]</t>
  </si>
  <si>
    <t>2024-04-25T11:47:38.161Z</t>
  </si>
  <si>
    <t>2024-09-02T16:38:03.569Z</t>
  </si>
  <si>
    <t>40 Insektenkästen (Libellen, Häuschrecken, Schaben, Ohrwürmer, Fang-schrecken, Schnabelfliegen…)</t>
  </si>
  <si>
    <t>40bd7f49-078b-40d1-a1c5-6b7c8115f9d9</t>
  </si>
  <si>
    <t>NMLU-ENT_33</t>
  </si>
  <si>
    <t>Coleoptera Switzerland</t>
  </si>
  <si>
    <t>Estimated number of specimens (pinned specimens): 121´500. Formation period: 1967-2020. Geologic period: Present. Estimated number of species: 3´060. Number of types: unknown. SCSPS: 2(-3)-9 [Marco V. Bernasconi, updated 2019-11-20]</t>
  </si>
  <si>
    <t>2024-04-25T11:47:35.403Z</t>
  </si>
  <si>
    <t>2024-09-02T16:38:02.103Z</t>
  </si>
  <si>
    <t>Insecta: Coleoptera</t>
  </si>
  <si>
    <t>230 Insektenkästen</t>
  </si>
  <si>
    <t>Ladislaus Reser;Peter Herger</t>
  </si>
  <si>
    <t>a853ef61-1ea1-427d-8e0e-13e3e7aab8fc</t>
  </si>
  <si>
    <t>NMLU-ENT_34</t>
  </si>
  <si>
    <t>Coleoptera Switzerland Linsenmaier</t>
  </si>
  <si>
    <t>Estimated number of specimens (pinned specimens): 5´850. Formation period: 1924-1998. Geologic period: Present. Estimated number of species: not reported. Number of types: unknown. SCSPS: not reported [Marco V. Bernasconi, updated 2019-11-20]</t>
  </si>
  <si>
    <t>2024-04-25T11:47:33.043Z</t>
  </si>
  <si>
    <t>2024-09-02T16:38:00.615Z</t>
  </si>
  <si>
    <t>Insektenkästen</t>
  </si>
  <si>
    <t>256d1848-5925-4cb5-9b40-380d1a4dbcb9</t>
  </si>
  <si>
    <t>NMLU-ENT_35</t>
  </si>
  <si>
    <t>Coleoptera Switzerland Amman</t>
  </si>
  <si>
    <t>Estimated number of specimens (pinned specimens): 1´374. Formation period: 1964-1987. Geologic period: Present. Estimated number of species: 166. Number of types: unknown. SCSPS: 5 [Marco V. Bernasconi, updated 2019-11-20]</t>
  </si>
  <si>
    <t>2024-04-25T11:47:30.300Z</t>
  </si>
  <si>
    <t>2024-09-02T16:37:59.187Z</t>
  </si>
  <si>
    <t>Insektenkästen, hauptsächlich Laufkäfer (Carabidae)</t>
  </si>
  <si>
    <t>Fredy Ammann</t>
  </si>
  <si>
    <t>Formation period: 1964-1987</t>
  </si>
  <si>
    <t>636a6371-2b4b-43ba-a145-83adb7f0be77</t>
  </si>
  <si>
    <t>NMLU-ENT_36</t>
  </si>
  <si>
    <t>Coleoptera Switzerland Roos-Röösli</t>
  </si>
  <si>
    <t>Estimated number of specimens (pinned specimens): 436. Formation period: 1927-1985. Geologic period: Present. Estimated number of species: 177. Number of types: unknown. SCSPS: 5 [Marco V. Bernasconi, updated 2019-11-20]</t>
  </si>
  <si>
    <t>2024-04-25T11:47:28.011Z</t>
  </si>
  <si>
    <t>2024-09-02T16:37:57.714Z</t>
  </si>
  <si>
    <t>2fa964e1-0994-4c59-b55c-8920596e94cd</t>
  </si>
  <si>
    <t>NMLU-ENT_37</t>
  </si>
  <si>
    <t>Coleoptera Switzerland Zemp</t>
  </si>
  <si>
    <t>Estimated number of specimens (pinned specimens): 423. Formation period: 1963-1994. Geologic period: Present. Estimated number of species: 127. Number of types: unknown. SCSPS: 5 [Marco V. Bernasconi, updated 2019-11-20]</t>
  </si>
  <si>
    <t>2024-04-25T11:47:25.707Z</t>
  </si>
  <si>
    <t>2024-09-02T16:37:56.248Z</t>
  </si>
  <si>
    <t>Fredy Zemp</t>
  </si>
  <si>
    <t>Formation period: 1963-1994</t>
  </si>
  <si>
    <t>462e5f37-8b44-4b52-b928-0888d44fe79a</t>
  </si>
  <si>
    <t>NMLU-ENT_38</t>
  </si>
  <si>
    <t>Various Coleoptera Switzerland</t>
  </si>
  <si>
    <t>Estimated number of specimens (specimens in alcohol (70% ethanol)/dried specimens): 9´000. Formation period: 1967-2020. Geologic period: Present. Estimated number of species: not reported. Number of types: unknown. SCSPS: 1 [Marco V. Bernasconi, updated 2019-11-20]</t>
  </si>
  <si>
    <t>2024-04-25T11:47:23.365Z</t>
  </si>
  <si>
    <t>2024-09-02T16:37:54.781Z</t>
  </si>
  <si>
    <t>Noch unbearbeitetes Material aus den Aufsammlungen von Ladislaus Reser, haupts. aus dem Kanton Tessin</t>
  </si>
  <si>
    <t>4f78d58a-4bc5-4271-bd03-f3e7c7bfd5bb</t>
  </si>
  <si>
    <t>NMLU-ENT_39</t>
  </si>
  <si>
    <t>Coleoptera World Linsenmaier</t>
  </si>
  <si>
    <t>Estimated number of specimens (pinned specimens): 25´800. Formation period: 1924-1998. Geologic period: Present. Estimated number of species: not reported. Number of types: unknown. SCSPS: 4(-8) [Marco V. Bernasconi, updated 2019-11-20]</t>
  </si>
  <si>
    <t>2024-04-25T11:47:20.897Z</t>
  </si>
  <si>
    <t>2024-09-02T16:37:53.309Z</t>
  </si>
  <si>
    <t>World. Main countries of origin:  (without CH)</t>
  </si>
  <si>
    <t>dd97eda7-e18e-47c0-a11d-78895f752c3e</t>
  </si>
  <si>
    <t>NMLU-ENT_40</t>
  </si>
  <si>
    <t>Coleoptera World Amman</t>
  </si>
  <si>
    <t>Estimated number of specimens (pinned specimens): 871. Formation period: 1964-1987. Geologic period: Present. Estimated number of species: not reported. Number of types: unknown. SCSPS: 2 [Marco V. Bernasconi, updated 2019-11-20]</t>
  </si>
  <si>
    <t>2024-04-25T11:47:18.078Z</t>
  </si>
  <si>
    <t>2024-09-02T16:37:51.820Z</t>
  </si>
  <si>
    <t>Insektenkästen, hauptsächlich Laufkäfer (Gttg. Carabus)</t>
  </si>
  <si>
    <t>5aec9ac7-a80d-4d68-892f-f5c1356adec3</t>
  </si>
  <si>
    <t>NMLU-ENT_41</t>
  </si>
  <si>
    <t>Coleoptera World Putzeler</t>
  </si>
  <si>
    <t>Estimated number of specimens (pinned specimens): 1´200. Formation period: 1960-1970. Geologic period: Present. Estimated number of species: not reported. Number of types: unknown. SCSPS: 4 [Marco V. Bernasconi, updated 2019-11-20]</t>
  </si>
  <si>
    <t>2024-04-25T11:47:15.790Z</t>
  </si>
  <si>
    <t>2024-09-02T16:37:50.333Z</t>
  </si>
  <si>
    <t>Putzeler</t>
  </si>
  <si>
    <t>Formation period: 1960-1970</t>
  </si>
  <si>
    <t>42925a2f-098a-408f-bec5-5964b8ea6cd4</t>
  </si>
  <si>
    <t>NMLU-ENT_42</t>
  </si>
  <si>
    <t>Coleoptera World Herger</t>
  </si>
  <si>
    <t>Estimated number of specimens (pinned specimens): 775. Formation period: 1964-2021. Geologic period: Present. Estimated number of species: not reported. Number of types: unknown. SCSPS: 2 [Marco V. Bernasconi, updated 2019-11-20]</t>
  </si>
  <si>
    <t>2024-04-25T11:47:13.428Z</t>
  </si>
  <si>
    <t>2024-09-02T16:37:48.872Z</t>
  </si>
  <si>
    <t>Peter Herger</t>
  </si>
  <si>
    <t>Formation period: 1964-2021</t>
  </si>
  <si>
    <t>0f852c51-7cce-4da5-90c9-3aeb9f4764cf</t>
  </si>
  <si>
    <t>NMLU-ENT_43</t>
  </si>
  <si>
    <t>Coleoptera World Huber</t>
  </si>
  <si>
    <t>Estimated number of specimens (pinned specimens): 166. Formation period: 1924-1965. Geologic period: Present. Estimated number of species: not reported. Number of types: unknown. SCSPS: 3 [Marco V. Bernasconi, updated 2019-11-20]</t>
  </si>
  <si>
    <t>2024-04-25T11:47:11.064Z</t>
  </si>
  <si>
    <t>2024-09-02T16:37:47.351Z</t>
  </si>
  <si>
    <t>Insektenkästen, Hauptsächlich Laufkäfer (Gttg. Carabus)</t>
  </si>
  <si>
    <t>A. Huber</t>
  </si>
  <si>
    <t>Formation period: 1924-1965</t>
  </si>
  <si>
    <t>9dc2ad96-e64a-46bc-a14d-cb21e9de72a4</t>
  </si>
  <si>
    <t>Museum.BL-PAL-BL</t>
  </si>
  <si>
    <t>Palaeontology</t>
  </si>
  <si>
    <t>Estimated number of specimens (individual specimen): not reported. Formation period: 1800-ongoing. Geologic period: Archean-Pliocene. Estimated number of species: 20´000. Number of types: 48 (Holo- and Lectotypes: 48,  unreported number of Syntypes). SCSPS: 5 [Pascal Favre (?) Museum.BL, updated 2022-04-28]</t>
  </si>
  <si>
    <r>
      <rPr>
        <u/>
        <sz val="10"/>
        <color indexed="8"/>
        <rFont val="Helvetica Neue"/>
        <family val="2"/>
      </rPr>
      <t>saskia.klaassen@bl.ch</t>
    </r>
    <r>
      <rPr>
        <sz val="10"/>
        <color indexed="8"/>
        <rFont val="Helvetica Neue"/>
        <family val="2"/>
      </rPr>
      <t>;</t>
    </r>
    <r>
      <rPr>
        <u/>
        <sz val="10"/>
        <color indexed="8"/>
        <rFont val="Helvetica Neue"/>
        <family val="2"/>
      </rPr>
      <t>marc.limat@bl.ch</t>
    </r>
    <r>
      <rPr>
        <sz val="10"/>
        <color indexed="8"/>
        <rFont val="Helvetica Neue"/>
        <family val="2"/>
      </rPr>
      <t>;</t>
    </r>
    <r>
      <rPr>
        <u/>
        <sz val="10"/>
        <color indexed="8"/>
        <rFont val="Helvetica Neue"/>
        <family val="2"/>
      </rPr>
      <t>guido.mase@bl.ch</t>
    </r>
  </si>
  <si>
    <t>2024-04-25T11:45:46.198Z</t>
  </si>
  <si>
    <t>2024-09-04T06:10:33.659Z</t>
  </si>
  <si>
    <t>Biota, Ichnotaxa: Animalia, Plantae, Protozoa, Ichnotaxa</t>
  </si>
  <si>
    <t>Formation period: 1800-ongoing. Geologic period: Archean-Pliocene</t>
  </si>
  <si>
    <t>90a48097-df92-4456-91ec-0af868f5cb66</t>
  </si>
  <si>
    <t>Museum.BL-Mineral-Petro-BL</t>
  </si>
  <si>
    <t>Mineralogy-Petrology</t>
  </si>
  <si>
    <t>Estimated number of specimens (individual specimen): not reported. Formation period: 1800-ongoing. Geologic period: Archean-Holocene. Estimated number of species: 700. Number of types: unknown. SCSPS: 2; 5 [Pascal Favre (?) Museum.BL, updated 2022-04-28]</t>
  </si>
  <si>
    <t>EarthPlanetary</t>
  </si>
  <si>
    <t>2024-04-25T11:45:43.850Z</t>
  </si>
  <si>
    <t>2024-09-04T06:10:32.026Z</t>
  </si>
  <si>
    <t>Formation period: 1800-ongoing. Geologic period: Archean-Holocene</t>
  </si>
  <si>
    <t>19383634-28a5-40fd-b52d-a056006c1197</t>
  </si>
  <si>
    <t>MHNN-FOS</t>
  </si>
  <si>
    <t>General Paleontology</t>
  </si>
  <si>
    <t>Estimated number of specimens (individual): 43´558. Formation period: 1850-ongoing. Geologic period: Precambrian-Holocène. Estimated number of species: not reported. Number of types: unknown. SCSPS: not reported [Thierry Malvesy, updated 2022-04-07]</t>
  </si>
  <si>
    <t>Paleontological;InvertebrateFossils;InvertebrateFossils</t>
  </si>
  <si>
    <r>
      <rPr>
        <u/>
        <sz val="10"/>
        <color indexed="8"/>
        <rFont val="Helvetica Neue"/>
        <family val="2"/>
      </rPr>
      <t>thierry.malvesy@ne.ch</t>
    </r>
  </si>
  <si>
    <t>Muséum d'histoire naturelle de Neuchâtel, 14, rue des Terreaux Neuchâtel CH-2000 Switzerland</t>
  </si>
  <si>
    <t>2024-04-24T20:08:26.846Z</t>
  </si>
  <si>
    <t>2024-09-04T06:10:16.208Z</t>
  </si>
  <si>
    <t>Spermatophytina: Plantae; Spermatophytina</t>
  </si>
  <si>
    <t>World. Main countries of origin: CH|DE|FR|PL|GB|IE|SE|IS</t>
  </si>
  <si>
    <t>Collection herbaria from the Swiss Jura Mountains, Switzerland</t>
  </si>
  <si>
    <t>Rieben;E.Wegmann;Staub;Portmann;Jacques Ayer &amp; Bernard Claude;C.-D. Junod;Dr Bourquin;Goldfuss;C.-E. Thiébaud</t>
  </si>
  <si>
    <t>Formation period: 1850-ongoing. Geologic period: Precambrian-Holocène</t>
  </si>
  <si>
    <t>90200227-74f9-4fb7-808c-e599e2b6526e</t>
  </si>
  <si>
    <t>MHNN-REG</t>
  </si>
  <si>
    <t>Regional Paleontology</t>
  </si>
  <si>
    <t>Estimated number of specimens (individual): 45´920. Formation period: 1795-ongoing. Geologic period: Triassic-Quaternary. Estimated number of species: not reported. Number of types: unknown. SCSPS: not reported [Thierry Malvesy, updated 2022-04-07]</t>
  </si>
  <si>
    <t>2024-04-24T20:08:24.091Z</t>
  </si>
  <si>
    <t>2024-09-04T06:10:14.677Z</t>
  </si>
  <si>
    <t>Europe. Main countries of origin: CH|FR|GB|ES|DE</t>
  </si>
  <si>
    <t>Auguste Jaccard 1833-1895;Louis Coulon fils1804-1894;Louis Agassiz 1807-1873;Maurice de Tribolet 1852-1929;Gustave Campiche 1809-1871;Modeste Clerc 1879-1966;Alphonse Jeannet 1883-1962;Charles Daniel Junod 1865-1941;Emile Argand 1879-1940</t>
  </si>
  <si>
    <t>Formation period: 1795-ongoing. Geologic period: Triassic-Quaternary</t>
  </si>
  <si>
    <t>e2283be0-bb34-4652-8116-cff1c7965233</t>
  </si>
  <si>
    <t>MHNN-SAB</t>
  </si>
  <si>
    <t>Sand collection</t>
  </si>
  <si>
    <t>Estimated number of specimens (lots): 4´017. Formation period: 2003-ongoing. Geologic period: not reported. Estimated number of species: n/a. Number of types: n/a. SCSPS: not reported [Thierry Malvesy, updated 2022-04-07]</t>
  </si>
  <si>
    <t>EarthPlanetary;Sediments</t>
  </si>
  <si>
    <t>2024-04-24T20:08:21.728Z</t>
  </si>
  <si>
    <t>2024-09-04T06:10:13.236Z</t>
  </si>
  <si>
    <t>Mauro Bonifazi;B. Daengeli;Thomas Cleek</t>
  </si>
  <si>
    <t>Formation period: 2003-ongoing. Geologic period: not reported</t>
  </si>
  <si>
    <t>4a0e0241-cf47-46c7-a58e-ed49a5fec650</t>
  </si>
  <si>
    <t>MHNN-UNI</t>
  </si>
  <si>
    <t>Old University Collections</t>
  </si>
  <si>
    <t>Estimated number of specimens (individual): 23´436. Formation period: 1917-1983. Geologic period: Silurian-Quaternary. Estimated number of species: n/a. Number of types: n/a. SCSPS: not reported [Thierry Malvesy, updated 2022-04-07]</t>
  </si>
  <si>
    <t>EarthPlanetary;Rocks;Sediments</t>
  </si>
  <si>
    <t>2024-04-24T20:08:19.381Z</t>
  </si>
  <si>
    <t>2024-09-04T06:10:11.760Z</t>
  </si>
  <si>
    <t>Main countries of origin: CH|DE|EC|FR|GB|RO|UA|PL|NO|DK|HR|BA|AT|BE|FI|IT|GL|CZ|IE|SE|IS|HU|RU|AZ|BR|MX|LS|DZ|US|CA|JP|EG|MA</t>
  </si>
  <si>
    <r>
      <rPr>
        <sz val="10"/>
        <color indexed="8"/>
        <rFont val="Helvetica Neue"/>
        <family val="2"/>
      </rPr>
      <t xml:space="preserve">Alphonse Jeannet;Auguste Dubois (1862/1923) </t>
    </r>
    <r>
      <rPr>
        <u/>
        <sz val="10"/>
        <color indexed="8"/>
        <rFont val="Helvetica Neue"/>
        <family val="2"/>
      </rPr>
      <t>https://viaf.org/viaf/310654525;Louis</t>
    </r>
    <r>
      <rPr>
        <sz val="10"/>
        <color indexed="8"/>
        <rFont val="Helvetica Neue"/>
        <family val="2"/>
      </rPr>
      <t xml:space="preserve"> Junod;Auguste Jaccard;Emile Argand;Eugène Wegmann;Hans Schardt (1858/1930) </t>
    </r>
    <r>
      <rPr>
        <u/>
        <sz val="10"/>
        <color indexed="8"/>
        <rFont val="Helvetica Neue"/>
        <family val="2"/>
      </rPr>
      <t>https://viaf.org/viaf/42606656;Ph</t>
    </r>
    <r>
      <rPr>
        <sz val="10"/>
        <color indexed="8"/>
        <rFont val="Helvetica Neue"/>
        <family val="2"/>
      </rPr>
      <t xml:space="preserve"> de Rougemont;Lesquereux;Modeste Clerc;Edouard Desor;Dr. Walther Staub;Louis Agassiz;Louis Coulon;Jean-Paul Schaer.</t>
    </r>
  </si>
  <si>
    <t>Formation period: 1917-1983. Geologic period: Silurian-Quaternary</t>
  </si>
  <si>
    <t>3a3db441-34bf-4003-80ea-1547c89ef7fe</t>
  </si>
  <si>
    <t>MHNN-PET</t>
  </si>
  <si>
    <t>Petrography</t>
  </si>
  <si>
    <t>Estimated number of specimens (individual): 6´409. Formation period: 1795-ongoing. Geologic period: Cambrien-Néogène. Estimated number of species: n/a. Number of types: n/a. SCSPS: not reported [Thierry Malvesy, updated 2022-04-07]</t>
  </si>
  <si>
    <t>2024-04-24T20:08:16.527Z</t>
  </si>
  <si>
    <t>2024-09-04T06:10:10.277Z</t>
  </si>
  <si>
    <t>Europe|South America|North America|Africa|Asia. Main countries of origin: CH|DE|FR|GB|RO|AZ|BR|EC|FI|IT|GL|CZ|IE|DZ|HU|MX|LS|SE|IS</t>
  </si>
  <si>
    <r>
      <rPr>
        <sz val="10"/>
        <color indexed="8"/>
        <rFont val="Helvetica Neue"/>
        <family val="2"/>
      </rPr>
      <t xml:space="preserve">Schenk;Hans Schardt (1858/1930) </t>
    </r>
    <r>
      <rPr>
        <u/>
        <sz val="10"/>
        <color indexed="8"/>
        <rFont val="Helvetica Neue"/>
        <family val="2"/>
      </rPr>
      <t>https://viaf.org/viaf/42606656;Ayer</t>
    </r>
    <r>
      <rPr>
        <sz val="10"/>
        <color indexed="8"/>
        <rFont val="Helvetica Neue"/>
        <family val="2"/>
      </rPr>
      <t xml:space="preserve"> &amp; Claude;Stephan Bucher;Bernhard Studer;Jean-Claude Sermet;E. Argand;Alphonse Jeannet;Daniel Weber;Michel Werner;Laurent;Hutin;Michel.</t>
    </r>
  </si>
  <si>
    <t>Formation period: 1795-ongoing. Geologic period: Cambrien-Néogène</t>
  </si>
  <si>
    <t>c0d14f87-f780-4192-86ed-f593efcedd4b</t>
  </si>
  <si>
    <t>MHNN-MIN</t>
  </si>
  <si>
    <t>Mineralogy</t>
  </si>
  <si>
    <t>Estimated number of specimens (individual): 7´643. Formation period: 1850-ongoing. Geologic period: not reported. Estimated number of species: not reported. Number of types: unknown. SCSPS: not reported [Thierry Malvesy, updated 2022-04-07]</t>
  </si>
  <si>
    <t>2024-04-24T20:08:14.154Z</t>
  </si>
  <si>
    <t>2024-09-04T06:10:08.808Z</t>
  </si>
  <si>
    <t>Charles-Eugène Guye;H.-R. Rüegg;Jean-Claude Sermet;Willy Freitag;Gannard;Bernard Claude;G. Maletto;Piguet;Grandjean</t>
  </si>
  <si>
    <t>166fd736-4268-47f9-8f19-686ee512c9e8</t>
  </si>
  <si>
    <t>MHNN-MET</t>
  </si>
  <si>
    <t>Meteorites</t>
  </si>
  <si>
    <t>Estimated number of specimens (individual): 40. Formation period: 1850-ongoing. Geologic period: not reported. Estimated number of species: n/a. Number of types: n/a. SCSPS: not reported [Thierry Malvesy, updated 2022-04-11]</t>
  </si>
  <si>
    <t>EarthPlanetary;Meteorites</t>
  </si>
  <si>
    <t>2024-04-24T20:08:11.814Z</t>
  </si>
  <si>
    <t>2024-09-04T06:10:07.307Z</t>
  </si>
  <si>
    <t>World. Main countries of origin: AU|BF|CL|CN|EG|FI|MA|MX|NA|NG|RU|SO|CZ|TN|US</t>
  </si>
  <si>
    <t>Christophe Dufour</t>
  </si>
  <si>
    <t>4963666f-670b-4a9d-bd97-b3393b5b3a43</t>
  </si>
  <si>
    <t>MHNG-MIPE</t>
  </si>
  <si>
    <t>Mineralogical collection</t>
  </si>
  <si>
    <t>Estimated number of specimens (individual specimens): 31´262. Formation period: 1820-ongoing. Geologic period: not reported. Estimated number of species: not reported. Number of types: unknown. SCSPS: not reported [Anonymous, updated 2022-01-20]</t>
  </si>
  <si>
    <t>Genève</t>
  </si>
  <si>
    <r>
      <rPr>
        <u/>
        <sz val="10"/>
        <color indexed="8"/>
        <rFont val="Helvetica Neue"/>
        <family val="2"/>
      </rPr>
      <t>olivier.maridet@jurassica.ch</t>
    </r>
  </si>
  <si>
    <r>
      <rPr>
        <u/>
        <sz val="10"/>
        <color indexed="8"/>
        <rFont val="Helvetica Neue"/>
        <family val="2"/>
      </rPr>
      <t>https://www.amphipod.ch/</t>
    </r>
  </si>
  <si>
    <t>StorageIndoors;SampleOther</t>
  </si>
  <si>
    <t>Muséum d'histoire naturelle de la Ville de Genève</t>
  </si>
  <si>
    <t>MHNG</t>
  </si>
  <si>
    <t>8d572607-d32c-4477-8834-c9dbe76c57f9</t>
  </si>
  <si>
    <t>Muséum d'histoire naturelle de la Ville de Genève, Route de Malagnou 1 Genève CH-1208 Switzerland</t>
  </si>
  <si>
    <t>2024-04-24T20:07:50.365Z</t>
  </si>
  <si>
    <t>2024-09-04T06:09:56.770Z</t>
  </si>
  <si>
    <t>J. Thurmann;F J Bonanomi;J;-A. Watt;C. Contrejean</t>
  </si>
  <si>
    <t>Formation period: 1820-ongoing. Geologic period: not reported</t>
  </si>
  <si>
    <t>676fb077-8dba-4a2e-bccc-595fa4b91570</t>
  </si>
  <si>
    <t>KMDMZ-Geologie</t>
  </si>
  <si>
    <t>Geology and Mineralogy</t>
  </si>
  <si>
    <t>Estimated number of specimens: 200. Formation period: not reported. Geologic period: not reported. Estimated number of species: n/a. Number of types: n/a. SCSPS: not reported [Anonymous, Assessment date not reported]</t>
  </si>
  <si>
    <t>EarthPlanetary;Rocks;Minerals</t>
  </si>
  <si>
    <t>Kulturama Museum des Menschen Zürich</t>
  </si>
  <si>
    <t>KMDMZ</t>
  </si>
  <si>
    <t>b576469b-3679-4588-8505-c62c90ce8e8f</t>
  </si>
  <si>
    <t>KULTURAMA Museum des Menschen , Englischviertelstrasse 9 Zürich CH-8032 Switzerland</t>
  </si>
  <si>
    <t>2024-04-24T20:07:39.561Z</t>
  </si>
  <si>
    <t>2024-09-04T06:08:03.360Z</t>
  </si>
  <si>
    <t>ecdb6750-39f4-46f5-8f0b-dd55fdfaf0f6</t>
  </si>
  <si>
    <t>KMDMZ-Mensch</t>
  </si>
  <si>
    <t>Human Remains</t>
  </si>
  <si>
    <t>Estimated number of specimens: 220. Formation period: not reported. Geologic period: Present. Estimated number of species: not reported. Number of types: 0. SCSPS: not reported [Anonymous, Assessment date not reported]</t>
  </si>
  <si>
    <t>HumanDerived</t>
  </si>
  <si>
    <t>2024-04-24T20:07:36.758Z</t>
  </si>
  <si>
    <t>2024-09-04T06:08:01.874Z</t>
  </si>
  <si>
    <t>aa0c9c1e-f006-4479-895b-c1b4ea6eea3c</t>
  </si>
  <si>
    <t>KMDMZ-Diverses</t>
  </si>
  <si>
    <t>other</t>
  </si>
  <si>
    <t>Estimated number of specimens: 200. Formation period: not reported. Geologic period: Present. Estimated number of species: n/a. Number of types: n/a. SCSPS: not reported [Anonymous, Assessment date not reported]</t>
  </si>
  <si>
    <t>2024-04-24T20:07:34.335Z</t>
  </si>
  <si>
    <t>2024-09-04T06:08:00.360Z</t>
  </si>
  <si>
    <t>8eac7d22-a65e-4f58-a437-18589e62ed4d</t>
  </si>
  <si>
    <t>KMDMZ-Modelle_Abgüsse</t>
  </si>
  <si>
    <t>Casts and Models</t>
  </si>
  <si>
    <t>Estimated number of specimens: 500. Formation period: not reported. Geologic period: Present. Estimated number of species: n/a. Number of types: n/a. SCSPS: not reported [Anonymous, Assessment date not reported]</t>
  </si>
  <si>
    <t>2024-04-24T20:07:31.946Z</t>
  </si>
  <si>
    <t>2024-09-04T06:07:58.879Z</t>
  </si>
  <si>
    <t>ce29a2c3-a7dd-40e9-b063-8ee09573569c</t>
  </si>
  <si>
    <t>KMDMZ-Tier</t>
  </si>
  <si>
    <t>Animal Remains</t>
  </si>
  <si>
    <t>Estimated number of specimens: 600. Formation period: not reported. Geologic period: Present. Estimated number of species: n/a. Number of types: n/a. SCSPS: not reported [Anonymous, Assessment date not reported]</t>
  </si>
  <si>
    <t>2024-04-24T20:07:29.580Z</t>
  </si>
  <si>
    <t>2024-09-04T06:07:57.367Z</t>
  </si>
  <si>
    <t>6a897e56-c6b4-4f18-a909-b6aaf48618d1</t>
  </si>
  <si>
    <t>KMDMZ-Artefakte</t>
  </si>
  <si>
    <t>Artefacts</t>
  </si>
  <si>
    <t>Estimated number of specimens: 310. Formation period: not reported. Geologic period: Present. Estimated number of species: n/a. Number of types: n/a. SCSPS: not reported [Anonymous, Assessment date not reported]</t>
  </si>
  <si>
    <t>2024-04-24T20:07:27.217Z</t>
  </si>
  <si>
    <t>2024-09-04T06:07:55.873Z</t>
  </si>
  <si>
    <t>4db98f1f-4fe6-4971-8c51-9ae7af9f6622</t>
  </si>
  <si>
    <t>JURASSICA-HERBJU</t>
  </si>
  <si>
    <t>Herbarium</t>
  </si>
  <si>
    <t>Estimated number of specimens (individual specimens): 35´000. Formation period: 1800-2022. Geologic period: Present. Estimated number of species: 3´876. Number of types: 0. SCSPS: 7 [Olivier Maridet, updated 2022-07-22]</t>
  </si>
  <si>
    <t>Porrentruy</t>
  </si>
  <si>
    <t>Jurassica Museum</t>
  </si>
  <si>
    <t>JURASSICA</t>
  </si>
  <si>
    <t>07087f63-ad84-4603-8f17-e01037da89b0</t>
  </si>
  <si>
    <t>Route de Fontenais 21 Porrentruy CH-2900 Switzerland</t>
  </si>
  <si>
    <t>Rte de Fontenais 21 Porrentruy CH-2900 Switzerland</t>
  </si>
  <si>
    <t>2024-04-24T20:07:24.904Z</t>
  </si>
  <si>
    <t>2024-09-04T06:07:54.368Z</t>
  </si>
  <si>
    <t>gbif:ih:irn:263363;59ec57c9-ba68-4c5e-a744-1718bd80771f</t>
  </si>
  <si>
    <t>JUR</t>
  </si>
  <si>
    <t>Formation period: 1800-2022</t>
  </si>
  <si>
    <t>9a84530b-e44d-4371-82b0-6300d9bbd454</t>
  </si>
  <si>
    <t>JURASSICA-ENTOMO</t>
  </si>
  <si>
    <t>Insects</t>
  </si>
  <si>
    <t>Estimated number of specimens (individual specimens): 48´300. Formation period: 1950-2022. Geologic period: Present. Estimated number of species: 641. Number of types: 0. SCSPS: 7 [Olivier Maridet, updated 2022-07-22]</t>
  </si>
  <si>
    <t>2024-04-24T20:07:22.526Z</t>
  </si>
  <si>
    <t>2024-09-04T06:07:52.906Z</t>
  </si>
  <si>
    <t>Collection of insects, mostly moths from the Swiss Jura</t>
  </si>
  <si>
    <t>A. Montavon;L. Reser</t>
  </si>
  <si>
    <t>Formation period: 1950-2022</t>
  </si>
  <si>
    <t>6ad2e1ed-e001-4a07-9f7c-838bb3a54059</t>
  </si>
  <si>
    <t>JURASSICA-TAXID</t>
  </si>
  <si>
    <t>Taxidermy</t>
  </si>
  <si>
    <t>Estimated number of specimens (individual specimens): 1´085. Formation period: 1950-2020. Geologic period: Present. Estimated number of species: 539. Number of types: 0. SCSPS: 8 [Olivier Maridet, updated 2022-07-22]</t>
  </si>
  <si>
    <t>2024-04-24T20:07:20.140Z</t>
  </si>
  <si>
    <t>2024-09-04T06:07:51.467Z</t>
  </si>
  <si>
    <t>Collection of taxidermies, mostly birds from Europe and America</t>
  </si>
  <si>
    <t>J. Chalverat</t>
  </si>
  <si>
    <t>Formation period: 1950-2020</t>
  </si>
  <si>
    <t>0cefa4f8-51ae-4ba1-8245-9b7c180d14d9</t>
  </si>
  <si>
    <t>JURASSICA-OSTEO</t>
  </si>
  <si>
    <t>Vertebrates bones</t>
  </si>
  <si>
    <t>Estimated number of specimens (individual specimens): 1´351. Formation period: 1950-2022. Geologic period: Present. Estimated number of species: 300. Number of types: 0. SCSPS: 8 [Olivier Maridet, updated 2022-07-22]</t>
  </si>
  <si>
    <t>Biological;Endoskeletons</t>
  </si>
  <si>
    <t>2024-04-24T20:07:17.727Z</t>
  </si>
  <si>
    <t>2024-09-04T06:07:50.029Z</t>
  </si>
  <si>
    <t>Comparative anatomy collection for pedagogic use</t>
  </si>
  <si>
    <t>52e290ef-8dc0-4e3e-8730-34f335022671</t>
  </si>
  <si>
    <t>JURASSICA-VERTPAL</t>
  </si>
  <si>
    <t>Fossil vertebrates</t>
  </si>
  <si>
    <t>Estimated number of specimens (individual specimens): 17´644. Formation period: 1950-2020. Geologic period: Eocene-Quaternary. Estimated number of species: 300. Number of types: 2 (Holo- and Lectotypes: 2,  Syntypes: 0). SCSPS: 8 [Olivier Maridet, updated 2022-07-22]</t>
  </si>
  <si>
    <t>2024-04-24T20:07:12.471Z</t>
  </si>
  <si>
    <t>2024-09-30T16:20:36.867Z</t>
  </si>
  <si>
    <t>Collection of fossil vertebrate from the Jura Mountains in Jura Canton, Switzerland</t>
  </si>
  <si>
    <t>SAP-A16;F.-E. Koby;D. Vasylian;O Maridet</t>
  </si>
  <si>
    <t>Formation period: 1950-2020. Geologic period: Eocene-Quaternary</t>
  </si>
  <si>
    <t>734ea2a5-0cf4-4648-96c9-aca28f8a715b</t>
  </si>
  <si>
    <t>JURASSICA-INVERTPAL</t>
  </si>
  <si>
    <t>Fossil invertebrates</t>
  </si>
  <si>
    <t>Estimated number of specimens (individual specimens): 33´152. Formation period: 1900-2020. Geologic period: Kimmeridgian-Quaternary. Estimated number of species: 3´500. Number of types: 15 (Holo- and Lectotypes: 15,  Syntypes: 0). SCSPS: 8 [Olivier Maridet, updated 2022-07-22]</t>
  </si>
  <si>
    <t>2024-04-24T20:07:07.840Z</t>
  </si>
  <si>
    <t>2024-09-04T06:07:45.575Z</t>
  </si>
  <si>
    <t>Invertebrata: Invertebrata;</t>
  </si>
  <si>
    <t>Collection of fossil invertebrate from the Jura Mountains in Jura Canton, Switzerland</t>
  </si>
  <si>
    <t>SAP-A16;F.-L. Koby</t>
  </si>
  <si>
    <t>Formation period: 1900-2020. Geologic period: Kimmeridgian-Quaternary</t>
  </si>
  <si>
    <t>93323eb1-c6fb-46d5-9c4f-6a68ff727b22</t>
  </si>
  <si>
    <t>JURASSICA-GEOL</t>
  </si>
  <si>
    <t>Rocks and Minerals</t>
  </si>
  <si>
    <t>Estimated number of specimens (individual specimens): 8´620. Formation period: 1800-2022. Geologic period: not reported. Estimated number of species: n/a. Number of types: n/a. SCSPS: 8 [Olivier Maridet, updated 2022-07-22]</t>
  </si>
  <si>
    <t>2024-04-24T20:07:05.383Z</t>
  </si>
  <si>
    <t>2024-09-04T06:07:44.033Z</t>
  </si>
  <si>
    <t>Animalia: Animalia;</t>
  </si>
  <si>
    <t>Collection of rocks and minerals, mostly from Europe</t>
  </si>
  <si>
    <t>SAP-A16;J. Thurmann;GA Scheurer</t>
  </si>
  <si>
    <t>Formation period: 1800-2022. Geologic period: not reported</t>
  </si>
  <si>
    <t>c4dbd8b9-cfca-4cce-b81a-c325636f8023</t>
  </si>
  <si>
    <t>JURASSICA-ALCHL</t>
  </si>
  <si>
    <t>Animals in alcohol</t>
  </si>
  <si>
    <t>Estimated number of specimens (individual specimens): 450. Formation period: 1950-2022. Geologic period: Present. Estimated number of species: n/a. Number of types: n/a. SCSPS: 8 [Olivier Maridet, updated 2022-07-22]</t>
  </si>
  <si>
    <t>2024-04-24T20:07:03.051Z</t>
  </si>
  <si>
    <t>2024-09-04T06:07:42.558Z</t>
  </si>
  <si>
    <t>Collection of animal preserved in alcohol, mostly fishes</t>
  </si>
  <si>
    <t>D. Vasilyan</t>
  </si>
  <si>
    <t>0f85ecc2-3118-45d4-bb83-072c6270696c</t>
  </si>
  <si>
    <t>EAWAG-Aquatic_Ecology</t>
  </si>
  <si>
    <t>Altermatt Lab Collection</t>
  </si>
  <si>
    <t>Estimated number of specimens (vials): 5´855. Formation period: 2010-ongoing. Geologic period: Present. Estimated number of species: 45. Number of types: 0. SCSPS: 8 (for type specimens SCSPS: 9) [Florian Altermatt; Roman Alther, updated 2021-11-26]</t>
  </si>
  <si>
    <t>Dübendorf</t>
  </si>
  <si>
    <r>
      <rPr>
        <u/>
        <sz val="10"/>
        <color indexed="8"/>
        <rFont val="Helvetica Neue"/>
        <family val="2"/>
      </rPr>
      <t>florian.altermatt@ieu.uzh.ch</t>
    </r>
  </si>
  <si>
    <t>Eawag aquatic research</t>
  </si>
  <si>
    <t>EAWAG</t>
  </si>
  <si>
    <t>722c63ef-2ebe-4008-951f-62221ff15917</t>
  </si>
  <si>
    <t>EAWAG aquatic research, Überlandstrasse 133 Dübendorf CH-8600 Switzerland</t>
  </si>
  <si>
    <t>2024-04-24T20:07:00.650Z</t>
  </si>
  <si>
    <t>2024-09-04T07:03:44.215Z</t>
  </si>
  <si>
    <t>Amphipoda</t>
  </si>
  <si>
    <t>Florian Altermatt;Roman Alther</t>
  </si>
  <si>
    <t>Formation period: 2010-ongoing</t>
  </si>
  <si>
    <t>d15b7388-6f37-4366-b0a9-86f17df6d16f</t>
  </si>
  <si>
    <t>EAWAG-FishEc_Fish</t>
  </si>
  <si>
    <t>FishEc Collection</t>
  </si>
  <si>
    <t>Estimated number of specimens (individual specimens): 139´000. Formation period: 1995-ongoing. Geologic period: Present. Estimated number of species: 310. Number of types: unknown. SCSPS: 5 [Soraya Villalba, updated 2021-11-12]</t>
  </si>
  <si>
    <r>
      <rPr>
        <u/>
        <sz val="10"/>
        <color indexed="8"/>
        <rFont val="Helvetica Neue"/>
        <family val="2"/>
      </rPr>
      <t>ole.seehausen@eawag.ch</t>
    </r>
  </si>
  <si>
    <t>2024-04-24T20:06:58.336Z</t>
  </si>
  <si>
    <t>2024-09-04T07:03:42.570Z</t>
  </si>
  <si>
    <t>Actinopterygii:  Salmoniformes; Perciformes; Cypriniforme; Cichliformes</t>
  </si>
  <si>
    <t>Switzerland|Africa|Europe. Main countries of origin: CH|TZ|KE|UG|ZM</t>
  </si>
  <si>
    <t>Ulrich Schneppat;Armin Walkmeister;José Domingo Gilgado;Johann Georg Am Stein der Jüngere;Walter Bigler;Johann Rudolf Am Stein;Adolf Nadig sen.;Fred Keiser;Auguste Forel;Eduard Wolfgang Killias;Heinrich Kutter;Hugo Grapentien;Hans Bolt;Bartholomé Hofmänner;Albin Bischof;Hans Voellmy;Jean Carl;Jacques de Beaumont;Robert Benson;Charles Ferrière;Christian Jenny;Rainer Neumeyer;Bruno Peter;Anton Schindler;Erwin Steinmann;Hansueli Tinner;Andri Ghisletti;Mathias Riesen;Andrea Branger;Max Schmidt;Barbara Huber;Ulrich Bense;Michel Dethier;Eduard Handschin;Luzius Bazzigher;Johann Luzius Caflisch;Arno Giovannini;August Janssen;Richard La Nicca;Hans Müller;Adolf Nadig jun.;Ladislaus Rezbanyai-Reser;Senn;Arnold Pictet;Hans Thomann;Simon Jäger;Ursina Guidon;René Heim;Stefan Gratzer;Josef Schaniel;Dilian Georgiev;Fausto Mazzoleni;Frank Kuby;René Gadient;Jacques Aubert;Ruth Bärfuss;Paolo Tognina;Gérard Cuendet</t>
  </si>
  <si>
    <t>Formation period: 1995-ongoing</t>
  </si>
  <si>
    <t>ee1eeeed-11e2-43d0-baee-4b1d80ca3194</t>
  </si>
  <si>
    <t>EAWAG-FishEc_Tissues</t>
  </si>
  <si>
    <t>FishEc Tissue Collection</t>
  </si>
  <si>
    <t>Estimated number of specimens (microtubes): 90´000. Formation period: 1995-ongoing. Geologic period: Present. Estimated number of species: 310. Number of types: unknown. SCSPS: 5 [Soraya Villalba, updated 2021-11-12]</t>
  </si>
  <si>
    <t>Biological;AnimalDerived</t>
  </si>
  <si>
    <t>StorageFrozenMinus20;StorageFrozenMinus80;SampleFluidPreserved</t>
  </si>
  <si>
    <t>2024-04-24T20:06:55.479Z</t>
  </si>
  <si>
    <t>2024-09-04T07:03:41.071Z</t>
  </si>
  <si>
    <t>e41dff5e-6a85-40f1-b00b-a2b14e32734d</t>
  </si>
  <si>
    <t>BNM-INVERTEBRATA</t>
  </si>
  <si>
    <t>Invertebrates</t>
  </si>
  <si>
    <t>Estimated number of specimens (individual specimens): 251´936. Formation period: 1777-ongoing. Geologic period: Present. Estimated number of species: 2´400. Number of types: unknown. SCSPS: 7; 8 [Stephan Liersch, updated 2016-01-25]</t>
  </si>
  <si>
    <t>Chur</t>
  </si>
  <si>
    <t>SamplePinned;SampleFluidPreserved</t>
  </si>
  <si>
    <t>Bündner Naturmuseum, Chur</t>
  </si>
  <si>
    <t>BNM</t>
  </si>
  <si>
    <t>0a76df5c-a78c-4ab8-8e0b-74fa19e8eadc</t>
  </si>
  <si>
    <t>Bündner Naturmuseum, Chur | Museum de la natira, Cuira, Masanserstrasse 31 Chur CH-7000 Switzerland</t>
  </si>
  <si>
    <t>2024-04-24T20:06:49.954Z</t>
  </si>
  <si>
    <t>2024-09-04T06:07:39.533Z</t>
  </si>
  <si>
    <r>
      <rPr>
        <sz val="10"/>
        <color indexed="8"/>
        <rFont val="Helvetica Neue"/>
        <family val="2"/>
      </rPr>
      <t xml:space="preserve">Stephan Liersch </t>
    </r>
    <r>
      <rPr>
        <u/>
        <sz val="10"/>
        <color indexed="8"/>
        <rFont val="Helvetica Neue"/>
        <family val="2"/>
      </rPr>
      <t>stephan.liersch@bnm.gr.ch</t>
    </r>
    <r>
      <rPr>
        <sz val="10"/>
        <color indexed="8"/>
        <rFont val="Helvetica Neue"/>
        <family val="2"/>
      </rPr>
      <t xml:space="preserve"> Curator creator metadataProvider</t>
    </r>
  </si>
  <si>
    <t>Arthropoda: Insecta; Arachnida; Myriapoda; Mollusca</t>
  </si>
  <si>
    <t>World. Main countries of origin: CH|IT|DE|AT|AU|ES|RU|AS|HR|PO|DK|FR|SI|GB</t>
  </si>
  <si>
    <r>
      <rPr>
        <sz val="10"/>
        <color indexed="8"/>
        <rFont val="Helvetica Neue"/>
        <family val="2"/>
      </rPr>
      <t xml:space="preserve">Ulrich Schneppat;Armin Walkmeister;José Domingo Gilgado;Johann Georg Am Stein der Jüngere;Walter Bigler;Johann Rudolf Am Stein;Adolf Nadig sen.;Fred Keiser;Auguste Forel;Eduard Wolfgang Killias;Heinrich Kutter;Hugo Grapentien (1860/1935);Hans Bolt;Bartholomé Hofmänner;Albin Bischof;Hans Voellmy;Jean Carl;Jacques de Beaumont (1901/1985) </t>
    </r>
    <r>
      <rPr>
        <u/>
        <sz val="10"/>
        <color indexed="8"/>
        <rFont val="Helvetica Neue"/>
        <family val="2"/>
      </rPr>
      <t>https://hls-dhs-dss.ch/fr/articles/044916/2004-05-06;Robert</t>
    </r>
    <r>
      <rPr>
        <sz val="10"/>
        <color indexed="8"/>
        <rFont val="Helvetica Neue"/>
        <family val="2"/>
      </rPr>
      <t xml:space="preserve"> Benson;Charles Ferrière (1888/1979);Christian Jenny;Rainer Neumeyer;Bruno Peter;Anton Schindler;Erwin Steinmann;Hansueli Tinner;Andri Ghisletti;Mathias Riesen;Andrea Branger;Max Schmidt;Barbara Huber;Ulrich Bense (1956) </t>
    </r>
    <r>
      <rPr>
        <u/>
        <sz val="10"/>
        <color indexed="8"/>
        <rFont val="Helvetica Neue"/>
        <family val="2"/>
      </rPr>
      <t>https://www.researchgate.net/profile/Ulrich_Bense;Michel</t>
    </r>
    <r>
      <rPr>
        <sz val="10"/>
        <color indexed="8"/>
        <rFont val="Helvetica Neue"/>
        <family val="2"/>
      </rPr>
      <t xml:space="preserve"> Dethier;Eduard Handschin (1894/1962) </t>
    </r>
    <r>
      <rPr>
        <u/>
        <sz val="10"/>
        <color indexed="8"/>
        <rFont val="Helvetica Neue"/>
        <family val="2"/>
      </rPr>
      <t>https://hls-dhs-dss.ch/fr/articles/044917/2007-11-27;Luzius</t>
    </r>
    <r>
      <rPr>
        <sz val="10"/>
        <color indexed="8"/>
        <rFont val="Helvetica Neue"/>
        <family val="2"/>
      </rPr>
      <t xml:space="preserve"> Bazzigher (1832/1918);Johann Luzius Caflisch (1847/1900) </t>
    </r>
    <r>
      <rPr>
        <u/>
        <sz val="10"/>
        <color indexed="8"/>
        <rFont val="Helvetica Neue"/>
        <family val="2"/>
      </rPr>
      <t>https://hls-dhs-dss.ch/fr/articles/028796/2003-09-01;Arno</t>
    </r>
    <r>
      <rPr>
        <sz val="10"/>
        <color indexed="8"/>
        <rFont val="Helvetica Neue"/>
        <family val="2"/>
      </rPr>
      <t xml:space="preserve"> Giovannini;August Janssen;Richard La Nicca;Hans Müller;Adolf Nadig jun.;Ladislaus Rezbanyai-Reser;Senn;Arnold Pictet;Hans Thomann (1874/1959);Simon Jäger;Ursina Guidon;René Heim;Stefan Gratzer;Josef Schaniel;Dilian Georgiev;Fausto Mazzoleni;Frank Kuby;René Gadient;Jacques Aubert (1916/1995);Ruth Bärfuss;Paolo Tognina;Gérard Cuendet</t>
    </r>
  </si>
  <si>
    <t>Formation period: 1777-ongoing</t>
  </si>
  <si>
    <t>c1eb08bc-fc78-4aa7-92dc-8db68945abd0</t>
  </si>
  <si>
    <t>BNM-VERTEBRATA</t>
  </si>
  <si>
    <t>Estimated number of specimens (individual specimens): 18´146. Formation period: 1849-ongoing. Geologic period: Present. Estimated number of species: 550. Number of types: unknown. SCSPS: 8 [Stephan Liersch, updated 2022-06-28]</t>
  </si>
  <si>
    <t>StorageOther;SampleFluidPreserved</t>
  </si>
  <si>
    <t>2024-04-24T20:06:47.099Z</t>
  </si>
  <si>
    <t>2024-09-04T06:07:38.052Z</t>
  </si>
  <si>
    <t>Vertebrata: Mammalia; Aves; Reptilia; Amphibia; Pisces</t>
  </si>
  <si>
    <t>Switzerland|Europe|Africa|North America. Main countries of origin: CH|DE|AT|IT|FR|RU|US|GR|GB|NO|ET|CA</t>
  </si>
  <si>
    <r>
      <rPr>
        <sz val="10"/>
        <color indexed="8"/>
        <rFont val="Helvetica Neue"/>
        <family val="2"/>
      </rPr>
      <t xml:space="preserve">Johann Georg Amstein (1819/1892) </t>
    </r>
    <r>
      <rPr>
        <u/>
        <sz val="10"/>
        <color indexed="8"/>
        <rFont val="Helvetica Neue"/>
        <family val="2"/>
      </rPr>
      <t>https://hls-dhs-dss.ch/fr/articles/014271/2001-07-10;Rudolf</t>
    </r>
    <r>
      <rPr>
        <sz val="10"/>
        <color indexed="8"/>
        <rFont val="Helvetica Neue"/>
        <family val="2"/>
      </rPr>
      <t xml:space="preserve"> Domenico Melcher;Johann Georg Amstein (1819/1892) </t>
    </r>
    <r>
      <rPr>
        <u/>
        <sz val="10"/>
        <color indexed="8"/>
        <rFont val="Helvetica Neue"/>
        <family val="2"/>
      </rPr>
      <t>https://hls-dhs-dss.ch/fr/articles/014271/2001-07-10;Ernst</t>
    </r>
    <r>
      <rPr>
        <sz val="10"/>
        <color indexed="8"/>
        <rFont val="Helvetica Neue"/>
        <family val="2"/>
      </rPr>
      <t xml:space="preserve"> von Lehmann;Gernot Rabeder;Anton Klucker;Florian Bebi;Erwin Knerr;Ulrich Schneppat;Hans Schmocker;Leo Gansner;Andrea Tognina;Paolo Tognina;Peter Wirz;Dieter Burckhardt;Remo Maurizio;Michael Fischberger;Thomas Hunziker</t>
    </r>
  </si>
  <si>
    <t>Formation period: 1849-ongoing</t>
  </si>
  <si>
    <t>03eb5c48-fbfe-4be3-aa9d-7910d4a56a37</t>
  </si>
  <si>
    <t>NMSG-BOTANY</t>
  </si>
  <si>
    <t>Estimated number of specimens (individual specimens): 35´000. Formation period: 1820-ongoing. Geologic period: Present. Estimated number of species: 2´000. Number of types: 1 (Holo- and Lectotypes: 1,  Syntypes: 0). SCSPS: 6 (for type specimens SCSPS: 4) [Alfred Brülisauer, updated 2022-05-09]</t>
  </si>
  <si>
    <t>St. Gallen</t>
  </si>
  <si>
    <r>
      <rPr>
        <u/>
        <sz val="10"/>
        <color indexed="8"/>
        <rFont val="Helvetica Neue"/>
        <family val="2"/>
      </rPr>
      <t>alfred.bruelisauer@naturmuseumsg.ch</t>
    </r>
  </si>
  <si>
    <t>[41] 71 243 40 40</t>
  </si>
  <si>
    <r>
      <rPr>
        <u/>
        <sz val="10"/>
        <color indexed="8"/>
        <rFont val="Helvetica Neue"/>
        <family val="2"/>
      </rPr>
      <t>https://naturmuseumsg.ch/museum/sammlungen/</t>
    </r>
  </si>
  <si>
    <t>SamplePressed;SampleDried</t>
  </si>
  <si>
    <t>Naturmuseum St. Gallen</t>
  </si>
  <si>
    <t>NMSG</t>
  </si>
  <si>
    <t>dcb3162a-9409-4785-a86a-fa6b9b805d1d</t>
  </si>
  <si>
    <t>Rorschacher Strasse 263 St. Gallen CH-9016 Switzerland</t>
  </si>
  <si>
    <t>2024-03-06T07:44:41.052Z</t>
  </si>
  <si>
    <t>2024-09-04T07:04:19.842Z</t>
  </si>
  <si>
    <t>gbif:ih:irn:244420;1f5236d1-fce0-4c40-a70e-040861a84343</t>
  </si>
  <si>
    <r>
      <rPr>
        <sz val="10"/>
        <color indexed="8"/>
        <rFont val="Helvetica Neue"/>
        <family val="2"/>
      </rPr>
      <t xml:space="preserve">Brülisauer Alfred </t>
    </r>
    <r>
      <rPr>
        <u/>
        <sz val="10"/>
        <color indexed="8"/>
        <rFont val="Helvetica Neue"/>
        <family val="2"/>
      </rPr>
      <t>alfred.bruelisauer@naturmuseum.ch</t>
    </r>
    <r>
      <rPr>
        <sz val="10"/>
        <color indexed="8"/>
        <rFont val="Helvetica Neue"/>
        <family val="2"/>
      </rPr>
      <t xml:space="preserve"> Curator Herbarium;Madeleine Geiger </t>
    </r>
    <r>
      <rPr>
        <u/>
        <sz val="10"/>
        <color indexed="8"/>
        <rFont val="Helvetica Neue"/>
        <family val="2"/>
      </rPr>
      <t>madeleine.geiger@naturmuseumsg.ch</t>
    </r>
    <r>
      <rPr>
        <sz val="10"/>
        <color indexed="8"/>
        <rFont val="Helvetica Neue"/>
        <family val="2"/>
      </rPr>
      <t xml:space="preserve"> Head of collections and research;Alfred Brülisauer [41] 71 243 40 40 </t>
    </r>
    <r>
      <rPr>
        <u/>
        <sz val="10"/>
        <color indexed="8"/>
        <rFont val="Helvetica Neue"/>
        <family val="2"/>
      </rPr>
      <t>alfred.bruelisauer@outlook.com</t>
    </r>
    <r>
      <rPr>
        <sz val="10"/>
        <color indexed="8"/>
        <rFont val="Helvetica Neue"/>
        <family val="2"/>
      </rPr>
      <t xml:space="preserve"> Collection Manager</t>
    </r>
  </si>
  <si>
    <t>Plantae: Tracheophyta</t>
  </si>
  <si>
    <t>Switzerland|Europe|World. Main countries of origin: CH</t>
  </si>
  <si>
    <t>Einzige Schlupfwespensammlung der Ostschweiz</t>
  </si>
  <si>
    <t>Hans Hugentobler</t>
  </si>
  <si>
    <t>Formation period: 1820-ongoing</t>
  </si>
  <si>
    <t>302280a8-04f3-4a44-9a21-916749ab9a35</t>
  </si>
  <si>
    <t>NMSG-IC</t>
  </si>
  <si>
    <t>Coleoptera collection</t>
  </si>
  <si>
    <t>Estimated number of specimens (individual specimens): 14´080. Formation period: 1871-1965. Geologic period: Present. Estimated number of species: 1´500. Number of types: 0. SCSPS: 5 [Karin Urfer, updated 2022-07-30]</t>
  </si>
  <si>
    <r>
      <rPr>
        <u/>
        <sz val="10"/>
        <color indexed="8"/>
        <rFont val="Helvetica Neue"/>
        <family val="2"/>
      </rPr>
      <t>karin.urfer@naturmuseumsg.ch</t>
    </r>
  </si>
  <si>
    <t>2024-03-06T07:44:36.974Z</t>
  </si>
  <si>
    <t>2024-09-04T07:04:18.348Z</t>
  </si>
  <si>
    <r>
      <rPr>
        <sz val="10"/>
        <color indexed="8"/>
        <rFont val="Helvetica Neue"/>
        <family val="2"/>
      </rPr>
      <t xml:space="preserve">Madeleine Geiger </t>
    </r>
    <r>
      <rPr>
        <u/>
        <sz val="10"/>
        <color indexed="8"/>
        <rFont val="Helvetica Neue"/>
        <family val="2"/>
      </rPr>
      <t>madeleine.geiger@naturmuseumsg.ch</t>
    </r>
    <r>
      <rPr>
        <sz val="10"/>
        <color indexed="8"/>
        <rFont val="Helvetica Neue"/>
        <family val="2"/>
      </rPr>
      <t xml:space="preserve"> Head of collections and research;Urfer Karin </t>
    </r>
    <r>
      <rPr>
        <u/>
        <sz val="10"/>
        <color indexed="8"/>
        <rFont val="Helvetica Neue"/>
        <family val="2"/>
      </rPr>
      <t>karin.urfer@naturmuseumsg.ch</t>
    </r>
    <r>
      <rPr>
        <sz val="10"/>
        <color indexed="8"/>
        <rFont val="Helvetica Neue"/>
        <family val="2"/>
      </rPr>
      <t xml:space="preserve"> Curator Invertebrates</t>
    </r>
  </si>
  <si>
    <t>Coleoptera</t>
  </si>
  <si>
    <t>Hans Hugentobler (1901/1967)</t>
  </si>
  <si>
    <t>Formation period: 1871-1965</t>
  </si>
  <si>
    <t>4662630e-ae6b-4cdc-9515-a85fbc87b69b</t>
  </si>
  <si>
    <t>NMSG-IH</t>
  </si>
  <si>
    <t>Hymeoptera collection</t>
  </si>
  <si>
    <t>Estimated number of specimens (individual specimens): 500. Formation period: 2020-2022. Geologic period: Present. Estimated number of species: 250. Number of types: 0. SCSPS: 2 [Karin Urfer, updated 2022-04-26]</t>
  </si>
  <si>
    <t>2024-03-06T07:44:33.461Z</t>
  </si>
  <si>
    <t>2024-09-04T07:04:16.890Z</t>
  </si>
  <si>
    <t>Hymenoptera: Ichneumonidae; Braconidae; Pteromalidae</t>
  </si>
  <si>
    <t>Karin Urfer</t>
  </si>
  <si>
    <t>Formation period: 2020-2022</t>
  </si>
  <si>
    <t>527ae9a7-928b-4228-9e84-a17f485f3f2d</t>
  </si>
  <si>
    <t>NMSG-IMH</t>
  </si>
  <si>
    <t>Gastropoda collection, Johann Hartmann</t>
  </si>
  <si>
    <t>Estimated number of specimens (individual specimens): 603. Formation period: 1800-1860. Geologic period: Present. Estimated number of species: 154. Number of types: 2 (Holo- and Lectotypes: 2,  unreported number of Syntypes). SCSPS: 9 [Karin Urfer, updated 2022-04-26]</t>
  </si>
  <si>
    <t>2024-03-06T07:44:29.933Z</t>
  </si>
  <si>
    <t>2024-09-04T07:04:15.398Z</t>
  </si>
  <si>
    <t>Gastropoda: Gastropoda; Pulmonata</t>
  </si>
  <si>
    <t>Europe. Main countries of origin: CH</t>
  </si>
  <si>
    <t>16 Kästen die noch nicht restauriert wurden. Beinhaltet Typusmaterial</t>
  </si>
  <si>
    <t>Johann Hartmann</t>
  </si>
  <si>
    <t>Formation period: 1800-1860</t>
  </si>
  <si>
    <t>f529fa50-ceeb-4060-bbae-b1dae3bffbb7</t>
  </si>
  <si>
    <t>NMSG-IMX</t>
  </si>
  <si>
    <t>Gastropoda collection, Johann Hartmann and colleagues</t>
  </si>
  <si>
    <t>Estimated number of specimens (individual specimens): 2´000. Formation period: 1820-1860. Geologic period: Present. Estimated number of species: 470. Number of types: 0. SCSPS: 1 [Karin Urfer, updated 2022-04-25]</t>
  </si>
  <si>
    <t>2024-03-06T07:44:26.364Z</t>
  </si>
  <si>
    <t>2024-09-04T07:04:13.910Z</t>
  </si>
  <si>
    <t>Europe|Africa|South America. Main countries of origin: CH|FR|AT|DE|IT|NL|CU|BR</t>
  </si>
  <si>
    <t>Zweitälteste und einzige Schneckenhaussammlung in der Ostschweiz</t>
  </si>
  <si>
    <t>Formation period: 1820-1860</t>
  </si>
  <si>
    <t>7365f612-d475-4213-8ce4-2c8d1520daf9</t>
  </si>
  <si>
    <t>NMSG-AAI</t>
  </si>
  <si>
    <t>Collection Emil Bächler, Appenzell</t>
  </si>
  <si>
    <t>Estimated number of specimens (individual specimens): 5´000. Formation period: not reported. Geologic period: Pleistocene-Holocene. Estimated number of species: 1. Number of types: unknown. SCSPS: 5 [Martina Pacher, updated 2022-04-20]</t>
  </si>
  <si>
    <r>
      <rPr>
        <u/>
        <sz val="10"/>
        <color indexed="8"/>
        <rFont val="Helvetica Neue"/>
        <family val="2"/>
      </rPr>
      <t>martina.pacher@naturmuseumsg.ch</t>
    </r>
  </si>
  <si>
    <t>2024-03-06T07:44:22.843Z</t>
  </si>
  <si>
    <t>2024-09-04T07:04:12.421Z</t>
  </si>
  <si>
    <r>
      <rPr>
        <sz val="10"/>
        <color indexed="8"/>
        <rFont val="Helvetica Neue"/>
        <family val="2"/>
      </rPr>
      <t xml:space="preserve">Madeleine Geiger </t>
    </r>
    <r>
      <rPr>
        <u/>
        <sz val="10"/>
        <color indexed="8"/>
        <rFont val="Helvetica Neue"/>
        <family val="2"/>
      </rPr>
      <t>madeleine.geiger@naturmuseumsg.ch</t>
    </r>
    <r>
      <rPr>
        <sz val="10"/>
        <color indexed="8"/>
        <rFont val="Helvetica Neue"/>
        <family val="2"/>
      </rPr>
      <t xml:space="preserve"> Head of collections and research;Martina Pacher </t>
    </r>
    <r>
      <rPr>
        <u/>
        <sz val="10"/>
        <color indexed="8"/>
        <rFont val="Helvetica Neue"/>
        <family val="2"/>
      </rPr>
      <t>martina.pacher@naturmuseumsg.ch</t>
    </r>
    <r>
      <rPr>
        <sz val="10"/>
        <color indexed="8"/>
        <rFont val="Helvetica Neue"/>
        <family val="2"/>
      </rPr>
      <t xml:space="preserve"> Curator Archeaozoology</t>
    </r>
  </si>
  <si>
    <t>Animalia: Ursidae</t>
  </si>
  <si>
    <t>Cave bear remains from the Wildkirchli cave</t>
  </si>
  <si>
    <r>
      <rPr>
        <sz val="10"/>
        <color indexed="8"/>
        <rFont val="Helvetica Neue"/>
        <family val="2"/>
      </rPr>
      <t xml:space="preserve">Emil Bächler (1868/1950) </t>
    </r>
    <r>
      <rPr>
        <u/>
        <sz val="10"/>
        <color indexed="8"/>
        <rFont val="Helvetica Neue"/>
        <family val="2"/>
      </rPr>
      <t>https://viaf.org/viaf/76692655</t>
    </r>
  </si>
  <si>
    <t>c5ebe2ea-fcba-4c95-842f-276613982113</t>
  </si>
  <si>
    <t>NMSG-AEB</t>
  </si>
  <si>
    <t>Collection Emil Bächler, St.Gallen</t>
  </si>
  <si>
    <t>Estimated number of specimens (individual specimens): 90´500. Formation period: 1903-1927. Geologic period: Pleistocene-Holocene. Estimated number of species: 20. Number of types: 0. SCSPS: 5 [Martina Pacher, updated 2022-04-20]</t>
  </si>
  <si>
    <t>2024-03-06T07:44:19.189Z</t>
  </si>
  <si>
    <t>2024-09-04T07:04:10.939Z</t>
  </si>
  <si>
    <t>Animalia: Ursidae; Felidae; Canidae; Mustelidae; Bovidae; Rodentia; Chiroptera; Aves; Mollusca</t>
  </si>
  <si>
    <t>Ice age fauna from the Wildkirchli, Drachenloch and Wildenmannlisloch caves, mainly cave bear, carnivores including the rare Panthera pardus, few Holocene remains</t>
  </si>
  <si>
    <t>Formation period: 1903-1927. Geologic period: Pleistocene-Holocene</t>
  </si>
  <si>
    <t>f7e60193-3c98-47b2-8f8a-17a4eb64e9df</t>
  </si>
  <si>
    <t>NMSG-FGL</t>
  </si>
  <si>
    <t>Fishes from Glarus</t>
  </si>
  <si>
    <t>Estimated number of specimens (individual specimens): 96. Formation period: not reported. Geologic period: Rupelian-Oligocene. Estimated number of species: 8. Number of types: unknown. SCSPS: 5 [Madeleine Geiger, updated 2022-04-21]</t>
  </si>
  <si>
    <r>
      <rPr>
        <u/>
        <sz val="10"/>
        <color indexed="8"/>
        <rFont val="Helvetica Neue"/>
        <family val="2"/>
      </rPr>
      <t>madeleine.geiger@naturmuseumsg.ch</t>
    </r>
  </si>
  <si>
    <t>2024-03-06T07:44:15.642Z</t>
  </si>
  <si>
    <t>2024-09-04T07:04:09.440Z</t>
  </si>
  <si>
    <r>
      <rPr>
        <sz val="10"/>
        <color indexed="8"/>
        <rFont val="Helvetica Neue"/>
        <family val="2"/>
      </rPr>
      <t xml:space="preserve">Madeleine Geiger </t>
    </r>
    <r>
      <rPr>
        <u/>
        <sz val="10"/>
        <color indexed="8"/>
        <rFont val="Helvetica Neue"/>
        <family val="2"/>
      </rPr>
      <t>madeleine.geiger@naturmuseumsg.ch</t>
    </r>
    <r>
      <rPr>
        <sz val="10"/>
        <color indexed="8"/>
        <rFont val="Helvetica Neue"/>
        <family val="2"/>
      </rPr>
      <t xml:space="preserve"> Head of collections and research;Matthias Meier </t>
    </r>
    <r>
      <rPr>
        <u/>
        <sz val="10"/>
        <color indexed="8"/>
        <rFont val="Helvetica Neue"/>
        <family val="2"/>
      </rPr>
      <t>matthias.meier@naturmuseumsg.ch</t>
    </r>
    <r>
      <rPr>
        <sz val="10"/>
        <color indexed="8"/>
        <rFont val="Helvetica Neue"/>
        <family val="2"/>
      </rPr>
      <t xml:space="preserve"> Director</t>
    </r>
  </si>
  <si>
    <t>Osteichthyes: Clupea spp.; Scopeloides glaronensis; Pristigenys spp.; Lepidopus spp.; Palaeorhynchus spp.; Palimphyes elongatus; Isurichthys macrurus; Balistomorphus ovalis</t>
  </si>
  <si>
    <t>Fish fossils of Oligocene age</t>
  </si>
  <si>
    <t>Matthias Meier</t>
  </si>
  <si>
    <t>Formation period: not reported. Geologic period: Rupelian-Oligocene</t>
  </si>
  <si>
    <t>3827b51a-112b-4314-87a7-bbcb11e259e5</t>
  </si>
  <si>
    <t>NMSG-GMI</t>
  </si>
  <si>
    <t>Meteorites and Impactites</t>
  </si>
  <si>
    <t>Estimated number of specimens (individual specimens): 600. Formation period: not reported. Geologic period: Pleistocene-Holocene. Estimated number of species: n/a. Number of types: n/a. SCSPS: 5 [Matthias Meier, updated 2022-04-29]</t>
  </si>
  <si>
    <r>
      <rPr>
        <u/>
        <sz val="10"/>
        <color indexed="8"/>
        <rFont val="Helvetica Neue"/>
        <family val="2"/>
      </rPr>
      <t>matthias.meier@naturmuseumsg.ch</t>
    </r>
  </si>
  <si>
    <t>2024-03-06T07:44:11.954Z</t>
  </si>
  <si>
    <t>2024-09-04T07:04:07.974Z</t>
  </si>
  <si>
    <t>World. Main countries of origin: AR|AU|CH|CL|CZ|DE|DZ|FR|MA|MX|NA|OM|RU|US</t>
  </si>
  <si>
    <t>Large and diverse meteorite collection (including former Bally-Prior collection)</t>
  </si>
  <si>
    <t>1ee8a445-1554-49c2-9919-03f79ddc136d</t>
  </si>
  <si>
    <t>NMSO-VERTEBRATA</t>
  </si>
  <si>
    <t>Vertebrate collection</t>
  </si>
  <si>
    <t>Estimated number of specimens (individual specimens): 3´700. Formation period: 1858-ongoing. Geologic period: Present. Estimated number of species: 1´090. Number of types: 0. SCSPS: 5 [Andreas Schäfer, updated 2021-12-27]</t>
  </si>
  <si>
    <t>Solothurn</t>
  </si>
  <si>
    <r>
      <rPr>
        <u/>
        <sz val="10"/>
        <color indexed="8"/>
        <rFont val="Helvetica Neue"/>
        <family val="2"/>
      </rPr>
      <t>andreas.schaefer@solothurn.ch</t>
    </r>
  </si>
  <si>
    <t>Naturmuseum Solothurn</t>
  </si>
  <si>
    <t>NMSO</t>
  </si>
  <si>
    <t>9674bfd8-6070-4835-a88d-0c4c13fe7f55</t>
  </si>
  <si>
    <t>Naturmuseum Solothurn, Klosterplatz 2 Solothurn CH-4500 Switzerland</t>
  </si>
  <si>
    <t>2024-03-06T07:20:09.093Z</t>
  </si>
  <si>
    <t>2024-09-04T06:12:35.256Z</t>
  </si>
  <si>
    <t>Vertebrata: Mammalia; Aves; Reptilia; Pisces</t>
  </si>
  <si>
    <r>
      <rPr>
        <sz val="10"/>
        <color indexed="8"/>
        <rFont val="Helvetica Neue"/>
        <family val="2"/>
      </rPr>
      <t xml:space="preserve">Charles Huber (1951) </t>
    </r>
    <r>
      <rPr>
        <u/>
        <sz val="10"/>
        <color indexed="8"/>
        <rFont val="Helvetica Neue"/>
        <family val="2"/>
      </rPr>
      <t>https://www.researchgate.net/profile/Charles_Huber4;Axel</t>
    </r>
    <r>
      <rPr>
        <sz val="10"/>
        <color indexed="8"/>
        <rFont val="Helvetica Neue"/>
        <family val="2"/>
      </rPr>
      <t xml:space="preserve"> Budde;Marco Winistörfer;Walter Künzler;Thomas Briner;Andreas Schäfer</t>
    </r>
  </si>
  <si>
    <t>Formation period: 1858-ongoing</t>
  </si>
  <si>
    <t>b6c77866-5ea7-4313-b5fb-ec36658eef19</t>
  </si>
  <si>
    <t>NMSO-PALEONTOLOGY</t>
  </si>
  <si>
    <t>Paleontological Collection</t>
  </si>
  <si>
    <t>Estimated number of specimens: 18´000. Formation period: 1824-ongoing. Geologic period: Holocene-Cambrian. Estimated number of species: not reported. Number of types: unknown. SCSPS: 8 [Silvan Thüring, updated 2021-12-01]</t>
  </si>
  <si>
    <t>InvertebrateFossils;VertebrateFossils;PetrifiedWood;PlantFossils;TraceFossils;VertebrateFossils;Paleontological</t>
  </si>
  <si>
    <r>
      <rPr>
        <u/>
        <sz val="10"/>
        <color indexed="8"/>
        <rFont val="Helvetica Neue"/>
        <family val="2"/>
      </rPr>
      <t>silvan.thuering@solothurn.ch</t>
    </r>
  </si>
  <si>
    <r>
      <rPr>
        <u/>
        <sz val="10"/>
        <color indexed="8"/>
        <rFont val="Helvetica Neue"/>
        <family val="2"/>
      </rPr>
      <t>https://www.naturmuseum-so.ch</t>
    </r>
  </si>
  <si>
    <t>2024-03-06T07:20:06.670Z</t>
  </si>
  <si>
    <t>2024-09-04T06:12:33.767Z</t>
  </si>
  <si>
    <t>Animalia: Annelida; Arthropoda; Brachiopoda; Bryozoa; Chordata; Cnidaria; Echinodermata; Mollusca; Porifera</t>
  </si>
  <si>
    <t>Amanz Gressly;Franz Joseph Hug;Emil Künzli;Franz Vinzenz Lang;Hugo Ledermann;Christian Andreas Meyer;Edith Müller-Merz;Ludwig Rütimeyer;Silvan Thüring</t>
  </si>
  <si>
    <t>Formation period: 1824-ongoing. Geologic period: Holocene-Cambrian</t>
  </si>
  <si>
    <t>c5975d5c-0156-4caa-93ba-8b8dbc5e6cec</t>
  </si>
  <si>
    <t>NMSO-MINERALOGY</t>
  </si>
  <si>
    <t>Mineralogical Collection</t>
  </si>
  <si>
    <t>Estimated number of specimens: 6´500. Formation period: 1824-ongoing. Geologic period: not reported. Estimated number of species: not reported. Number of types: 0. SCSPS: 8 [Silvan Thüring, updated 2021-12-01]</t>
  </si>
  <si>
    <t>Minerals;EarthPlanetary</t>
  </si>
  <si>
    <t>2024-03-06T07:20:01.569Z</t>
  </si>
  <si>
    <t>2024-09-04T06:12:32.243Z</t>
  </si>
  <si>
    <t>Amanz Gressly;Franz Joseph Hugi;Emil Künzli;Franz Vinzenz Lang;Hugo Ledermann;Christian Andreas Meyer;Edith Müller-Merz;Silvan Thüring</t>
  </si>
  <si>
    <t>Formation period: 1824-ongoing. Geologic period: not reported</t>
  </si>
  <si>
    <t>805cd14d-97b4-434d-85e8-d84f8592f89e</t>
  </si>
  <si>
    <t>NMSO-GEOLOGY</t>
  </si>
  <si>
    <t>Geological Collection</t>
  </si>
  <si>
    <t>Estimated number of specimens: 2´600. Formation period: 1824-ongoing. Geologic period: not reported. Estimated number of species: n/a. Number of types: n/a. SCSPS: 8 [Silvan Thüring, updated 2021-12-01]</t>
  </si>
  <si>
    <t>Gems;MetalsOres;Meteorites;Rocks;Sediments;EarthPlanetary</t>
  </si>
  <si>
    <t>2024-03-06T07:19:58.704Z</t>
  </si>
  <si>
    <t>2024-09-04T06:12:30.722Z</t>
  </si>
  <si>
    <t>d26ecd4d-e06b-4313-b56a-a5f1667f5942</t>
  </si>
  <si>
    <t>NMSO-ENTOMO</t>
  </si>
  <si>
    <t>Estimated number of specimens (individual specimens): 81´010. Formation period: 1845-ongoing. Geologic period: Present. Estimated number of species: 6´759. Number of types: 57 (Holo- and Lectotypes: 5,  Syntypes: 52). SCSPS: 9 [Marc Neumann, updated 2021-10-28]</t>
  </si>
  <si>
    <r>
      <rPr>
        <u/>
        <sz val="10"/>
        <color indexed="8"/>
        <rFont val="Helvetica Neue"/>
        <family val="2"/>
      </rPr>
      <t>marc.neumann@solothurn.ch</t>
    </r>
  </si>
  <si>
    <t>2024-03-06T07:19:53.806Z</t>
  </si>
  <si>
    <t>2024-09-04T06:12:36.717Z</t>
  </si>
  <si>
    <t>Insecta: Lepidoptera; Coleoptera; Hymenoptera; Diptera; Hemiptera; Orthoptera; Odonata</t>
  </si>
  <si>
    <r>
      <rPr>
        <sz val="10"/>
        <color indexed="8"/>
        <rFont val="Helvetica Neue"/>
        <family val="2"/>
      </rPr>
      <t xml:space="preserve">Felix Amiet (1937) </t>
    </r>
    <r>
      <rPr>
        <u/>
        <sz val="10"/>
        <color indexed="8"/>
        <rFont val="Helvetica Neue"/>
        <family val="2"/>
      </rPr>
      <t>https://www.researchgate.net/scientific-contributions/2136918060_Felix_Amiet;Paul</t>
    </r>
    <r>
      <rPr>
        <sz val="10"/>
        <color indexed="8"/>
        <rFont val="Helvetica Neue"/>
        <family val="2"/>
      </rPr>
      <t xml:space="preserve"> Born;Paul Bucher (1888/1967);Eduard Däniker (1852/1928);Jakob Escher-Kündig (1842/1930) </t>
    </r>
    <r>
      <rPr>
        <u/>
        <sz val="10"/>
        <color indexed="8"/>
        <rFont val="Helvetica Neue"/>
        <family val="2"/>
      </rPr>
      <t>https://viaf.org/viaf/1032145857122322922673;Auguste</t>
    </r>
    <r>
      <rPr>
        <sz val="10"/>
        <color indexed="8"/>
        <rFont val="Helvetica Neue"/>
        <family val="2"/>
      </rPr>
      <t xml:space="preserve"> Forel;Emil Frey-Gessner (1826/1917) </t>
    </r>
    <r>
      <rPr>
        <u/>
        <sz val="10"/>
        <color indexed="8"/>
        <rFont val="Helvetica Neue"/>
        <family val="2"/>
      </rPr>
      <t>https://viaf.org/viaf/276342794;Jacqueline</t>
    </r>
    <r>
      <rPr>
        <sz val="10"/>
        <color indexed="8"/>
        <rFont val="Helvetica Neue"/>
        <family val="2"/>
      </rPr>
      <t xml:space="preserve"> Grosjean;Fred Keiser;Adrian Lüthi;Rudolf Ludwig Meyer-Dür (1812/1885) </t>
    </r>
    <r>
      <rPr>
        <u/>
        <sz val="10"/>
        <color indexed="8"/>
        <rFont val="Helvetica Neue"/>
        <family val="2"/>
      </rPr>
      <t>https://viaf.org/viaf/306276703;Albert</t>
    </r>
    <r>
      <rPr>
        <sz val="10"/>
        <color indexed="8"/>
        <rFont val="Helvetica Neue"/>
        <family val="2"/>
      </rPr>
      <t xml:space="preserve"> Monard (1886/1952) </t>
    </r>
    <r>
      <rPr>
        <u/>
        <sz val="10"/>
        <color indexed="8"/>
        <rFont val="Helvetica Neue"/>
        <family val="2"/>
      </rPr>
      <t>https://viaf.org/viaf/8185896;Alfred</t>
    </r>
    <r>
      <rPr>
        <sz val="10"/>
        <color indexed="8"/>
        <rFont val="Helvetica Neue"/>
        <family val="2"/>
      </rPr>
      <t xml:space="preserve"> Nägeli;Adolf Nauer;August Rätzer;Karl Ernst Rütimeyer (1889/1971);Hector Schmassmann;Hans Steiner;Ubald von Roll;Otto Wenger</t>
    </r>
  </si>
  <si>
    <t>Formation period: 1845-ongoing</t>
  </si>
  <si>
    <t>065b700b-8d34-46f4-b13c-b3cdccd7ee5e</t>
  </si>
  <si>
    <t>NMSH-Herbarium_MzA</t>
  </si>
  <si>
    <t>Estimated number of specimens (individual specimens): 22´000. Formation period: 1820-1980. Geologic period: Present. Estimated number of species: not reported. Number of types: 0. SCSPS: 5 [Urs Weibel, updated 2022-08-10]</t>
  </si>
  <si>
    <t>[41] 52 633 07 70</t>
  </si>
  <si>
    <r>
      <rPr>
        <u/>
        <sz val="10"/>
        <color indexed="8"/>
        <rFont val="Helvetica Neue"/>
        <family val="2"/>
      </rPr>
      <t>http://www.allerheiligen.ch</t>
    </r>
  </si>
  <si>
    <t>SamplePressed</t>
  </si>
  <si>
    <t>2024-03-06T07:18:56.768Z</t>
  </si>
  <si>
    <t>2024-09-04T06:12:29.229Z</t>
  </si>
  <si>
    <t>gbif:ih:irn:125397;23aa90be-5148-4285-9153-475dde597ac5</t>
  </si>
  <si>
    <r>
      <rPr>
        <sz val="10"/>
        <color indexed="8"/>
        <rFont val="Helvetica Neue"/>
        <family val="2"/>
      </rPr>
      <t xml:space="preserve">Urs Weibel [41] 52 633 07 70 </t>
    </r>
    <r>
      <rPr>
        <u/>
        <sz val="10"/>
        <color indexed="8"/>
        <rFont val="Helvetica Neue"/>
        <family val="2"/>
      </rPr>
      <t>urs.weibel@stsh.ch</t>
    </r>
    <r>
      <rPr>
        <sz val="10"/>
        <color indexed="8"/>
        <rFont val="Helvetica Neue"/>
        <family val="2"/>
      </rPr>
      <t xml:space="preserve"> Executive Curator</t>
    </r>
  </si>
  <si>
    <t>Switzerland, especially Schaffhausen canton and vicinity</t>
  </si>
  <si>
    <t>J.C. Laffon;G. Kummer;S. Brunner;S. Bächtold;J. Schalch</t>
  </si>
  <si>
    <t>SCH</t>
  </si>
  <si>
    <t>d9acf487-84eb-4dae-abcc-2a9d89fdd1bc</t>
  </si>
  <si>
    <t>NMSH-Mollusca_MzA</t>
  </si>
  <si>
    <t>Mollusc Collection</t>
  </si>
  <si>
    <t>Estimated number of specimens (individual specimens): 2´500. Formation period: 1840-1950. Geologic period: Present. Estimated number of species: not reported. Number of types: 0. SCSPS: 2; 3 [Urs Weibel, updated 2018-08-10]</t>
  </si>
  <si>
    <t>Biological;AnimalBuiltStructures</t>
  </si>
  <si>
    <t>SampleOther;SampleDried;SamplePressed</t>
  </si>
  <si>
    <t>2024-03-06T07:18:54.312Z</t>
  </si>
  <si>
    <t>2024-09-04T06:12:26.225Z</t>
  </si>
  <si>
    <t>Johann Conrad Ammann;Otto Stemmler;Bernhard Schenk</t>
  </si>
  <si>
    <t>Formation period: 1840-1950</t>
  </si>
  <si>
    <t>b39e45ef-ed38-4fe6-a443-c36b0ab3603e</t>
  </si>
  <si>
    <t>NMSH-Stemmler_MzA</t>
  </si>
  <si>
    <t>Collection Carl Stemmler</t>
  </si>
  <si>
    <t>Estimated number of specimens (individual specimens): 1´000. Formation period: 1910-1970. Geologic period: Present. Estimated number of species: not reported. Number of types: 0. SCSPS: 5 [Urs Weibel, updated 2022-10-05]</t>
  </si>
  <si>
    <t>2024-03-06T07:18:51.949Z</t>
  </si>
  <si>
    <t>2024-09-04T06:12:24.736Z</t>
  </si>
  <si>
    <t>Regional bedeutende Sammlung an Vogel- und Säugetierpräparaten, dazu umfangreiche Eier- und Nestersammlung sowie zahlreiche Archivalien; umfangreiche Pelzsammlung</t>
  </si>
  <si>
    <r>
      <rPr>
        <sz val="10"/>
        <color indexed="8"/>
        <rFont val="Helvetica Neue"/>
        <family val="2"/>
      </rPr>
      <t xml:space="preserve">Carl Stemmler (1882/1971) </t>
    </r>
    <r>
      <rPr>
        <u/>
        <sz val="10"/>
        <color indexed="8"/>
        <rFont val="Helvetica Neue"/>
        <family val="2"/>
      </rPr>
      <t>https://hls-dhs-dss.ch/de/articles/041390/2013-01-10</t>
    </r>
  </si>
  <si>
    <t>Formation period: 1910-1970</t>
  </si>
  <si>
    <t>b3a24f31-1fa5-451d-918d-aecd5572f45a</t>
  </si>
  <si>
    <t>NMOL-GEO</t>
  </si>
  <si>
    <t>Geology</t>
  </si>
  <si>
    <t>Estimated number of specimens (individual specimens): 19´152. Formation period: 1923-ongoing. Geologic period: not reported. Estimated number of species: n/a. Number of types: n/a. SCSPS: not reported [Anonymous, Assessment date not reported]</t>
  </si>
  <si>
    <t>Olten</t>
  </si>
  <si>
    <r>
      <rPr>
        <u/>
        <sz val="10"/>
        <color indexed="8"/>
        <rFont val="Helvetica Neue"/>
        <family val="2"/>
      </rPr>
      <t>pia.geiger@olten.ch</t>
    </r>
  </si>
  <si>
    <r>
      <rPr>
        <u/>
        <sz val="10"/>
        <color indexed="8"/>
        <rFont val="Helvetica Neue"/>
        <family val="2"/>
      </rPr>
      <t>https://www.olten.ch/_docn/996524/Prufbericht_NMO.pdf</t>
    </r>
  </si>
  <si>
    <t>Naturmuseum Olten</t>
  </si>
  <si>
    <t>NMOL</t>
  </si>
  <si>
    <t>1236323a-0966-4380-9e87-c253056ac77e</t>
  </si>
  <si>
    <t>Naturmuseum Olten, Konradstrasse 7 Olten CH-4600 Switzerland</t>
  </si>
  <si>
    <t>2024-03-06T07:17:40.359Z</t>
  </si>
  <si>
    <t>2024-09-04T06:12:23.219Z</t>
  </si>
  <si>
    <t>Formation period: 1923-ongoing. Geologic period: not reported</t>
  </si>
  <si>
    <t>09efe086-1428-49e3-97a8-c8d244ecd581</t>
  </si>
  <si>
    <t>NMOL-BIO</t>
  </si>
  <si>
    <t>Biology</t>
  </si>
  <si>
    <t>Estimated number of specimens (individual specimens): 5´151. Formation period: 1872-ongoing. Geologic period: Present. Estimated number of species: not reported. Number of types: unknown. SCSPS: not reported [Anonymous, Assessment date not reported]</t>
  </si>
  <si>
    <t>2024-03-06T07:17:37.958Z</t>
  </si>
  <si>
    <t>2024-09-04T06:12:21.690Z</t>
  </si>
  <si>
    <t>Lepidoptera; Fungi; Cladocera</t>
  </si>
  <si>
    <t>Formation period: 1872-ongoing</t>
  </si>
  <si>
    <t>377feb9f-62ca-4d1b-95bc-1fe47cb99266</t>
  </si>
  <si>
    <t>NATUREUM:DZ-ACARI</t>
  </si>
  <si>
    <t>Acari</t>
  </si>
  <si>
    <t>Estimated number of specimens (vials): 50´350. Formation period: 1992-ongoing. Geologic period: Present. Estimated number of species: 4. Number of types: 0. SCSPS: 2; 5 [Jean-Luc Gattolliat; Laurent Vuataz, updated 2022-04-13]</t>
  </si>
  <si>
    <t>Lausanne</t>
  </si>
  <si>
    <r>
      <rPr>
        <u/>
        <sz val="10"/>
        <color indexed="8"/>
        <rFont val="Helvetica Neue"/>
        <family val="2"/>
      </rPr>
      <t>jean-luc.gattolliat@vd.ch</t>
    </r>
  </si>
  <si>
    <t>Muséum cantonal des sciences naturelles, Lausanne, Département Zoologie</t>
  </si>
  <si>
    <t>NATUREUM:DZ</t>
  </si>
  <si>
    <t>3e879cad-48a9-428f-848d-1c0d1a6ba94b</t>
  </si>
  <si>
    <t>Muséum cantonal des sciences naturelles,Dpt Zoologie, Palais de Rumine Lausanne CH-1005 Switzerland</t>
  </si>
  <si>
    <t>2024-03-06T07:15:33.399Z</t>
  </si>
  <si>
    <t>2024-09-04T06:12:20.212Z</t>
  </si>
  <si>
    <t>Spinturnicidae; Ixodidae; Hydrachnidia</t>
  </si>
  <si>
    <t>Formation period: 1992-ongoing</t>
  </si>
  <si>
    <t>1edcea05-eb45-4f76-b13a-5efb409b4a5c</t>
  </si>
  <si>
    <t>NATUREUM:DZ-ANNEL</t>
  </si>
  <si>
    <t>Annelida</t>
  </si>
  <si>
    <t>Estimated number of specimens (microscope slides/ vials): 150´000. Formation period: 1970-ongoing. Geologic period: Present. Estimated number of species: 70. Number of types: 0. SCSPS: 5 [Anne Freitag; Jean-Luc Gattolliat, updated 2022-04-20]</t>
  </si>
  <si>
    <t>SampleSlideMount;SampleFluidPreserved</t>
  </si>
  <si>
    <t>2024-03-06T07:15:30.958Z</t>
  </si>
  <si>
    <t>2024-09-04T06:12:18.759Z</t>
  </si>
  <si>
    <t>Oligochaeta; Annelidae</t>
  </si>
  <si>
    <t>Formation period: 1970-ongoing</t>
  </si>
  <si>
    <t>52db9040-19dd-4f54-b2d5-205678b20a7f</t>
  </si>
  <si>
    <t>NATUREUM:DZ-ARAN</t>
  </si>
  <si>
    <t>Araneae</t>
  </si>
  <si>
    <t>Estimated number of specimens (vials): 4´690. Formation period: 1950-ongoing. Geologic period: Present. Estimated number of species: 150. Number of types: 0. SCSPS: 6; 9 [Jean-Luc Gattolliat, updated 2022-04-20]</t>
  </si>
  <si>
    <t>2024-03-06T07:15:28.578Z</t>
  </si>
  <si>
    <t>2024-09-04T06:12:17.291Z</t>
  </si>
  <si>
    <t>0fda80af-a218-4cf6-bb38-24044f08c601</t>
  </si>
  <si>
    <t>NATUREUM:DZ-COLEO</t>
  </si>
  <si>
    <t>Estimated number of specimens (individual specimen/ microscope slides/ vials): 302´205. Formation period: 1850-ongoing. Geologic period: Present. Estimated number of species: 13´630. Number of types: unknown. SCSPS: 5; 7 [Anne Freitag, updated 2018-09-03]</t>
  </si>
  <si>
    <r>
      <rPr>
        <u/>
        <sz val="10"/>
        <color indexed="8"/>
        <rFont val="Helvetica Neue"/>
        <family val="2"/>
      </rPr>
      <t>anne.freitag@vd.ch</t>
    </r>
  </si>
  <si>
    <t>SamplePinned;SampleFluidPreserved;SampleSlideMount</t>
  </si>
  <si>
    <t>2024-03-06T07:15:26.149Z</t>
  </si>
  <si>
    <t>2024-09-04T06:12:15.802Z</t>
  </si>
  <si>
    <t>Coleoptera; Hydraenidae; Carabidae</t>
  </si>
  <si>
    <t>Formation period: 1850-ongoing</t>
  </si>
  <si>
    <t>78620df9-1da3-468a-b195-283c5bfe87e3</t>
  </si>
  <si>
    <t>NATUREUM:DZ-CRUST</t>
  </si>
  <si>
    <t>Crustaceae</t>
  </si>
  <si>
    <t>Estimated number of specimens (individual specimen/ vials): 2´094. Formation period: 1950-ongoing. Geologic period: Present. Estimated number of species: 5. Number of types: 0. SCSPS: 3 [Jean-Luc Gattolliat, updated 2018-09-03]</t>
  </si>
  <si>
    <t>SampleFluidPreserved;SampleDried</t>
  </si>
  <si>
    <t>2024-03-06T07:15:22.726Z</t>
  </si>
  <si>
    <t>2024-09-04T06:12:14.311Z</t>
  </si>
  <si>
    <t>Gammaridae; Crustacea</t>
  </si>
  <si>
    <t>de1fa23b-e461-4961-a2fe-2f8023ffa442</t>
  </si>
  <si>
    <t>NATUREUM:DZ-DIPT</t>
  </si>
  <si>
    <t>Diptera</t>
  </si>
  <si>
    <t>Estimated number of specimens (individual specimen/ microscope slides): 261´960. Formation period: 1848-ongoing. Geologic period: Present. Estimated number of species: 1´860. Number of types: 461 (Holo- and Lectotypes: 424,  unreported number of Syntypes). SCSPS: 9 [Anne Freitag; Jean-Luc Gattolliat, updated 2022-04-20]</t>
  </si>
  <si>
    <t>SamplePinned;SampleFluidPreserved;SamplePinned</t>
  </si>
  <si>
    <t>2024-03-06T07:15:20.291Z</t>
  </si>
  <si>
    <t>2024-09-04T06:12:12.818Z</t>
  </si>
  <si>
    <t>Diptera; Syrphidae; Tipulidae; Chironomidae; Culicidae; Calliphoridae; Sarcophagidae</t>
  </si>
  <si>
    <t>Formation period: 1848-ongoing</t>
  </si>
  <si>
    <t>a729892c-412e-456c-b493-520b4a5551b1</t>
  </si>
  <si>
    <t>NATUREUM:DZ-ENT_MINOR</t>
  </si>
  <si>
    <t>Insects, Minor orders</t>
  </si>
  <si>
    <t>Estimated number of specimens (individual specimen/ microscope slides/ vials): 1´023. Formation period: 1900-ongoing. Geologic period: Present. Estimated number of species: 74. Number of types: 3 (Holo- and Lectotypes: 3,  unreported number of Syntypes). SCSPS: 6 [Anne Freitag; Jean-Luc Gattolliat, updated 2018-09-03]</t>
  </si>
  <si>
    <t>2024-03-06T07:15:17.883Z</t>
  </si>
  <si>
    <t>2024-09-04T06:12:11.314Z</t>
  </si>
  <si>
    <t>Strepsiptera; Mecoptera; Neuroptera; Megaloptera</t>
  </si>
  <si>
    <t>738bc0ff-13fc-4461-b2f4-eee02ef56ff8</t>
  </si>
  <si>
    <t>NATUREUM:DZ-EPHEM</t>
  </si>
  <si>
    <t>Ephemeroptera</t>
  </si>
  <si>
    <t>Estimated number of specimens (vials/ microscope slides): 60´838. Formation period: 1945-ongoing. Geologic period: Present. Estimated number of species: 1´788. Number of types: 417 (Holo- and Lectotypes: 417,  Syntypes: 0). SCSPS: 8 [Jean-Luc Gattolliat, updated 2018-09-03]</t>
  </si>
  <si>
    <t>SampleFluidPreserved;SampleSlideMount</t>
  </si>
  <si>
    <t>2024-03-06T07:15:15.326Z</t>
  </si>
  <si>
    <t>2024-09-04T06:12:09.862Z</t>
  </si>
  <si>
    <t>Formation period: 1945-ongoing</t>
  </si>
  <si>
    <t>a3d369fe-ca12-4ba1-9eb0-58c5dc7055d2</t>
  </si>
  <si>
    <t>NATUREUM:DZ-HEMIP</t>
  </si>
  <si>
    <t>Hemiptera</t>
  </si>
  <si>
    <t>Estimated number of specimens (individual specimen/ vials): 38´980. Formation period: 1900-ongoing. Geologic period: Present. Estimated number of species: 62. Number of types: 4 (Holo- and Lectotypes: 2,  Syntypes: 0). SCSPS: 4; 5 [Anne Freitag; Jean-Luc Gattolliat, updated 2018-09-03]</t>
  </si>
  <si>
    <t>2024-03-06T07:15:12.854Z</t>
  </si>
  <si>
    <t>2024-09-04T06:12:08.342Z</t>
  </si>
  <si>
    <t>Heteroptera; Homoptera</t>
  </si>
  <si>
    <t>475def4e-7b7e-43b0-8b38-b745a3a7cad7</t>
  </si>
  <si>
    <t>NATUREUM:DZ-HYMENO</t>
  </si>
  <si>
    <t>Hymenoptera</t>
  </si>
  <si>
    <t>Estimated number of specimens (individual specimen/ vials): 264´930. Formation period: 1866-ongoing. Geologic period: Present. Estimated number of species: 7´062. Number of types: unknown. SCSPS: 6 [Anne Freitag, updated 2022-04-20]</t>
  </si>
  <si>
    <t>2024-03-06T07:15:10.470Z</t>
  </si>
  <si>
    <t>2024-09-04T06:12:06.838Z</t>
  </si>
  <si>
    <t>Hymenoptera; Formicidae; Ichneumonidae; Pteromalidae</t>
  </si>
  <si>
    <t>Formation period: 1866-ongoing</t>
  </si>
  <si>
    <t>f27d043e-a9de-401e-b1ce-abf9396abedb</t>
  </si>
  <si>
    <t>NATUREUM:DZ-LEPIDO</t>
  </si>
  <si>
    <t>Estimated number of specimens (individual specimen): 153´130. Formation period: 1870-ongoing. Geologic period: Present. Estimated number of species: 4´160. Number of types: 11 (Holo- and Lectotypes: 11,  Syntypes: 0). SCSPS: 6 [Anne Freitag, updated 2022-04-20]</t>
  </si>
  <si>
    <t>2024-03-06T07:15:08.053Z</t>
  </si>
  <si>
    <t>2024-09-04T06:12:05.363Z</t>
  </si>
  <si>
    <t>Lepidoptera; Nymphalidae; Zygaenidae</t>
  </si>
  <si>
    <t>d1fe5b21-a982-40e5-80b1-976da66b5039</t>
  </si>
  <si>
    <t>NATUREUM:DZ-MOLLU</t>
  </si>
  <si>
    <t>Estimated number of specimens (individual specimen/ vials): 180´000. Formation period: 1820-ongoing. Geologic period: Present. Estimated number of species: 4´340. Number of types: 100 (Holo- and Lectotypes: 4,  unreported number of Syntypes). SCSPS: 2; 5 [Anne Freitag, updated 2018-09-03]</t>
  </si>
  <si>
    <t>2024-03-06T07:15:05.640Z</t>
  </si>
  <si>
    <t>2024-09-04T06:12:03.851Z</t>
  </si>
  <si>
    <t>ae5ee204-0c9c-412a-9f69-13bee5003bee</t>
  </si>
  <si>
    <t>NATUREUM:DZ-MYRIA</t>
  </si>
  <si>
    <t>Myriapodes</t>
  </si>
  <si>
    <t>Estimated number of specimens (vials): 58. Formation period: not reported. Geologic period: Present. Estimated number of species: 20. Number of types: 3 (Holo- and Lectotypes: 1,  unreported number of Syntypes). SCSPS: 9 [Jean-Luc Gattolliat, updated 2018-09-03]</t>
  </si>
  <si>
    <t>2024-03-06T07:15:03.304Z</t>
  </si>
  <si>
    <t>2024-09-04T06:12:02.368Z</t>
  </si>
  <si>
    <t>0acafbf7-23fd-4268-be10-2b0204dcca06</t>
  </si>
  <si>
    <t>NATUREUM:DZ-MZB</t>
  </si>
  <si>
    <t>MacroZooBenthos</t>
  </si>
  <si>
    <t>Estimated number of specimens (vials): 15´898. Formation period: 2006-ongoing. Geologic period: Present. Estimated number of species: 380. Number of types: 0. SCSPS: 9 [Jean-Luc Gattolliat, updated 2022-04-20]</t>
  </si>
  <si>
    <t>2024-03-06T07:15:00.799Z</t>
  </si>
  <si>
    <t>2024-09-04T06:12:00.873Z</t>
  </si>
  <si>
    <t>Ephemeroptera; Plecoptera; Trichoptera; Mollusca; Annelida; Crustacea; Plathyelmintha</t>
  </si>
  <si>
    <t>Formation period: 2006-ongoing</t>
  </si>
  <si>
    <t>1df54e89-7c22-4111-bb4c-68759f77394d</t>
  </si>
  <si>
    <t>NATUREUM:DZ-ODON</t>
  </si>
  <si>
    <t>Odonata</t>
  </si>
  <si>
    <t>Estimated number of specimens (individual specimen): 5´326. Formation period: 1900-ongoing. Geologic period: Present. Estimated number of species: 190. Number of types: 4 (Holo- and Lectotypes: 4,  Syntypes: 0). SCSPS: 6 [Anne Freitag, updated 2018-09-03]</t>
  </si>
  <si>
    <t>2024-03-06T07:14:58.193Z</t>
  </si>
  <si>
    <t>2024-09-04T06:11:59.382Z</t>
  </si>
  <si>
    <t>65587a18-b08e-41a2-b830-263875e181f7</t>
  </si>
  <si>
    <t>NATUREUM:DZ-ORTHO</t>
  </si>
  <si>
    <t>Orthoptera</t>
  </si>
  <si>
    <t>Estimated number of specimens (individual specimen): 3´600. Formation period: 1900-ongoing. Geologic period: Present. Estimated number of species: 140. Number of types: unknown. SCSPS: not reported [Anne Freitag, updated 2018-09-03]</t>
  </si>
  <si>
    <t>2024-03-06T07:14:55.853Z</t>
  </si>
  <si>
    <t>2024-09-04T06:11:57.901Z</t>
  </si>
  <si>
    <t>e68d6a46-7915-4812-9fe6-a02a945ace9a</t>
  </si>
  <si>
    <t>NATUREUM:DZ-PLECO</t>
  </si>
  <si>
    <t>Plecoptera</t>
  </si>
  <si>
    <t>Estimated number of specimens (individual specimen/ vials): 21´900. Formation period: 1940-ongoing. Geologic period: Present. Estimated number of species: 906. Number of types: 428 (Holo- and Lectotypes: 428,  Syntypes: 0). SCSPS: 8 [Jean-Luc Gattolliat, updated 2018-09-03]</t>
  </si>
  <si>
    <t>2024-03-06T07:14:53.381Z</t>
  </si>
  <si>
    <t>2024-09-04T06:11:56.408Z</t>
  </si>
  <si>
    <t>Formation period: 1940-ongoing</t>
  </si>
  <si>
    <t>a53058ce-b052-4666-9241-d093add88e2f</t>
  </si>
  <si>
    <t>NATUREUM:DZ-TRICHO</t>
  </si>
  <si>
    <t>Estimated number of specimens (individual specimen/ microscope slides/ vials): 22´727. Formation period: 1920-ongoing. Geologic period: Present. Estimated number of species: 371. Number of types: 87 (Holo- and Lectotypes: 87,  Syntypes: 0). SCSPS: 8 [Jean-Luc Gattolliat, updated 2018-09-03]</t>
  </si>
  <si>
    <t>2024-03-06T07:14:50.987Z</t>
  </si>
  <si>
    <t>2024-09-04T06:11:54.935Z</t>
  </si>
  <si>
    <t>Formation period: 1920-ongoing</t>
  </si>
  <si>
    <t>c07013f4-414c-4498-8771-e3288586eca9</t>
  </si>
  <si>
    <t>NATUREUM:DZ-VERT</t>
  </si>
  <si>
    <t>Estimated number of specimens (individual specimen/ vials): 46´673. Formation period: 1800-ongoing. Geologic period: Present. Estimated number of species: 6´990. Number of types: 0. SCSPS: 6; 8 [Olivier Glaizot, updated 2018-09-03]</t>
  </si>
  <si>
    <r>
      <rPr>
        <u/>
        <sz val="10"/>
        <color indexed="8"/>
        <rFont val="Helvetica Neue"/>
        <family val="2"/>
      </rPr>
      <t>olivier.glaizot@vd.ch</t>
    </r>
  </si>
  <si>
    <t>StorageIndoors;SampleFluidPreserved;SampleSkeletonized;SampleDried</t>
  </si>
  <si>
    <t>2024-03-06T07:14:48.528Z</t>
  </si>
  <si>
    <t>2024-09-04T06:11:53.444Z</t>
  </si>
  <si>
    <t>Chordata; Aves; Mammalia</t>
  </si>
  <si>
    <t>d5c65f0d-848d-4cb1-a01b-7b8a7f5df905</t>
  </si>
  <si>
    <t>NATUREUM:DG-Pal_Sys</t>
  </si>
  <si>
    <t>Systematic Paleontology</t>
  </si>
  <si>
    <t>Estimated number of specimens (individual specimens/ cells/ thin slice): 60´000. Formation period: 1875-ongoing. Geologic period: Archean-Present. Estimated number of species: 1´000. Number of types: 831 (Holo- and Lectotypes: 145,  Syntypes: 250). SCSPS: 5 (for type specimens SCSPS: 8) [Géraldine Paratte; Antoine Pictet, updated 2021-09-27]</t>
  </si>
  <si>
    <t>Paleontological;Rocks;InvertebrateFossils;InvertebrateMicrofossils;VertebrateFossils;PlantFossils;PetrifiedWood</t>
  </si>
  <si>
    <r>
      <rPr>
        <u/>
        <sz val="10"/>
        <color indexed="8"/>
        <rFont val="Helvetica Neue"/>
        <family val="2"/>
      </rPr>
      <t>antoine.pictet@unil.ch</t>
    </r>
  </si>
  <si>
    <r>
      <rPr>
        <u/>
        <sz val="10"/>
        <color indexed="8"/>
        <rFont val="Helvetica Neue"/>
        <family val="2"/>
      </rPr>
      <t>https://www.unil.ch/mcg/home/menuinst/le-musee/patrimoine/collections/paleonto-systematique.html</t>
    </r>
  </si>
  <si>
    <t>Muséum cantonal des sciences naturelles, Lausanne, Département Géologie</t>
  </si>
  <si>
    <t>NATUREUM:DG</t>
  </si>
  <si>
    <t>9e597ef1-6ce0-4677-b311-014739a27603</t>
  </si>
  <si>
    <t>Bâtiment Anthropole - Université de Lausanne Lausanne 1015 Switzerland</t>
  </si>
  <si>
    <t>2024-03-06T06:54:27.787Z</t>
  </si>
  <si>
    <t>2024-09-04T06:11:51.932Z</t>
  </si>
  <si>
    <t>Bivalvia</t>
  </si>
  <si>
    <t>Collection présente un grand intérêt scientifique, en particulier certaines collections nominales, comme celles de: Philippe de la Harpe: Nummulites, Alice Schnorf-Steiner: Stromatopores; Barbey/Forsyth-Major: vertébres du Miocéne de l'île de Samos.Quelques piéces extraordinaires. comme le mammouth du Brassus, l'ichtyosaure d'Holzmaden et les fossiles géants de palmiers d'Italie du nord sont visibles dans les galeries d'exposition.Cette collection comprend de nombreux types (les références mondiales de nouvelles espèces) dont un catalogue qui a été publié et qui peut être consulté dans le lien suivant : Catalogue des types paléontologiques</t>
  </si>
  <si>
    <t>Lugeon Maurice;De La Harpe Philippe;Forsyth Major Charles Immanuel;Schnorf-Steiner Alice;Marchant Robin</t>
  </si>
  <si>
    <t>Formation period: 1875-ongoing. Geologic period: Archean-Present</t>
  </si>
  <si>
    <t>d391a799-6ca6-4fd9-bbb3-a33e2975387f</t>
  </si>
  <si>
    <t>NATUREUM:DG-Pal_Str</t>
  </si>
  <si>
    <t>Stratigraphic Paleontology</t>
  </si>
  <si>
    <t>Estimated number of specimens (fossils/ matrix, thin slice): 35´000. Formation period: 1875-ongoing. Geologic period: Archean-Present. Estimated number of species: 35´000. Number of types: 88 (Holo- and Lectotypes: 60,  Syntypes: 0). SCSPS: 5 (for type specimens SCSPS: 8) [Géraldine Paratte; Antoine Pictet, updated 2021-10-11]</t>
  </si>
  <si>
    <t>Paleontological;Rocks;InvertebrateFossils;InvertebrateMicrofossils;VertebrateFossils;PlantFossils</t>
  </si>
  <si>
    <r>
      <rPr>
        <u/>
        <sz val="10"/>
        <color indexed="8"/>
        <rFont val="Helvetica Neue"/>
        <family val="2"/>
      </rPr>
      <t>https://www.unil.ch/mcg/home/menuinst/le-musee/patrimoine/collections/paleonto-stratigraphique.html</t>
    </r>
  </si>
  <si>
    <t>2024-03-06T06:54:19.597Z</t>
  </si>
  <si>
    <t>2024-09-04T06:11:50.422Z</t>
  </si>
  <si>
    <t>Badoux Héli;Baud Aymon;De la Harpe Philippe;De Loriol Charles Louis Perceval;De Raaf M.;Bonafede G.;Guex Jean;Marchant Robin;Meister Christian;Mermier Elie;Renevier Eugène;Rollier Louis;Roux William;Van Limbourg;Weidmann Marc</t>
  </si>
  <si>
    <t>d803d47f-66d0-47af-b3cc-46295d457fa4</t>
  </si>
  <si>
    <t>NATUREUM:DG-Geol_Reg</t>
  </si>
  <si>
    <t>Regional geology</t>
  </si>
  <si>
    <t>Estimated number of specimens (individual specimens/ cells/ thin slice): 140´000. Formation period: 1875-ongoing. Geologic period: Precambrien-Present. Estimated number of species: n/a. Number of types: n/a. SCSPS: 4 (for type specimens SCSPS: 7) [Géraldine Paratte, updated 2021-09-27]</t>
  </si>
  <si>
    <t>EarthPlanetary;Rocks;Sediments;Minerals;Meteorites;InvertebrateFossils;InvertebrateMicrofossils;VertebrateFossils;PlantFossils;PetrifiedWood</t>
  </si>
  <si>
    <r>
      <rPr>
        <u/>
        <sz val="10"/>
        <color indexed="8"/>
        <rFont val="Helvetica Neue"/>
        <family val="2"/>
      </rPr>
      <t>robin.marchant@unil.ch</t>
    </r>
  </si>
  <si>
    <r>
      <rPr>
        <u/>
        <sz val="10"/>
        <color indexed="8"/>
        <rFont val="Helvetica Neue"/>
        <family val="2"/>
      </rPr>
      <t>https://www.unil.ch/mcg/home/menuinst/le-musee/patrimoine/collections/geologie-regionale.html</t>
    </r>
  </si>
  <si>
    <t>2024-03-06T06:54:14.714Z</t>
  </si>
  <si>
    <t>2024-09-04T06:11:48.909Z</t>
  </si>
  <si>
    <t>Mollusca; Mammalia: Bivalvia; Brachiopoda; Bryozoa; Charophyta; Chordata; Cephalopoda; Gastropoda; Ostracoda; Porifera; Plantae</t>
  </si>
  <si>
    <t>Patrimoine paléontologique, géologique et minéralogique, depuis le Jura jusqu'au versant sud des Alpes. Collections les plus complétes qui existent sur les massifs préalpins et sur les Alpes valaisannes. Parmi collections nominales: Pictet et Campiche (ammonites de Ste-Croix) et de Roux pour le Jura, de Stehlin (mammifères du Mormont), de Heer (feuilles de la molasse), de Renevier, de Jeannet et de Gagnebin pour les Préalpes, de Lugeon et de Badoux pour les Hautes Alpes calcaires, d'Argand pour les Alpes penniques; collection la plus remarquable : flore Tertiaire de la région lausannoise, avec des milliers de spécimens récoltés sur près de deux siècles. Cette collection est devenue une référence mondiale incontournable avec ses centaines d'holotypes. Un holotype est LE modèle ""étalon"" qui a servi à décrire pour la première fois une espèce encore inconnue.</t>
  </si>
  <si>
    <t>Baud Aymon;Renevier Eugène;Lugeon Maurice;De Rumine Gabriel;Gaudin Charles-Théoèhile;De la Harpe Philippe;Berger Jean-Pierre;Weidmann Marc</t>
  </si>
  <si>
    <t>Formation period: 1875-ongoing. Geologic period: Precambrien-Present</t>
  </si>
  <si>
    <t>17399b20-86fa-4f3d-ab33-c3e93c24c83c</t>
  </si>
  <si>
    <t>NATUREUM:DG-Gites_Min</t>
  </si>
  <si>
    <t>Mineral deposits</t>
  </si>
  <si>
    <t>Estimated number of specimens (individual specimens): 15´000. Formation period: 1820-ongoing. Geologic period: Archean-Present. Estimated number of species: 300. Number of types: 81 (Co-/Neo-/Anthropotypes: 5). SCSPS: 5 [Nicolas Meisser; Géraldine Paratte, updated 2021-10-04]</t>
  </si>
  <si>
    <t>EarthPlanetary;Paleontological;Rocks;Minerals;Paleontological;EarthPlanetary;MetalsOres</t>
  </si>
  <si>
    <r>
      <rPr>
        <u/>
        <sz val="10"/>
        <color indexed="8"/>
        <rFont val="Helvetica Neue"/>
        <family val="2"/>
      </rPr>
      <t>nicolas.meisser@unil.ch</t>
    </r>
  </si>
  <si>
    <r>
      <rPr>
        <u/>
        <sz val="10"/>
        <color indexed="8"/>
        <rFont val="Helvetica Neue"/>
        <family val="2"/>
      </rPr>
      <t>https://www.unil.ch/mcg/home/menuinst/le-musee/patrimoine/collections/mineralogie.html</t>
    </r>
  </si>
  <si>
    <t>2024-03-06T06:54:08.821Z</t>
  </si>
  <si>
    <t>2024-09-04T06:11:42.980Z</t>
  </si>
  <si>
    <t>Par définition, un gîte est une accumulation anormale de certains minéraux, dont certains sont parfois rares. C'est le reflet de conditions géologiques particulières. Les gisements sont fréquement épuisés après quelques dizaines d'années d'exploitation et les galeries deviennent inaccessibles. Pour ces raisons, les échantillons minéralisés présentent un intérêt non seulement économique mais aussi scientifique.</t>
  </si>
  <si>
    <t>Alexander I of Russia;AMGL;Andermatt Paul;Ansermet Stefan;Bauchau Christian;Beck Barbara;Bonnet A.;Brugger Joël;Brunsperger Thierry;Cabalzar Walter;Cuchet Stéphane;De Ascencao Guedes Roger;De Charpentier Jean;De Cocatrix François;Della Valle Guy;Demaizières Jean-François;Dreier Friedrich;Forner Hervé;Gard Eugène;Gratier Michel;Gremaud André;Lheur Cédric;Lorétan Marco;Lucchini Raffaele;Martin Roger;May Roger;Mazzardi Luigi;Mégroz Georges;Meisser Nicolas;Mercanton Samuel;Mermier Elie;Mouron François;Mumenthaler Thomas;Salzmann Alexandre;Vanini Francesco;Veigel Bruno;Weidmann Marc;Weiss Stefan;Woodtli Robert;Wullschleger Edwin</t>
  </si>
  <si>
    <t>Formation period: 1820-ongoing. Geologic period: Archean-Present</t>
  </si>
  <si>
    <t>5d7611c5-9641-4fef-985c-9feaffbcfd2e</t>
  </si>
  <si>
    <t>NATUREUM:DG-Petro_Sys</t>
  </si>
  <si>
    <t>Systematic Petrography</t>
  </si>
  <si>
    <t>Estimated number of specimens (individual specimens): 20´000. Formation period: 1820-ongoing. Geologic period: Hadean-Present. Estimated number of species: 500. Number of types: 6 (Co-/Neo-/Anthropotypes: 0). SCSPS: 5 (for type specimens SCSPS: 2) [Anonymous, updated 2021-10-04]</t>
  </si>
  <si>
    <t>EarthPlanetary;Rocks;Minerals;Paleontological;Asteroids;MetalsOres;Meteorites;Sediments;Soils;SpaceExposedMaterials;Water</t>
  </si>
  <si>
    <r>
      <rPr>
        <u/>
        <sz val="10"/>
        <color indexed="8"/>
        <rFont val="Helvetica Neue"/>
        <family val="2"/>
      </rPr>
      <t>https://www.unil.ch/mcg/home/menuinst/le-musee/patrimoine/collections/petrographie.html</t>
    </r>
  </si>
  <si>
    <t>Muséum cantonal des sciences naturelles,Dpt Géologie, UNIL Anthropole Lausanne CH-1015 Switzerland</t>
  </si>
  <si>
    <t>2024-03-06T06:54:04.763Z</t>
  </si>
  <si>
    <t>2024-09-04T06:11:47.404Z</t>
  </si>
  <si>
    <t>Ayrton Steve;Bussy François;Félix Claude;Tagini Bernard;Bersier Arnold;AMGL;Amstutz André;Ansermet Stefan;Gagnebin Elie;Escher Arthur;Fumey René;Knopf David;Lacroix Alfred;Lugeon Maurice;Marchant Robin;Martin Roger;Meisser Nicolas;Mumenthaler Thomas;Musée Jenisch Vevey;Van Limbourg;Woodtli Robert</t>
  </si>
  <si>
    <t>Formation period: 1820-ongoing. Geologic period: Hadean-Present</t>
  </si>
  <si>
    <t>2f4daf64-598e-421b-ae96-8c60dc84dd46</t>
  </si>
  <si>
    <t>NATUREUM:DG-Geol_Etr</t>
  </si>
  <si>
    <t>Foreign geology (not Swiss)</t>
  </si>
  <si>
    <t>Estimated number of specimens (rock samples/ thin sections/ fossils/ minerals): 30´000. Formation period: 1875-ongoing. Geologic period: Precambrien-Present. Estimated number of species: n/a. Number of types: n/a. SCSPS: 6; 7; 8 (for type specimens SCSPS: 8) [Robin Marchant; Géraldine Paratte, updated 2021-09-27]</t>
  </si>
  <si>
    <t>EarthPlanetary;Paleontological;Rocks;Minerals;Conodonts;InvertebrateFossils;InvertebrateMicrofossils;PetrifiedWood;PlantFossils;TraceFossils;VertebrateFossils</t>
  </si>
  <si>
    <r>
      <rPr>
        <u/>
        <sz val="10"/>
        <color indexed="8"/>
        <rFont val="Helvetica Neue"/>
        <family val="2"/>
      </rPr>
      <t>https://www.unil.ch/mcg/home/menuinst/le-musee/patrimoine/collections/geologie-de-letranger.html</t>
    </r>
  </si>
  <si>
    <t>2024-03-06T06:53:58.428Z</t>
  </si>
  <si>
    <t>2024-09-04T06:11:41.511Z</t>
  </si>
  <si>
    <t>En plus des anciennes collections d'excursion, les collections de géologie de l'étranger sont constituées essentiellement par les récoltes faites dans le cadre de travaux recherche effectués par les collaborateurs du Musée et de la Faculté des géosciences et de l'environnement de l'Université de Lausanne. Certaines de ces collections sont complétées par des dons provenant de chercheurs d'autres instituts.</t>
  </si>
  <si>
    <t>Baud Aymon;Colchen Michel;Gaudin Charles-Théophile;Jenny Catherine;Jud Ruth;Lugeon Maurice;Pillevuit Alain;Richoz Sylvain;Septfontaine Michel;Steck Albrecht;Vachard Daniel;Weidmann Marc</t>
  </si>
  <si>
    <t>8dfad6ce-d767-4a84-a3bf-cc32b1f18c7d</t>
  </si>
  <si>
    <t>NATUREUM:DG-Min_Sys</t>
  </si>
  <si>
    <t>Systematic Mineralogy</t>
  </si>
  <si>
    <t>Estimated number of specimens (individual specimens): 30´000. Formation period: 1820-ongoing. Geologic period: Archean-Present. Estimated number of species: 2´500. Number of types: 1´014 (Co-/Neo-/Anthropotypes: 141). SCSPS: 5 (for type specimens SCSPS: 7) [Nicolas Meisser; Géraldine Paratte, updated 2021-09-27]</t>
  </si>
  <si>
    <t>EarthPlanetary;Rocks;Minerals;Meteorites;Gems</t>
  </si>
  <si>
    <t>2024-03-06T06:53:52.563Z</t>
  </si>
  <si>
    <t>2024-09-04T06:11:45.940Z</t>
  </si>
  <si>
    <t>Le Musée possède une importante collection d'échantillons provenant d'anciennes mines, réunis par plusieurs collectionneurs du XIXe siècle dont le Professeur Mercanton. (p.ex groupes de cristaux de minéraux d'argent et de manganèse d'Allemagne ainsi que les fameux cristaux d'azurite de Chessy prés de Lyon). Les analyses faites depuis cinq ans montrent que cette collection recèle prés de la moitié des 4'400 espèces minérales connues actuellement. De plus notre Musée est dépositaire de près d'une centaine de type minéraux (""l'étalon"" d'une nouvelle espèce minérale) répertoriés.</t>
  </si>
  <si>
    <t>AMGL;Ansermet Stefan;Bally-Prior Eduard;De la Harpe Frédéric-César;Damman J.;De Charpentier Jean;Lugeon Maurice;Gagnebin Elie;Lehr Ernest;De Cizencourt Henri;Martin Roger;Lacroix Alfred;Woodtli Robert;Lardy Charles;Della Valle Guy;Fumey René;Lasserre Wendula;Meisser Nicolas;Mercanton Samuel;Musée Jenisch Vevey;Salzmann Alexandre;Vannaz Suzanne;Van Limbourg L.;Wenger Edwin;Casada Remo;Pavid Noldy;Isenmann Charles;Mouron François;Veigel Bruno;Kaufmann Joseph;Cabalzar Walter;Mumenthaler Thomas;Klinger Hans-Peter;Escher Jan;Demaizières Jean-François;Brunsperger Thierry;De Ascençao Gueder Roger;Lheur Cédric;Weiss Stefan;Roth Philippe</t>
  </si>
  <si>
    <t>366cff1e-bee2-4cc6-95f8-ab8d2508476e</t>
  </si>
  <si>
    <t>NATUREUM:DG-Geol_App</t>
  </si>
  <si>
    <t>Applied geology</t>
  </si>
  <si>
    <t>Estimated number of specimens (cores/ cuttings/ rock samples/ thin sections/ fossils/ minerals): 500. Formation period: 1876-ongoing. Geologic period: Phanerozoic-Present. Estimated number of species: n/a. Number of types: n/a. SCSPS: 4; 5 (for type specimens SCSPS: 0) [Robin Marchant; Géraldine Paratte, updated 2021-10-04]</t>
  </si>
  <si>
    <r>
      <rPr>
        <u/>
        <sz val="10"/>
        <color indexed="8"/>
        <rFont val="Helvetica Neue"/>
        <family val="2"/>
      </rPr>
      <t>https://www.unil.ch/mcg/home/menuinst/le-musee/patrimoine/collections/geologie-appliquee.html</t>
    </r>
  </si>
  <si>
    <t>2024-03-06T06:53:48.895Z</t>
  </si>
  <si>
    <t>2024-09-04T06:11:44.505Z</t>
  </si>
  <si>
    <t>La géologie appliquée est une des collections les plus consultées de notre Musée: elle contient en effet des échantillons provenant de sites aujourd'hui inaccessibles, comme certaines anciennes mines, des forages, des galeries liées au barrages ou des tunnels (dont les parois sont presque toujours crépies de béton). Les compagnies pétroliéres qui ont oeuvré dans le canton ont déposé au musée les résultats de leurs investigations ainsi que des carottes et échantillons de sondages, dont 10 forages d'exploration profonde.</t>
  </si>
  <si>
    <t>Bersier Arnold;Lugeon Maurice;Oulianoff Nicolas;Septfontaine Michel;Weidmann Marc</t>
  </si>
  <si>
    <t>Formation period: 1876-ongoing. Geologic period: Phanerozoic-Present</t>
  </si>
  <si>
    <t>62cdafdd-7a69-4235-98df-af364a5dc69d</t>
  </si>
  <si>
    <t>NATUREUM:DB-ALGA</t>
  </si>
  <si>
    <t>Herbarium alga</t>
  </si>
  <si>
    <t>Estimated number of specimens (individual specimens/ microscope slides): 1´685. Formation period: 1800-ongoing. Geologic period: Present. Estimated number of species: not reported. Number of types: unknown. SCSPS: 5 [Patrice Descombes, updated 2021-11-22]</t>
  </si>
  <si>
    <r>
      <rPr>
        <u/>
        <sz val="10"/>
        <color indexed="8"/>
        <rFont val="Helvetica Neue"/>
        <family val="2"/>
      </rPr>
      <t>patrice.descombes@vd.ch</t>
    </r>
  </si>
  <si>
    <t>SampleSlideMount;SampleDried;SamplePressed</t>
  </si>
  <si>
    <t>Muséum cantonal des sciences naturelles, Lausanne, Département Botanique</t>
  </si>
  <si>
    <t>NATUREUM:DB</t>
  </si>
  <si>
    <t>5183c521-f6ff-4f24-904e-7b715f22d92d</t>
  </si>
  <si>
    <t>Muséum cantonal des sciences naturelles,Dpt Botanique, Avenue de Cour 14bis Lausanne CH-1007 Switzerland</t>
  </si>
  <si>
    <t>2024-03-06T06:50:06.269Z</t>
  </si>
  <si>
    <t>2024-09-04T06:11:40.054Z</t>
  </si>
  <si>
    <t>Chromista</t>
  </si>
  <si>
    <t>François Straub;Rosine Masson;Jules-César Ducommun;Johann Christoph Schleicher</t>
  </si>
  <si>
    <t>d73aa6e0-6f3b-4b01-a125-966d706ceaf2</t>
  </si>
  <si>
    <t>d7f8ed2b-8961-4478-9ca6-a542c022305c</t>
  </si>
  <si>
    <t>NATUREUM:DB-BRYOPHYTES</t>
  </si>
  <si>
    <t>Herbarium bryophytes</t>
  </si>
  <si>
    <t>Estimated number of specimens (individual specimens): 117´000. Formation period: 1800-ongoing. Geologic period: Present. Estimated number of species: not reported. Number of types: 3. SCSPS: 6 [Patrice Descombes, updated 2021-11-22]</t>
  </si>
  <si>
    <t>2024-03-06T06:50:03.007Z</t>
  </si>
  <si>
    <t>2024-09-04T06:11:38.621Z</t>
  </si>
  <si>
    <r>
      <rPr>
        <sz val="10"/>
        <color indexed="8"/>
        <rFont val="Helvetica Neue"/>
        <family val="2"/>
      </rPr>
      <t xml:space="preserve">Gustave Colomb-Duplan;Charles Meylan (1868/1941) </t>
    </r>
    <r>
      <rPr>
        <u/>
        <sz val="10"/>
        <color indexed="8"/>
        <rFont val="Helvetica Neue"/>
        <family val="2"/>
      </rPr>
      <t>https://viaf.org/viaf/109945420</t>
    </r>
  </si>
  <si>
    <t>e77c4800-c3d7-4c99-b76d-5dc6804ef354</t>
  </si>
  <si>
    <t>NATUREUM:DB-FUNGI</t>
  </si>
  <si>
    <t>Herbarium fungi</t>
  </si>
  <si>
    <t>Estimated number of specimens (individual specimens): 46´189. Formation period: 1800-ongoing. Geologic period: Present. Estimated number of species: 141. Number of types: unknown. SCSPS: 5 [Patrice Descombes, updated 2021-11-22]</t>
  </si>
  <si>
    <t>2024-03-06T06:50:00.231Z</t>
  </si>
  <si>
    <t>2024-09-04T06:11:37.149Z</t>
  </si>
  <si>
    <t>Jules-César Ducommun;François Corboz;Otto Jaap;J. Piskor;F. Petrak;H. Sydow;Rappaz;Paul Cruchet;Heinz Clémençon</t>
  </si>
  <si>
    <t>6b86d721-7568-40fe-8efd-603ea2a1cf4a</t>
  </si>
  <si>
    <t>NATUREUM:DB-GAUDIN</t>
  </si>
  <si>
    <t>Herbarium Gaudin</t>
  </si>
  <si>
    <t>Estimated number of specimens (individual specimens): 4´135. Formation period: 1800-1833. Geologic period: Present. Estimated number of species: 3´550. Number of types: 163. SCSPS: 8 [Patrice Descombes, updated 2021-11-22]</t>
  </si>
  <si>
    <t>2024-03-06T06:49:57.402Z</t>
  </si>
  <si>
    <t>2024-09-04T06:11:35.683Z</t>
  </si>
  <si>
    <t>Jean-François-Aimé-Philippe Gaudin</t>
  </si>
  <si>
    <t>Formation period: 1800-1833</t>
  </si>
  <si>
    <t>95f903aa-8153-4f26-ba5a-27fda07d492a</t>
  </si>
  <si>
    <t>NATUREUM:DB-LICHENS</t>
  </si>
  <si>
    <t>Herbarium lichens</t>
  </si>
  <si>
    <t>Estimated number of specimens (individual specimens): 12´000. Formation period: 1800-ongoing. Geologic period: Present. Estimated number of species: not reported. Number of types: unknown. SCSPS: 6 [Patrice Descombes, updated 2021-11-22]</t>
  </si>
  <si>
    <t>2024-03-06T06:49:54.606Z</t>
  </si>
  <si>
    <t>2024-09-04T06:11:34.181Z</t>
  </si>
  <si>
    <r>
      <rPr>
        <sz val="10"/>
        <color indexed="8"/>
        <rFont val="Helvetica Neue"/>
        <family val="2"/>
      </rPr>
      <t xml:space="preserve">Jules-César Ducommun;Rodolphe Blanchet;Charles Meylan (1868/1941) </t>
    </r>
    <r>
      <rPr>
        <u/>
        <sz val="10"/>
        <color indexed="8"/>
        <rFont val="Helvetica Neue"/>
        <family val="2"/>
      </rPr>
      <t>https://viaf.org/viaf/109945420;Pierre</t>
    </r>
    <r>
      <rPr>
        <sz val="10"/>
        <color indexed="8"/>
        <rFont val="Helvetica Neue"/>
        <family val="2"/>
      </rPr>
      <t xml:space="preserve"> Villaret;Arthur Maillefer;Maurice Moreillon;Louis François Jules Rodolphe Leresche</t>
    </r>
  </si>
  <si>
    <t>97d03f93-ca3e-4ee7-9ab6-13d5fda1d5d5</t>
  </si>
  <si>
    <t>NATUREUM:DB-MYXOMYCETES</t>
  </si>
  <si>
    <t>Herbarium myxomycetes</t>
  </si>
  <si>
    <t>Estimated number of specimens (individual specimens): 5´639. Formation period: 1890-2001. Geologic period: Present. Estimated number of species: 372. Number of types: 74. SCSPS: 8 [Patrice Descombes, updated 2021-11-22]</t>
  </si>
  <si>
    <t>2024-03-06T06:49:51.750Z</t>
  </si>
  <si>
    <t>2024-09-04T06:11:32.682Z</t>
  </si>
  <si>
    <t>Myxomycetes</t>
  </si>
  <si>
    <r>
      <rPr>
        <sz val="10"/>
        <color indexed="8"/>
        <rFont val="Helvetica Neue"/>
        <family val="2"/>
      </rPr>
      <t xml:space="preserve">Charles Meylan (1868/1941) </t>
    </r>
    <r>
      <rPr>
        <u/>
        <sz val="10"/>
        <color indexed="8"/>
        <rFont val="Helvetica Neue"/>
        <family val="2"/>
      </rPr>
      <t>https://viaf.org/viaf/109945420;J</t>
    </r>
    <r>
      <rPr>
        <sz val="10"/>
        <color indexed="8"/>
        <rFont val="Helvetica Neue"/>
        <family val="2"/>
      </rPr>
      <t>. Henri Wüst;M. Brandza;Pierre Villaret</t>
    </r>
  </si>
  <si>
    <t>Formation period: 1890-2001</t>
  </si>
  <si>
    <t>a6bc8989-455d-4a7a-81a0-c673c6c58e58</t>
  </si>
  <si>
    <t>NATUREUM:DB-PHANERO</t>
  </si>
  <si>
    <t>Herbarium phanerogams</t>
  </si>
  <si>
    <t>Estimated number of specimens (individual specimens): 862´250. Formation period: 1800-ongoing. Geologic period: Present. Estimated number of species: 7´505. Number of types: unknown. SCSPS: 5 [Patrice Descombes, updated 2021-11-22]</t>
  </si>
  <si>
    <t>[41] 21 316 99 83</t>
  </si>
  <si>
    <r>
      <rPr>
        <u/>
        <sz val="10"/>
        <color indexed="8"/>
        <rFont val="Helvetica Neue"/>
        <family val="2"/>
      </rPr>
      <t>http://www.botanique.vd.ch/musee-et-jardins-botaniques-cantonaux/</t>
    </r>
  </si>
  <si>
    <t>2024-03-06T06:49:48.956Z</t>
  </si>
  <si>
    <t>2024-09-04T06:11:31.206Z</t>
  </si>
  <si>
    <t>gbif:ih:irn:125319;d73aa6e0-6f3b-4b01-a125-966d706ceaf2</t>
  </si>
  <si>
    <r>
      <rPr>
        <sz val="10"/>
        <color indexed="8"/>
        <rFont val="Helvetica Neue"/>
        <family val="2"/>
      </rPr>
      <t xml:space="preserve">Patrice Descombes </t>
    </r>
    <r>
      <rPr>
        <u/>
        <sz val="10"/>
        <color indexed="8"/>
        <rFont val="Helvetica Neue"/>
        <family val="2"/>
      </rPr>
      <t>patrice.descombes@vd.ch</t>
    </r>
  </si>
  <si>
    <t>Worldwide, especially Europe and northern Africa; Switzerland</t>
  </si>
  <si>
    <t>Updated February 2024. Note that since the 1 january 2023, the cantonal museum of botany, geology and zoology merged into one institution, the “Muséum cantonal des sciences naturelles”, also known under the name of “Naturéum”. This institution is located on different sites and has two botanical garden (Lausanne and Pont-de-Nant). The LAU herbarium is managed by the department of botany and located in the botanical garden of Lausanne.</t>
  </si>
  <si>
    <t>Jean Muret;Louis François Jules Rodolphe Leresche;Maurice Moreillon;Eugene Rambert;Pierre Villaret;Arthur Maillefer;Théophile Alexis Durand;Henri Pittier;Alfred Marie Augustin Saint-Yves;Philippe-Jacques Müller;Henri L. Sudre;Ernest Wilczek;Denis Horisberger;Nils Arrigo;Anne-Lise Burger;Stella Huynh;François Felber</t>
  </si>
  <si>
    <t>LAU;d73aa6e0-6f3b-4b01-a125-966d706ceaf2</t>
  </si>
  <si>
    <t>e03e2296-4318-4d14-94e1-0f0340e450c7</t>
  </si>
  <si>
    <t>NATUREUM:DB-SCHLEICHER</t>
  </si>
  <si>
    <t>Herbarium Schleicher</t>
  </si>
  <si>
    <t>Estimated number of specimens (individual specimens): 6´536. Formation period: 1800-1834. Geologic period: Present. Estimated number of species: 6´000. Number of types: unknown. SCSPS: 8 [Patrice Descombes, updated 2021-11-22]</t>
  </si>
  <si>
    <t>2024-03-06T06:49:46.118Z</t>
  </si>
  <si>
    <t>2024-09-04T06:11:29.731Z</t>
  </si>
  <si>
    <t>Johann Christoph Schleicher</t>
  </si>
  <si>
    <t>Formation period: 1800-1834</t>
  </si>
  <si>
    <t>f85f332d-8c29-4ca0-bc75-52a4c2aaee3a</t>
  </si>
  <si>
    <t>NATUREUM:DB-SEEDS</t>
  </si>
  <si>
    <t>Seed collections</t>
  </si>
  <si>
    <t>Estimated number of specimens (individual specimens): 5´095. Formation period: 1800-ongoing. Geologic period: Present. Estimated number of species: 5´067. Number of types: 0. SCSPS: 8 [Patrice Descombes, updated 2021-11-22]</t>
  </si>
  <si>
    <t>2024-03-06T06:49:43.308Z</t>
  </si>
  <si>
    <t>2024-09-04T06:11:28.248Z</t>
  </si>
  <si>
    <t>Jan Caputa;François Corboz</t>
  </si>
  <si>
    <t>da18ef68-dea9-4f2e-b3e7-f174121d46c4</t>
  </si>
  <si>
    <t>NATUREUM:DB-ART</t>
  </si>
  <si>
    <t>Herbarium painted</t>
  </si>
  <si>
    <t>Estimated number of specimens (individual specimens): 1´239. Formation period: 1832-1832. Geologic period: Present. Estimated number of species: n/a. Number of types: n/a. SCSPS: 9 [Patrice Descombes, updated 2021-11-22]</t>
  </si>
  <si>
    <t>2024-03-06T06:49:40.910Z</t>
  </si>
  <si>
    <t>2024-09-04T06:11:26.757Z</t>
  </si>
  <si>
    <t>Rosalie de Constant</t>
  </si>
  <si>
    <t>Formation period: 1832-1832</t>
  </si>
  <si>
    <t>60b9c093-4ea2-4794-b995-b1d00577661f</t>
  </si>
  <si>
    <t>NATUREUM:DB-OBJECT</t>
  </si>
  <si>
    <t>3D object collection</t>
  </si>
  <si>
    <t>Estimated number of specimens (individual specimens): 1´457. Formation period: 1800-ongoing. Geologic period: Present. Estimated number of species: n/a. Number of types: n/a. SCSPS: 8 [Patrice Descombes, updated 2021-11-22]</t>
  </si>
  <si>
    <t>2024-03-06T06:49:38.517Z</t>
  </si>
  <si>
    <t>2024-09-04T06:11:25.288Z</t>
  </si>
  <si>
    <t>33bc4e74-d510-4b60-ab27-eb651f91b9af</t>
  </si>
  <si>
    <t>NATUREUM:DB-MACROFOSSILS</t>
  </si>
  <si>
    <t>Macrofossils collections</t>
  </si>
  <si>
    <t>Estimated number of specimens (individual specimens): not reported. Formation period: 1950-1980. Geologic period: Present. Estimated number of species: not reported. Number of types: 0. SCSPS: 2 [Patrice Descombes, updated 2021-11-22]</t>
  </si>
  <si>
    <t>Archaeological;FloralArtifacts</t>
  </si>
  <si>
    <t>2024-03-06T06:49:35.655Z</t>
  </si>
  <si>
    <t>2024-09-04T06:11:23.757Z</t>
  </si>
  <si>
    <t>Pierre Villaret</t>
  </si>
  <si>
    <t>Formation period: 1950-1980</t>
  </si>
  <si>
    <t>6aabc3c2-f291-4fb6-9da3-2430e96f16cb</t>
  </si>
  <si>
    <t>NAAG-Fung</t>
  </si>
  <si>
    <t>Estimated number of specimens (individual specimens): 730. Formation period: 1860-ongoing. Geologic period: Present. Estimated number of species: not reported. Number of types: unknown. SCSPS: 3 [Christian Sprecher, updated 2021-10-27]</t>
  </si>
  <si>
    <t>Aarau</t>
  </si>
  <si>
    <r>
      <rPr>
        <u/>
        <sz val="10"/>
        <color indexed="8"/>
        <rFont val="Helvetica Neue"/>
        <family val="2"/>
      </rPr>
      <t>christian.sprecher@naturama.ch</t>
    </r>
  </si>
  <si>
    <t>Naturama Aargau</t>
  </si>
  <si>
    <t>NAAG</t>
  </si>
  <si>
    <t>a4e8fc5e-fb6c-4c08-b9f1-ef8724870e89</t>
  </si>
  <si>
    <t>Naturama Aargau, Feerstrasse 17 Aarau CH-5001 Switzerland</t>
  </si>
  <si>
    <t>2024-03-06T06:47:34.862Z</t>
  </si>
  <si>
    <t>2024-09-04T06:11:22.255Z</t>
  </si>
  <si>
    <t>3ee2e9ec-70d2-477f-91b0-1e9b98c5ad84</t>
  </si>
  <si>
    <t>NAAG-Lich</t>
  </si>
  <si>
    <t>Lichenes</t>
  </si>
  <si>
    <t>Estimated number of specimens (individual specimens): 750. Formation period: 1860-ongoing. Geologic period: Present. Estimated number of species: not reported. Number of types: unknown. SCSPS: 3; 4 [Christian Sprecher, updated 2021-10-26]</t>
  </si>
  <si>
    <t>2024-03-06T06:47:32.479Z</t>
  </si>
  <si>
    <t>2024-09-04T06:11:20.737Z</t>
  </si>
  <si>
    <t>d4e2d3ac-880f-49f6-8d6b-14fbfa2ba6de</t>
  </si>
  <si>
    <t>NAAG-Alg</t>
  </si>
  <si>
    <t>Algensammlung</t>
  </si>
  <si>
    <t>Estimated number of specimens (individual specimens): 405. Formation period: 1860-ongoing. Geologic period: Present. Estimated number of species: not reported. Number of types: 0. SCSPS: 3 [Christian Sprecher, updated 2021-10-28]</t>
  </si>
  <si>
    <t>2024-03-06T06:47:30.090Z</t>
  </si>
  <si>
    <t>2024-09-04T06:11:19.246Z</t>
  </si>
  <si>
    <t>Plantae: Algae</t>
  </si>
  <si>
    <t>b447af80-7683-47b6-a494-4241f85a2367</t>
  </si>
  <si>
    <t>NAAG-Bryo</t>
  </si>
  <si>
    <t>Estimated number of specimens (individual specimens): 3´478. Formation period: 1930-ongoing. Geologic period: Present. Estimated number of species: 600. Number of types: 0. SCSPS: 8 [Christian Sprecher, updated 2021-10-28]</t>
  </si>
  <si>
    <t>2024-03-06T06:47:27.717Z</t>
  </si>
  <si>
    <t>2024-09-04T06:11:17.726Z</t>
  </si>
  <si>
    <t>67c5934e-7b5c-44cf-83fc-945b2528af6b</t>
  </si>
  <si>
    <t>NAAG-Herb</t>
  </si>
  <si>
    <t>Herbarium Argoviense</t>
  </si>
  <si>
    <t>Estimated number of specimens (individual specimens): 40´000. Formation period: 1800-ongoing. Geologic period: Present. Estimated number of species: 2´110. Number of types: 0. SCSPS: 5 [Christian Sprecher, updated 2021-10-28]</t>
  </si>
  <si>
    <t>2024-03-06T06:47:25.332Z</t>
  </si>
  <si>
    <t>2024-09-04T06:11:16.222Z</t>
  </si>
  <si>
    <t>8208701f-7b25-4132-a45c-726cef1992a0</t>
  </si>
  <si>
    <t>NAAG-Rubus</t>
  </si>
  <si>
    <t>Herbarium Rubus coll. Hermann Bangerter</t>
  </si>
  <si>
    <t>Estimated number of specimens (individual specimens): 850. Formation period: 1953-1975. Geologic period: Present. Estimated number of species: not reported. Number of types: 0. SCSPS: 5 [Christian Sprecher, updated 2021-10-28]</t>
  </si>
  <si>
    <t>2024-03-06T06:47:22.851Z</t>
  </si>
  <si>
    <t>2024-09-04T06:11:14.717Z</t>
  </si>
  <si>
    <t>Rubus</t>
  </si>
  <si>
    <t>Formation period: 1953-1975</t>
  </si>
  <si>
    <t>d5816675-bb8c-4ca6-8d7d-a09610e7d183</t>
  </si>
  <si>
    <t>NAAG-Bival</t>
  </si>
  <si>
    <t>Muscheln</t>
  </si>
  <si>
    <t>Estimated number of specimens (individual specimens): 1´000. Formation period: 1860-1980. Geologic period: Present. Estimated number of species: not reported. Number of types: unknown. SCSPS: not reported [Anonymous, Assessment date not reported]</t>
  </si>
  <si>
    <t>2024-03-06T06:47:20.375Z</t>
  </si>
  <si>
    <t>2024-09-04T06:11:13.205Z</t>
  </si>
  <si>
    <t>Formation period: 1860-1980</t>
  </si>
  <si>
    <t>06669382-6d85-4e4d-b0a5-5757d8c2ae77</t>
  </si>
  <si>
    <t>NAAG-Cnid</t>
  </si>
  <si>
    <t>Korallensammlung</t>
  </si>
  <si>
    <t>Estimated number of specimens (individual specimens): 130. Formation period: 1860-1980. Geologic period: Present. Estimated number of species: not reported. Number of types: 0. SCSPS: 3 [Christian Sprecher, updated 2021-10-28]</t>
  </si>
  <si>
    <t>2024-03-06T06:47:18.024Z</t>
  </si>
  <si>
    <t>2024-09-04T06:11:11.724Z</t>
  </si>
  <si>
    <t>Cnidaria</t>
  </si>
  <si>
    <t>3e45c218-84e6-4f86-98d0-0d9b6aada6ef</t>
  </si>
  <si>
    <t>NAAG-Gastr</t>
  </si>
  <si>
    <t>Schnecken</t>
  </si>
  <si>
    <t>Estimated number of specimens (individual specimens): 3´200. Formation period: 1860-1980. Geologic period: Present. Estimated number of species: not reported. Number of types: unknown. SCSPS: not reported [Anonymous, Assessment date not reported]</t>
  </si>
  <si>
    <t>2024-03-06T06:47:15.160Z</t>
  </si>
  <si>
    <t>2024-09-04T06:11:10.241Z</t>
  </si>
  <si>
    <t>Gastropoda</t>
  </si>
  <si>
    <t>b99684d0-21c9-48ac-8be8-4c7cc299663f</t>
  </si>
  <si>
    <t>NAAG-Ins</t>
  </si>
  <si>
    <t>Estimated number of specimens (individual specimens): 53´530. Formation period: 1860-ongoing. Geologic period: Present. Estimated number of species: not reported. Number of types: unknown. SCSPS: 3 [Christian Sprecher, updated 2021-10-28]</t>
  </si>
  <si>
    <t>2024-03-06T06:47:12.413Z</t>
  </si>
  <si>
    <t>2024-09-04T06:11:08.755Z</t>
  </si>
  <si>
    <t>Coleoptera; Lepidoptera; Hymenoptera: Coleoptera; Lepidoptera; Hymenoptera; Andrenidae; Ephemeroptera; Apidae; Plecoptera; Colletidae; Odonata; Halictidae; Orthoptera; Megachilidae; Phasmatodea; Melittidae; Chrysididae; Crabronidae; Pompilidae; Sphecidae; Tiphiidae; Vespidae; Formicidae22; Homoptera; Neuroptera; Diptera; Siphonaptera</t>
  </si>
  <si>
    <t>aeb0bf4d-3904-44fc-a9ce-edd55be7d3c7</t>
  </si>
  <si>
    <t>NAAG-Klingnau</t>
  </si>
  <si>
    <t>Wet coll. Klingnauer Stausee 1980s</t>
  </si>
  <si>
    <t>Estimated number of specimens (vial): 1´200. Formation period: 1981-1987. Geologic period: Present. Estimated number of species: not reported. Number of types: 0. SCSPS: 2 [Christian Sprecher, updated 2021-10-28]</t>
  </si>
  <si>
    <t>2024-03-06T06:47:09.453Z</t>
  </si>
  <si>
    <t>2024-09-04T06:11:07.311Z</t>
  </si>
  <si>
    <t>Formation period: 1981-1987</t>
  </si>
  <si>
    <t>a57d51b3-7944-49b9-a79c-8e921230c843</t>
  </si>
  <si>
    <t>NAAG-Ei</t>
  </si>
  <si>
    <t>Eggs</t>
  </si>
  <si>
    <t>Estimated number of specimens (individual specimens): 300. Formation period: 1860-ongoing. Geologic period: Present. Estimated number of species: not reported. Number of types: 0. SCSPS: 4; 5 [Christian Sprecher, updated 2021-10-28]</t>
  </si>
  <si>
    <t>2024-03-06T06:47:07.066Z</t>
  </si>
  <si>
    <t>2024-09-04T06:11:05.879Z</t>
  </si>
  <si>
    <t>e70b9605-5b0b-4475-95d5-a9c61a060e11</t>
  </si>
  <si>
    <t>NAAG-Prä</t>
  </si>
  <si>
    <t>Dermoplastiken</t>
  </si>
  <si>
    <t>Estimated number of specimens (individual specimens): 1´500. Formation period: 1860-ongoing. Geologic period: Present. Estimated number of species: not reported. Number of types: 0. SCSPS: 5 [Christian Sprecher, updated 2021-10-28]</t>
  </si>
  <si>
    <t>2024-03-06T06:47:04.641Z</t>
  </si>
  <si>
    <t>2024-09-04T06:11:04.409Z</t>
  </si>
  <si>
    <t>Vertebrata </t>
  </si>
  <si>
    <t>8e4b55f3-c798-4579-a2a0-eed10bbe6648</t>
  </si>
  <si>
    <t>NAAG-Kno</t>
  </si>
  <si>
    <t>Osteology</t>
  </si>
  <si>
    <t>Estimated number of specimens (individual specimens): 1´300. Formation period: 1860-ongoing. Geologic period: Present. Estimated number of species: not reported. Number of types: 0. SCSPS: 2 [Christian Sprecher, updated 2021-10-28]</t>
  </si>
  <si>
    <t>2024-03-06T06:47:02.207Z</t>
  </si>
  <si>
    <t>2024-09-04T06:11:02.916Z</t>
  </si>
  <si>
    <t>d706ffd0-f90c-43a5-a288-36baaa077ad5</t>
  </si>
  <si>
    <t>NAAG-Foss</t>
  </si>
  <si>
    <t>Fossils</t>
  </si>
  <si>
    <t>Estimated number of specimens (individual specimens): 18´600. Formation period: 1860-ongoing. Geologic period: Cambrian-Quaternary. Estimated number of species: not reported. Number of types: 1 (Holo- and Lectotypes: 1,  Syntypes: 0). SCSPS: 4 [Christian Sprecher, updated 2021-10-28]</t>
  </si>
  <si>
    <t>2024-03-06T06:46:59.771Z</t>
  </si>
  <si>
    <t>2024-09-04T06:11:01.431Z</t>
  </si>
  <si>
    <t>Formation period: 1860-ongoing. Geologic period: Cambrian-Quaternary</t>
  </si>
  <si>
    <t>f733ef15-b94b-4ecf-bdb4-b1e065e9ae49</t>
  </si>
  <si>
    <t>NAAG-Min</t>
  </si>
  <si>
    <t>Estimated number of specimens (individual specimens): 10´000. Formation period: 1860-ongoing. Geologic period: not reported. Estimated number of species: not reported. Number of types: 0. SCSPS: 6 [Christian Sprecher, updated 2021-10-28]</t>
  </si>
  <si>
    <t>2024-03-06T06:46:57.317Z</t>
  </si>
  <si>
    <t>2024-09-04T06:10:59.966Z</t>
  </si>
  <si>
    <t>Formation period: 1860-ongoing. Geologic period: not reported</t>
  </si>
  <si>
    <t>4eb577bf-d7f3-4363-8874-65a15915bfac</t>
  </si>
  <si>
    <t>NAAG-Alc</t>
  </si>
  <si>
    <t>Animalia wet</t>
  </si>
  <si>
    <t>Estimated number of specimens (individual specimens): 520. Formation period: 1860-ongoing. Geologic period: Present. Estimated number of species: not reported. Number of types: 0. SCSPS: 5 [Christian Sprecher, updated 2021-10-28]</t>
  </si>
  <si>
    <t>2024-03-06T06:46:54.920Z</t>
  </si>
  <si>
    <t>2024-09-04T06:10:58.481Z</t>
  </si>
  <si>
    <t>e2f3f93a-a7f9-4437-a3bc-87da2db3da76</t>
  </si>
  <si>
    <t>MHNF-HAEBI</t>
  </si>
  <si>
    <t>Herbarium Jos. Aebischer</t>
  </si>
  <si>
    <t>Estimated number of specimens (individual specimens): 2´644. Formation period: 1890-1916. Geologic period: Present. Estimated number of species: 2´000. Number of types: 0. SCSPS: 7 [Gregor Kozlowski, updated 2018-08-24]</t>
  </si>
  <si>
    <r>
      <rPr>
        <u/>
        <sz val="10"/>
        <color indexed="8"/>
        <rFont val="Helvetica Neue"/>
        <family val="2"/>
      </rPr>
      <t>gregor.kozlowski@unifr.ch</t>
    </r>
  </si>
  <si>
    <t>Musée d'histoire naturelle Fribourg</t>
  </si>
  <si>
    <t>MHNF</t>
  </si>
  <si>
    <t>d4ec3a19-8a63-4985-9966-e74d5d4c33b5</t>
  </si>
  <si>
    <t>Musée d'histoire naturelle Fribourg, Chemin du Musée 6 Fribourg CH-1700 Switzerland</t>
  </si>
  <si>
    <t>2024-03-06T06:28:41.727Z</t>
  </si>
  <si>
    <t>2024-09-04T06:09:53.729Z</t>
  </si>
  <si>
    <t>Joseph Aebischer</t>
  </si>
  <si>
    <t>2f268325-eafb-473f-a576-f59ea5dd0fc4</t>
  </si>
  <si>
    <t>Formation period: 1890-1916</t>
  </si>
  <si>
    <t>20686226-6374-432b-9943-b9a354d56edd</t>
  </si>
  <si>
    <t>MHNF-HAFRIC</t>
  </si>
  <si>
    <t>Ex herbario africano</t>
  </si>
  <si>
    <t>Estimated number of specimens (individual specimens): 1´450. Formation period: 1839-1840. Geologic period: Present. Estimated number of species: 1´000. Number of types: 239 (Holo- and Lectotypes: 0,  Syntypes: 60). SCSPS: 7 [Gregor Kozlowski, updated 2018-08-24]</t>
  </si>
  <si>
    <t>2024-03-06T06:28:39.364Z</t>
  </si>
  <si>
    <t>2024-09-04T06:09:52.266Z</t>
  </si>
  <si>
    <t>Krauss, Schimper</t>
  </si>
  <si>
    <t>Formation period: 1839-1840</t>
  </si>
  <si>
    <t>4ab72017-417a-41b1-aa36-54a0fdd98738</t>
  </si>
  <si>
    <t>MHNF-HBERS</t>
  </si>
  <si>
    <t>Herbier Berset J.</t>
  </si>
  <si>
    <t>Estimated number of specimens (individual specimens): 700. Formation period: 1950-1970. Geologic period: Present. Estimated number of species: 600. Number of types: 0. SCSPS: 5 [Gregor Kozlowski, updated 2018-08-24]</t>
  </si>
  <si>
    <t>2024-03-06T06:28:36.988Z</t>
  </si>
  <si>
    <t>2024-09-04T06:09:50.803Z</t>
  </si>
  <si>
    <t>J. Berset</t>
  </si>
  <si>
    <t>Formation period: 1950-1970</t>
  </si>
  <si>
    <t>d2e3a0df-af71-4b9a-8afd-f7385d6703ee</t>
  </si>
  <si>
    <t>MHNF-HBON</t>
  </si>
  <si>
    <t>Herbarium missionis Tunquini occidentalis</t>
  </si>
  <si>
    <t>Estimated number of specimens (individual specimens): 1´900. Formation period: 1880-1890. Geologic period: Present. Estimated number of species: 1´700. Number of types: 71 (Holo- and Lectotypes: 2,  Syntypes: 50). SCSPS: 9 [Gregor Kozlowski, updated 2018-08-24]</t>
  </si>
  <si>
    <t>2024-03-06T06:28:34.644Z</t>
  </si>
  <si>
    <t>2024-09-04T06:09:49.362Z</t>
  </si>
  <si>
    <t>Henri-François Bon</t>
  </si>
  <si>
    <t>Formation period: 1880-1890</t>
  </si>
  <si>
    <t>6518660d-c298-4ad3-b309-c94b07c7bd37</t>
  </si>
  <si>
    <t>MHNF-HBRAUN</t>
  </si>
  <si>
    <t>Flora raetica Braun-Blanquet</t>
  </si>
  <si>
    <t>Estimated number of specimens (individual specimens): 550. Formation period: 1950-1960. Geologic period: Present. Estimated number of species: 500. Number of types: unknown. SCSPS: 5 [Gregor Kozlowski, updated 2018-08-24]</t>
  </si>
  <si>
    <t>2024-03-06T06:28:32.274Z</t>
  </si>
  <si>
    <t>2024-09-04T06:09:47.872Z</t>
  </si>
  <si>
    <t>Josias Braun Blanquet</t>
  </si>
  <si>
    <t>Formation period: 1950-1960</t>
  </si>
  <si>
    <t>3e1754bc-c21b-4a0c-b7e2-eaef0234d830</t>
  </si>
  <si>
    <t>MHNF-HCAST</t>
  </si>
  <si>
    <t>Herbarium helveticum Castella</t>
  </si>
  <si>
    <t>Estimated number of specimens (individual specimens): 3´579. Formation period: 1880-1930. Geologic period: Present. Estimated number of species: 3´000. Number of types: 0. SCSPS: 7 [Gregor Kozlowski, updated 2018-08-24]</t>
  </si>
  <si>
    <t>2024-03-06T06:28:29.926Z</t>
  </si>
  <si>
    <t>2024-09-04T06:09:46.376Z</t>
  </si>
  <si>
    <t>Castella</t>
  </si>
  <si>
    <t>Formation period: 1880-1930</t>
  </si>
  <si>
    <t>2cd325eb-0235-4e9a-b951-a12abc762115</t>
  </si>
  <si>
    <t>MHNF-HCHEN</t>
  </si>
  <si>
    <t>Herbarium Chenaux Europe</t>
  </si>
  <si>
    <t>Estimated number of specimens (individual specimens): 2´581. Formation period: 1848-1863. Geologic period: Present. Estimated number of species: 2´000. Number of types: 0. SCSPS: 7 [Gregor Kozlowski, updated 2018-08-24]</t>
  </si>
  <si>
    <t>2024-03-06T06:28:27.572Z</t>
  </si>
  <si>
    <t>2024-09-04T06:09:44.908Z</t>
  </si>
  <si>
    <t>Jean-Joseph Chenaux</t>
  </si>
  <si>
    <t>Formation period: 1848-1863</t>
  </si>
  <si>
    <t>500b9d69-64ac-420a-9008-9a74ad3e4287</t>
  </si>
  <si>
    <t>MHNF-HCOTTET</t>
  </si>
  <si>
    <t>Herbarium M. Cottet</t>
  </si>
  <si>
    <t>Estimated number of specimens (individual specimens): 5´000. Formation period: 1825-1896. Geologic period: Present. Estimated number of species: 3´800. Number of types: unknown. SCSPS: 5 [Gregor Kozlowski, updated 2018-08-24]</t>
  </si>
  <si>
    <t>2024-03-06T06:28:25.183Z</t>
  </si>
  <si>
    <t>2024-09-04T06:09:43.468Z</t>
  </si>
  <si>
    <t>Michel Cottet</t>
  </si>
  <si>
    <t>Formation period: 1825-1896</t>
  </si>
  <si>
    <t>1aeb72e7-2016-4c77-9d8b-11e9e5ea8e10</t>
  </si>
  <si>
    <t>MHNF-HDEMA</t>
  </si>
  <si>
    <t>Antiqu. Herbar Dématra and Bourquenoud</t>
  </si>
  <si>
    <t>Estimated number of specimens (individual specimens): 650. Formation period: 1785-1837. Geologic period: Present. Estimated number of species: 500. Number of types: 0. SCSPS: 1 [Gregor Kozlowski, updated 2018-08-24]</t>
  </si>
  <si>
    <t>2024-03-06T06:28:22.834Z</t>
  </si>
  <si>
    <t>2024-09-04T06:09:41.983Z</t>
  </si>
  <si>
    <t>François Bourquenoud</t>
  </si>
  <si>
    <t>Formation period: 1785-1837</t>
  </si>
  <si>
    <t>0803b770-b147-4fee-b239-0df6ba52fb35</t>
  </si>
  <si>
    <t>MHNF-HDESF</t>
  </si>
  <si>
    <t>Herabrium Michel Desfayes</t>
  </si>
  <si>
    <t>Estimated number of specimens (individual specimens): 125. Formation period: 1991-2013. Geologic period: Present. Estimated number of species: 125. Number of types: 0. SCSPS: 9 [Gregor Kozlowski, updated 2018-08-24]</t>
  </si>
  <si>
    <t>2024-03-06T06:28:20.418Z</t>
  </si>
  <si>
    <t>2024-09-04T06:09:40.475Z</t>
  </si>
  <si>
    <t>Michel Desfayes</t>
  </si>
  <si>
    <t>Formation period: 1991-2013</t>
  </si>
  <si>
    <t>519f3e41-ec1d-4836-82df-afa226398ec9</t>
  </si>
  <si>
    <t>MHNF-HDONZ</t>
  </si>
  <si>
    <t>herbarium Ch. Donzallaz</t>
  </si>
  <si>
    <t>Estimated number of specimens (individual specimens): 128. Formation period: 1907-1910. Geologic period: Present. Estimated number of species: 125. Number of types: 0. SCSPS: 7 [Gregor Kozlowski, updated 2018-08-24]</t>
  </si>
  <si>
    <t>2024-03-06T06:28:18.057Z</t>
  </si>
  <si>
    <t>2024-09-04T06:09:38.992Z</t>
  </si>
  <si>
    <t>Donzallaz Ch.</t>
  </si>
  <si>
    <t>Formation period: 1907-1910</t>
  </si>
  <si>
    <t>75773a4e-7042-47ec-9ae8-1cd04212c391</t>
  </si>
  <si>
    <t>MHNF-HFRI</t>
  </si>
  <si>
    <t>Ex Herbario Friburgensi</t>
  </si>
  <si>
    <t>Estimated number of specimens (individual specimens): 455. Formation period: 1825-1896. Geologic period: Present. Estimated number of species: 400. Number of types: 0. SCSPS: 7 [Gregor Kozlowski, updated 2018-08-24]</t>
  </si>
  <si>
    <t>2024-03-06T06:28:15.643Z</t>
  </si>
  <si>
    <t>2024-09-04T06:09:37.493Z</t>
  </si>
  <si>
    <t>36790dc0-516f-415a-a52a-25fcc1d54b5b</t>
  </si>
  <si>
    <t>MHNF-HFRIB</t>
  </si>
  <si>
    <t>Herbarium Friburgense</t>
  </si>
  <si>
    <t>Estimated number of specimens (individual specimens): 2´396. Formation period: 1858-1933. Geologic period: Present. Estimated number of species: 2´000. Number of types: 0. SCSPS: 7 [Gregor Kozlowski, updated 2018-08-24]</t>
  </si>
  <si>
    <t>2024-03-06T06:28:13.244Z</t>
  </si>
  <si>
    <t>2024-09-04T06:09:36.037Z</t>
  </si>
  <si>
    <t>Firmin Jaquet</t>
  </si>
  <si>
    <t>Formation period: 1858-1933</t>
  </si>
  <si>
    <t>8c936a3c-b268-4cc5-9201-c9e8ac1f2e7e</t>
  </si>
  <si>
    <t>MHNF-HINDIC</t>
  </si>
  <si>
    <t>Ex herbario indico, Royal Botanic Garden Sibpur near Calcutta</t>
  </si>
  <si>
    <t>Estimated number of specimens (individual specimens): 2´750. Formation period: 1850-1900. Geologic period: Present. Estimated number of species: 2´300. Number of types: unknown. SCSPS: 5 [Gregor Kozlowski, updated 2018-08-24]</t>
  </si>
  <si>
    <t>2024-03-06T06:28:10.858Z</t>
  </si>
  <si>
    <t>2024-09-04T06:09:34.575Z</t>
  </si>
  <si>
    <t>Prain</t>
  </si>
  <si>
    <t>Formation period: 1850-1900</t>
  </si>
  <si>
    <t>07ab5c12-75f6-4262-bcca-e038a6cb3b1f</t>
  </si>
  <si>
    <t>MHNF-HJAEB</t>
  </si>
  <si>
    <t>Herbarium Jos. Aebischer (Bryophytes)</t>
  </si>
  <si>
    <t>Estimated number of specimens (individual specimens): 5´000. Formation period: 1900-1930. Geologic period: Present. Estimated number of species: 4´500. Number of types: 0. SCSPS: 5 [Gregor Kozlowski, updated 2018-08-24]</t>
  </si>
  <si>
    <t>2024-03-06T06:28:08.505Z</t>
  </si>
  <si>
    <t>2024-09-04T06:09:32.931Z</t>
  </si>
  <si>
    <t>Formation period: 1900-1930</t>
  </si>
  <si>
    <t>b709ff3f-e05a-46bc-a04a-16c4a57a8154</t>
  </si>
  <si>
    <t>MHNF-HJAQUET</t>
  </si>
  <si>
    <t>Herbarium generale Jaquet</t>
  </si>
  <si>
    <t>Estimated number of specimens (individual specimens): 20´000. Formation period: 1858-1933. Geologic period: Present. Estimated number of species: 16´000. Number of types: 0. SCSPS: 5 [Gregor Kozlowski, updated 2018-08-24]</t>
  </si>
  <si>
    <t>[41] 26 305 89 00</t>
  </si>
  <si>
    <r>
      <rPr>
        <u/>
        <sz val="10"/>
        <color indexed="8"/>
        <rFont val="Helvetica Neue"/>
        <family val="2"/>
      </rPr>
      <t>http://www.fr.ch/mhn/</t>
    </r>
  </si>
  <si>
    <t>2024-03-06T06:28:06.171Z</t>
  </si>
  <si>
    <t>2024-09-04T06:09:31.442Z</t>
  </si>
  <si>
    <t>gbif:ih:irn:160109;2f268325-eafb-473f-a576-f59ea5dd0fc4</t>
  </si>
  <si>
    <r>
      <rPr>
        <sz val="10"/>
        <color indexed="8"/>
        <rFont val="Helvetica Neue"/>
        <family val="2"/>
      </rPr>
      <t xml:space="preserve">Gregor Kozlowski [41] 26 300 90 40 </t>
    </r>
    <r>
      <rPr>
        <u/>
        <sz val="10"/>
        <color indexed="8"/>
        <rFont val="Helvetica Neue"/>
        <family val="2"/>
      </rPr>
      <t>kozlowskig@fr.ch</t>
    </r>
  </si>
  <si>
    <t>Fribourg area</t>
  </si>
  <si>
    <t>Updated Jun 2011.The herbarium contains more than 30 collections organized and labeled during the years 1915-1930 by local botanist Firmin Jaquet. The herbarium contains many valuable specimens from the Fribourg area  flora and Switzerland in general.</t>
  </si>
  <si>
    <t>2f268325-eafb-473f-a576-f59ea5dd0fc4;NHMF</t>
  </si>
  <si>
    <t>4b39b5d3-99f7-4f05-bb6b-819720c7106f</t>
  </si>
  <si>
    <t>MHNF-HKELLER</t>
  </si>
  <si>
    <t>Herbarium Keller</t>
  </si>
  <si>
    <t>Estimated number of specimens (individual specimens): 450. Formation period: 2005-2007. Geologic period: Present. Estimated number of species: 400. Number of types: 0. SCSPS: 5 [Gregor Kozlowski, updated 2018-08-24]</t>
  </si>
  <si>
    <t>2024-03-06T06:28:03.808Z</t>
  </si>
  <si>
    <t>2024-09-04T06:09:29.926Z</t>
  </si>
  <si>
    <t>Roland Keller</t>
  </si>
  <si>
    <t>Formation period: 2005-2007</t>
  </si>
  <si>
    <t>bc3b6b6f-78dc-4f35-a994-ae9f4a7714b4</t>
  </si>
  <si>
    <t>MHNF-HLAGGER</t>
  </si>
  <si>
    <t>Herbarium Lagger</t>
  </si>
  <si>
    <t>Estimated number of specimens (individual specimens): 8´500. Formation period: 1830-1870. Geologic period: Present. Estimated number of species: 7´500. Number of types: unknown. SCSPS: 5 [Gregor Kozlowski, updated 2018-08-24]</t>
  </si>
  <si>
    <t>2024-03-06T06:28:01.454Z</t>
  </si>
  <si>
    <t>2024-09-04T06:09:28.426Z</t>
  </si>
  <si>
    <t>Joseph Lagger</t>
  </si>
  <si>
    <t>Formation period: 1830-1870</t>
  </si>
  <si>
    <t>23ceba46-e5b4-4062-b8f8-000ef9b26e4a</t>
  </si>
  <si>
    <t>MHNF-HLOR</t>
  </si>
  <si>
    <t>Herbarium Lorinser</t>
  </si>
  <si>
    <t>Estimated number of specimens (individual specimens): 19´000. Formation period: 1821-1893. Geologic period: Present. Estimated number of species: 15´000. Number of types: unknown. SCSPS: 5 [Gregor Kozlowski, updated 2018-08-24]</t>
  </si>
  <si>
    <t>2024-03-06T06:27:59.082Z</t>
  </si>
  <si>
    <t>2024-09-04T06:09:26.945Z</t>
  </si>
  <si>
    <t>Lorinse</t>
  </si>
  <si>
    <t>Formation period: 1821-1893</t>
  </si>
  <si>
    <t>5652a49b-9d15-4cf9-8658-969720cfe700</t>
  </si>
  <si>
    <t>MHNF-HMICHEL</t>
  </si>
  <si>
    <t>Herbarium Jean-Denis Michel</t>
  </si>
  <si>
    <t>Estimated number of specimens (individual specimens): 1´876. Formation period: 1825-1834. Geologic period: Present. Estimated number of species: 1´500. Number of types: 0. SCSPS: 7 [Gregor Kozlowski, updated 2018-08-24]</t>
  </si>
  <si>
    <t>2024-03-06T06:27:56.702Z</t>
  </si>
  <si>
    <t>2024-09-04T06:09:25.436Z</t>
  </si>
  <si>
    <t>Jean-Denis Michel</t>
  </si>
  <si>
    <t>Formation period: 1825-1834</t>
  </si>
  <si>
    <t>369df31b-18d4-4194-9f4c-61de2d1c5c59</t>
  </si>
  <si>
    <t>MHNF-HMRAZ</t>
  </si>
  <si>
    <t>Herbarium Patrick Mráz</t>
  </si>
  <si>
    <t>Estimated number of specimens (individual specimens): 1´000. Formation period: 2008-2009. Geologic period: Present. Estimated number of species: 800. Number of types: 0. SCSPS: 4 [Gregor Kozlowski, updated 2018-08-24]</t>
  </si>
  <si>
    <t>2024-03-06T06:27:54.336Z</t>
  </si>
  <si>
    <t>2024-09-04T06:09:23.927Z</t>
  </si>
  <si>
    <t>Asteraceae</t>
  </si>
  <si>
    <t>Patrick Mráz</t>
  </si>
  <si>
    <t>Formation period: 2008-2009</t>
  </si>
  <si>
    <t>d90f3cd6-a348-4305-aedc-0cb00cd25264</t>
  </si>
  <si>
    <t>MHNF-HPERR</t>
  </si>
  <si>
    <t>Herbarium S. Perrotet, India</t>
  </si>
  <si>
    <t>Estimated number of specimens (individual specimens): 672. Formation period: 1860-1865. Geologic period: Present. Estimated number of species: 600. Number of types: 0. SCSPS: 7 [Gregor Kozlowski, updated 2018-08-24]</t>
  </si>
  <si>
    <t>2024-03-06T06:27:51.972Z</t>
  </si>
  <si>
    <t>2024-09-04T06:09:22.446Z</t>
  </si>
  <si>
    <t>Samuel Perrotet</t>
  </si>
  <si>
    <t>Formation period: 1860-1865</t>
  </si>
  <si>
    <t>ce626b80-9dde-466c-acac-413c42f5fbd9</t>
  </si>
  <si>
    <t>MHNF-HREUN</t>
  </si>
  <si>
    <t>Herbarium reunited</t>
  </si>
  <si>
    <t>Estimated number of specimens (individual specimens): 10´000. Formation period: 1850-1930. Geologic period: Present. Estimated number of species: 8´000. Number of types: 0. SCSPS: 7 [Gregor Kozlowski, updated 2018-08-24]</t>
  </si>
  <si>
    <t>2024-03-06T06:27:49.593Z</t>
  </si>
  <si>
    <t>2024-09-04T06:09:20.978Z</t>
  </si>
  <si>
    <t>Formation period: 1850-1930</t>
  </si>
  <si>
    <t>0d670dc6-225b-426e-a269-eab11f7c357a</t>
  </si>
  <si>
    <t>MHNF-HSCHO</t>
  </si>
  <si>
    <t>Collection Antoine Schoenenberger</t>
  </si>
  <si>
    <t>Estimated number of specimens (individual specimens): 350. Formation period: 1940-1950. Geologic period: Present. Estimated number of species: 300. Number of types: 0. SCSPS: 5 [Gregor Kozlowski, updated 2018-08-24]</t>
  </si>
  <si>
    <t>2024-03-06T06:27:47.229Z</t>
  </si>
  <si>
    <t>2024-09-04T06:09:19.517Z</t>
  </si>
  <si>
    <t>Antoine Schoenenberger</t>
  </si>
  <si>
    <t>Formation period: 1940-1950</t>
  </si>
  <si>
    <t>91038f6e-1e66-463c-a733-bbb2c4311ae1</t>
  </si>
  <si>
    <t>MHNF-HSUDRE</t>
  </si>
  <si>
    <t>Batotheca europaea, H. Sudre</t>
  </si>
  <si>
    <t>Estimated number of specimens (individual specimens): 750. Formation period: 1862-1918. Geologic period: Present. Estimated number of species: 600. Number of types: 0. SCSPS: 5 [Gregor Kozlowski, updated 2018-08-24]</t>
  </si>
  <si>
    <t>2024-03-06T06:27:44.858Z</t>
  </si>
  <si>
    <t>2024-09-04T06:09:18.016Z</t>
  </si>
  <si>
    <t>Henri Sudre</t>
  </si>
  <si>
    <t>Formation period: 1862-1918</t>
  </si>
  <si>
    <t>a6a21c74-d6d1-465e-b843-8107d98b19f9</t>
  </si>
  <si>
    <t>MHNF-HUNIV</t>
  </si>
  <si>
    <t>Various collections University of Fribourg</t>
  </si>
  <si>
    <t>Estimated number of specimens (individual specimens): 6´500. Formation period: 1850-1920. Geologic period: Present. Estimated number of species: 5´500. Number of types: unknown. SCSPS: 1 [Gregor Kozlowski, updated 2018-08-24]</t>
  </si>
  <si>
    <t>2024-03-06T06:27:42.479Z</t>
  </si>
  <si>
    <t>2024-09-04T06:09:15.485Z</t>
  </si>
  <si>
    <t>Formation period: 1850-1920</t>
  </si>
  <si>
    <t>964733c9-25ac-4d14-af90-6c407bbfdbc0</t>
  </si>
  <si>
    <t>MHNF-HURSP</t>
  </si>
  <si>
    <t>Herbarium A. Ursprung</t>
  </si>
  <si>
    <t>Estimated number of specimens (individual specimens): 1´000. Formation period: 1900-1930. Geologic period: Present. Estimated number of species: 800. Number of types: 0. SCSPS: 5 [Gregor Kozlowski, updated 2018-08-24]</t>
  </si>
  <si>
    <t>2024-03-06T06:27:40.120Z</t>
  </si>
  <si>
    <t>2024-09-04T06:09:12.663Z</t>
  </si>
  <si>
    <t>Alfred Ursprung</t>
  </si>
  <si>
    <t>f0871ff8-017e-44f9-b970-e359d5b1ab6c</t>
  </si>
  <si>
    <t>MHNF-HWIRTG</t>
  </si>
  <si>
    <t>Wirtgen's Herbarium florae Rhenae</t>
  </si>
  <si>
    <t>Estimated number of specimens (individual specimens): 950. Formation period: 1806-1870. Geologic period: Present. Estimated number of species: 800. Number of types: 0. SCSPS: 5 [Gregor Kozlowski, updated 2018-08-24]</t>
  </si>
  <si>
    <t>2024-03-06T06:27:37.695Z</t>
  </si>
  <si>
    <t>2024-09-04T06:09:10.040Z</t>
  </si>
  <si>
    <t>Philipp Wilhelm Wirtgen</t>
  </si>
  <si>
    <t>Formation period: 1806-1870</t>
  </si>
  <si>
    <t>7f52238e-61de-4de9-8cf0-5b9aa9f17f8d</t>
  </si>
  <si>
    <t>MHNF-HYERLI</t>
  </si>
  <si>
    <t>Herbarium M. Yerly</t>
  </si>
  <si>
    <t>Estimated number of specimens (individual specimens): 849. Formation period: 1958-1972. Geologic period: Present. Estimated number of species: 800. Number of types: 0. SCSPS: 7 [Gregor Kozlowski, updated 2018-08-24]</t>
  </si>
  <si>
    <t>2024-03-06T06:27:35.318Z</t>
  </si>
  <si>
    <t>2024-09-04T06:09:07.960Z</t>
  </si>
  <si>
    <t>Michel Yerly</t>
  </si>
  <si>
    <t>Formation period: 1958-1972</t>
  </si>
  <si>
    <t>a38c48b9-a3ce-499c-9dde-7cd09e4b9cce</t>
  </si>
  <si>
    <t>MHNF-ANWIL</t>
  </si>
  <si>
    <t>Invertebrates from Anwil (CH)</t>
  </si>
  <si>
    <t>Estimated number of specimens (individual specimens): 378. Formation period: 2010-ongoing. Geologic period: Callovian. Estimated number of species: 100. Number of types: 0. SCSPS: 6 [Emanuel Gerber; Christian Püntener, updated 2021-10-07]</t>
  </si>
  <si>
    <r>
      <rPr>
        <u/>
        <sz val="10"/>
        <color indexed="8"/>
        <rFont val="Helvetica Neue"/>
        <family val="2"/>
      </rPr>
      <t>christian.puentener@fr.ch</t>
    </r>
  </si>
  <si>
    <t>2024-03-06T06:27:32.974Z</t>
  </si>
  <si>
    <t>2024-09-04T06:09:06.483Z</t>
  </si>
  <si>
    <t>Invertebrata: Annelida; Mollusca; Brachiopoda; Bryozoa; Echinodermata</t>
  </si>
  <si>
    <t>Imhof</t>
  </si>
  <si>
    <t>Formation period: 2010-ongoing. Geologic period: Callovian</t>
  </si>
  <si>
    <t>495fc4f1-47e1-4978-9f57-eb51f9c742bd</t>
  </si>
  <si>
    <t>MHNF-BERCHT</t>
  </si>
  <si>
    <t>Berchten collection</t>
  </si>
  <si>
    <t>Estimated number of specimens (individual specimens/ microfossil slide/ box): 18. Formation period: 1982-1982. Geologic period: Upper Bajocian. Estimated number of species: 12. Number of types: 2 (Holo- and Lectotypes: 1,  Syntypes: 0). SCSPS: 9 [Emanuel Gerber; Christian Püntener, updated 2021-10-07]</t>
  </si>
  <si>
    <t>2024-03-06T06:27:30.632Z</t>
  </si>
  <si>
    <t>2024-09-04T06:09:04.961Z</t>
  </si>
  <si>
    <t>Invertebrata: Cephalopoda; Bivalvia; Crinoidea; Asteroidea; Foraminifera; Ostracoda; Crustacea</t>
  </si>
  <si>
    <t>Berchten</t>
  </si>
  <si>
    <t>Formation period: 1982-1982. Geologic period: Upper Bajocian</t>
  </si>
  <si>
    <t>6684f8b5-9388-452b-9b30-892429350d7c</t>
  </si>
  <si>
    <t>MHNF-EIFEL</t>
  </si>
  <si>
    <t>Invertebrates from Eifel (DE)</t>
  </si>
  <si>
    <t>Estimated number of specimens (individual specimens/ box): 62. Formation period: not reported. Geologic period: Lower Devonian. Estimated number of species: 25. Number of types: 0. SCSPS: 5 [Emanuel Gerber; Christian Püntener, updated 2021-11-08]</t>
  </si>
  <si>
    <t>2024-03-06T06:27:28.263Z</t>
  </si>
  <si>
    <t>2024-09-04T06:09:03.218Z</t>
  </si>
  <si>
    <t>Peters</t>
  </si>
  <si>
    <t>Formation period: not reported. Geologic period: Lower Devonian</t>
  </si>
  <si>
    <t>81d38f0d-5779-4175-90ec-decd131a3c98</t>
  </si>
  <si>
    <t>MHNF-ENTOMO</t>
  </si>
  <si>
    <t>Entomological collections</t>
  </si>
  <si>
    <t>Estimated number of specimens (individual specimens): 100´000. Formation period: 1800-ongoing. Geologic period: Present. Estimated number of species: not reported. Number of types: 0. SCSPS: 4 [Sophie Giriens, updated 2021-11-22]</t>
  </si>
  <si>
    <r>
      <rPr>
        <u/>
        <sz val="10"/>
        <color indexed="8"/>
        <rFont val="Helvetica Neue"/>
        <family val="2"/>
      </rPr>
      <t>sophie.giriens@fr.ch</t>
    </r>
  </si>
  <si>
    <t>2024-03-06T06:27:25.925Z</t>
  </si>
  <si>
    <t>2024-09-04T06:09:01.755Z</t>
  </si>
  <si>
    <t>All entomological collections</t>
  </si>
  <si>
    <t>3ebda394-3b9d-4d79-8540-059f7980298a</t>
  </si>
  <si>
    <t>MHNF-INVE</t>
  </si>
  <si>
    <t>Invertebrates of the World (without molluscs, without insects)</t>
  </si>
  <si>
    <t>Estimated number of specimens (individual specimens/ jar): 400. Formation period: 1800-2021. Geologic period: Present. Estimated number of species: 300. Number of types: 0. SCSPS: 2 [Sophie Giriens, updated 2021-11-22]</t>
  </si>
  <si>
    <t>2024-03-06T06:27:23.558Z</t>
  </si>
  <si>
    <t>2024-09-04T06:09:00.213Z</t>
  </si>
  <si>
    <t>Animalia: Arachnida; Cnidaria; Echinodermata; Annelida; Porifera; Platyhelminthes</t>
  </si>
  <si>
    <t>Collection of other invertabrates</t>
  </si>
  <si>
    <t>Formation period: 1800-2021</t>
  </si>
  <si>
    <t>ddf2ae8d-cdcf-4e79-abc2-98daa3a8922e</t>
  </si>
  <si>
    <t>MHNF-MOLL</t>
  </si>
  <si>
    <t>Molluscs of the World</t>
  </si>
  <si>
    <t>Estimated number of specimens (individual specimens/ jar): 11´500. Formation period: 1702-2014. Geologic period: Present. Estimated number of species: 4´800. Number of types: 0. SCSPS: 9 [Sophie Giriens, updated 2021-11-22]</t>
  </si>
  <si>
    <t>2024-03-06T06:27:20.683Z</t>
  </si>
  <si>
    <t>2024-09-04T06:08:58.696Z</t>
  </si>
  <si>
    <t>Mollusca: Bivalvia; Gasteropoda; Cephalopoda; Scaphopoda; Polyplacophora</t>
  </si>
  <si>
    <t>Collection of marine bivalves and some freshwater bivalves, and also marine and terrestrial gastropods.</t>
  </si>
  <si>
    <t>Formation period: 1702-2014</t>
  </si>
  <si>
    <t>94c1e0b3-5e00-43b6-9cb4-26e6cb044bd5</t>
  </si>
  <si>
    <t>MHNF-AVES</t>
  </si>
  <si>
    <t>Estimated number of specimens (individual specimens): 7´800. Formation period: 1862-ongoing. Geologic period: Present. Estimated number of species: 1´125. Number of types: 0. SCSPS: 5; 6 [Sophie Giriens, updated 2021-11-22]</t>
  </si>
  <si>
    <t>Biological;PreservedOrganisms;AnimalDerived;AnimalBuiltStructures</t>
  </si>
  <si>
    <t>SampleDried;SampleSkeletonized</t>
  </si>
  <si>
    <t>2024-03-06T06:27:17.876Z</t>
  </si>
  <si>
    <t>2024-09-04T06:08:57.148Z</t>
  </si>
  <si>
    <t>Collection of Birds mainly Palearctic, but also from all over the world with fullmounts, skins, wings, skeletons, skulls, eggs, and nests.</t>
  </si>
  <si>
    <t>Formation period: 1862-ongoing</t>
  </si>
  <si>
    <t>f85a4de7-6e24-4136-a257-31ed9b40fced</t>
  </si>
  <si>
    <t>MHNF-ACTINO</t>
  </si>
  <si>
    <t>Ray-finned fish</t>
  </si>
  <si>
    <t>Estimated number of specimens (individual specimens/ jar): 500. Formation period: 1878-2015. Geologic period: Present. Estimated number of species: 250. Number of types: 0. SCSPS: 3 [Sophie Giriens, updated 2021-11-22]</t>
  </si>
  <si>
    <t>SampleDried;SampleFluidPreserved;SampleSkeletonized</t>
  </si>
  <si>
    <t>2024-03-06T06:27:14.114Z</t>
  </si>
  <si>
    <t>2024-09-04T06:08:55.608Z</t>
  </si>
  <si>
    <t>Actinopterygii</t>
  </si>
  <si>
    <t>Collection of modern fish all over the world. The half of the collection is preserved in liquid.</t>
  </si>
  <si>
    <t>Formation period: 1878-2015</t>
  </si>
  <si>
    <t>43b2e686-2ea6-4cd4-9e9e-4d991af63f4e</t>
  </si>
  <si>
    <t>MHNF-AMPH</t>
  </si>
  <si>
    <t>Estimated number of specimens (individual specimens/ jar): 200. Formation period: 1879-2015. Geologic period: Present. Estimated number of species: 100. Number of types: 0. SCSPS: 3 [Sophie Giriens, updated 2021-11-22]</t>
  </si>
  <si>
    <t>2024-03-06T06:27:10.905Z</t>
  </si>
  <si>
    <t>2024-09-04T06:08:54.128Z</t>
  </si>
  <si>
    <t>Collection of amphibians all over the world. The half of the collection is preserved in liquid.</t>
  </si>
  <si>
    <t>Formation period: 1879-2015</t>
  </si>
  <si>
    <t>05d1d047-ea9b-459b-a978-74c6e49f91d8</t>
  </si>
  <si>
    <t>MHNF-MAMM</t>
  </si>
  <si>
    <t>Estimated number of specimens (individual specimens): 3´000. Formation period: 1826-ongoing. Geologic period: Present. Estimated number of species: 600. Number of types: 0. SCSPS: 6 [Sophie Giriens, updated 2021-11-22]</t>
  </si>
  <si>
    <t>2024-03-06T06:27:07.538Z</t>
  </si>
  <si>
    <t>2024-09-04T06:08:52.634Z</t>
  </si>
  <si>
    <t>Collection of mammals from all over the world, stored mainly as fullmounts and skeletons.</t>
  </si>
  <si>
    <t>Formation period: 1826-ongoing</t>
  </si>
  <si>
    <t>f2e02124-2e65-4203-8da6-cefa161fed14</t>
  </si>
  <si>
    <t>MHNF-REPT</t>
  </si>
  <si>
    <t>Reptilians</t>
  </si>
  <si>
    <t>Estimated number of specimens (individual specimens/ jar): 700. Formation period: 1877-2016. Geologic period: Present. Estimated number of species: 350. Number of types: 0. SCSPS: 3 [Sophie Giriens, updated 2021-11-22]</t>
  </si>
  <si>
    <t>2024-03-06T06:27:04.282Z</t>
  </si>
  <si>
    <t>2024-09-04T06:08:51.144Z</t>
  </si>
  <si>
    <t>Collection of reptiles all over the world.  The half of the collection is preserved in liquid.</t>
  </si>
  <si>
    <t>Formation period: 1877-2016</t>
  </si>
  <si>
    <t>e9556919-be62-4963-9bf9-8467397ec965</t>
  </si>
  <si>
    <t>MHNF-AGNATHA</t>
  </si>
  <si>
    <t>Agnatha (Silurian and Devonian)</t>
  </si>
  <si>
    <t>Estimated number of specimens (individual specimens): 119. Formation period: 1998-2019. Geologic period: Silurian-Devonian. Estimated number of species: 22. Number of types: 0. SCSPS: 6 [Emanuel Gerber; Christian Püntener, updated 2021-10-07]</t>
  </si>
  <si>
    <t>2024-03-06T06:27:00.970Z</t>
  </si>
  <si>
    <t>2024-09-04T06:08:49.660Z</t>
  </si>
  <si>
    <t>Agnatha: Anaspida; Heterostraci; Osteostraci; Thelodontida</t>
  </si>
  <si>
    <t>Formation period: 1998-2019. Geologic period: Silurian-Devonian</t>
  </si>
  <si>
    <t>8de5c5e2-d2f2-407e-a0c3-32da6c460c4b</t>
  </si>
  <si>
    <t>MHNF-GLARUS</t>
  </si>
  <si>
    <t>Fossil fishes from Glarus (CH)</t>
  </si>
  <si>
    <t>Estimated number of specimens (individual specimens): 12. Formation period: 1986-1990. Geologic period: Rupelian. Estimated number of species: 8. Number of types: 0. SCSPS: 6 [Emanuel Gerber; Christian Püntener, updated 2021-10-07]</t>
  </si>
  <si>
    <t>2024-03-06T06:26:58.575Z</t>
  </si>
  <si>
    <t>2024-09-04T06:08:48.173Z</t>
  </si>
  <si>
    <t>Teleostei: Euteleostei; Carangidae; Gadidae; Trichiuridae; Clupeidae; Palaeorhynchidae</t>
  </si>
  <si>
    <t>fossil fishes on slabs</t>
  </si>
  <si>
    <t>Formation period: 1986-1990. Geologic period: Rupelian</t>
  </si>
  <si>
    <t>807187f2-59a8-4e31-8203-5c95ece22c0d</t>
  </si>
  <si>
    <t>MHNF-GNATHOST</t>
  </si>
  <si>
    <t>Gnathostomata (Devonian)</t>
  </si>
  <si>
    <t>Estimated number of specimens (individual specimens): 170. Formation period: 1995-2020. Geologic period: Devonian. Estimated number of species: 37. Number of types: 0. SCSPS: 6 [Emanuel Gerber; Christian Püntener, updated 2021-10-07]</t>
  </si>
  <si>
    <t>2024-03-06T06:26:56.214Z</t>
  </si>
  <si>
    <t>2024-09-04T06:08:46.742Z</t>
  </si>
  <si>
    <t>Gnathostomata: Acanthodii; Actinopterygii; Chondrichthyes; Placodermi; Sarcopterygii</t>
  </si>
  <si>
    <t>Formation period: 1995-2020. Geologic period: Devonian</t>
  </si>
  <si>
    <t>d9e3e060-46f5-481b-a790-a71252049bb0</t>
  </si>
  <si>
    <t>MHNF-WALLENR</t>
  </si>
  <si>
    <t>Fossils from Wallenried (CH)</t>
  </si>
  <si>
    <t>Estimated number of specimens (individual specimens/ microfossil slide/ box): 116. Formation period: 1996-2001. Geologic period: Aquitanian. Estimated number of species: 26. Number of types: 3 (Holo- and Lectotypes: 1,  Syntypes: 0). SCSPS: 9 [Emanuel Gerber; Christian Püntener, updated 2021-10-11]</t>
  </si>
  <si>
    <t>2024-03-06T06:26:53.837Z</t>
  </si>
  <si>
    <t>2024-09-04T06:08:45.245Z</t>
  </si>
  <si>
    <t>Formation period: 1996-2001. Geologic period: Aquitanian</t>
  </si>
  <si>
    <t>2b9e7aab-a30f-4ad2-b66c-68f3fb3613b3</t>
  </si>
  <si>
    <t>MHNF-GREIT</t>
  </si>
  <si>
    <t>Fossil plants from Greit (CH)</t>
  </si>
  <si>
    <t>Estimated number of specimens (individual specimens): 94. Formation period: 2013-2020. Geologic period: Oligocene. Estimated number of species: 10. Number of types: 0. SCSPS: 6 [Emanuel Gerber; Christian Püntener, updated 2021-10-12]</t>
  </si>
  <si>
    <t>2024-03-06T06:26:51.444Z</t>
  </si>
  <si>
    <t>2024-09-04T06:08:43.773Z</t>
  </si>
  <si>
    <t>Spermatophyta: Gymnospermopsida; Angiospermae; Filicophyta</t>
  </si>
  <si>
    <t>leafs; fruits; seeds; shoots; cones</t>
  </si>
  <si>
    <t>E. Lüdi</t>
  </si>
  <si>
    <t>Formation period: 2013-2020. Geologic period: Oligocene</t>
  </si>
  <si>
    <t>50cebc36-2787-4a6c-8d05-98fd386ba396</t>
  </si>
  <si>
    <t>MHNF-KNOBMEG</t>
  </si>
  <si>
    <t>Knobloch collection (megaspores)</t>
  </si>
  <si>
    <t>Estimated number of specimens (microfossil slide): 1´097. Formation period: 1960-2004. Geologic period: Cenomanian-Maastrichtian. Estimated number of species: 50. Number of types: 0. SCSPS: 5 [Emanuel Gerber; Christian Püntener, updated 2021-10-11]</t>
  </si>
  <si>
    <t>2024-03-06T06:26:49.076Z</t>
  </si>
  <si>
    <t>2024-09-04T06:08:42.273Z</t>
  </si>
  <si>
    <t>Plantae: Trileites; Cabochonicus; Echitriletes; Verrutriletes; Kerhartisporites; Tenellisporites; Paxillitriletes; Horstisporites</t>
  </si>
  <si>
    <t>Formation period: 1960-2004. Geologic period: Cenomanian-Maastrichtian</t>
  </si>
  <si>
    <t>15d8b73a-66b8-4564-852c-c854df54a690</t>
  </si>
  <si>
    <t>MHNF-SAUGY</t>
  </si>
  <si>
    <t>de Saugy collection (Vietnam)</t>
  </si>
  <si>
    <t>Estimated number of specimens (individual specimens): 21. Formation period: 1911-1911. Geologic period: Carboniferous. Estimated number of species: not reported. Number of types: 0. SCSPS: 5 [Emanuel Gerber; Christian Püntener, updated 2021-10-12]</t>
  </si>
  <si>
    <t>2024-03-06T06:26:46.515Z</t>
  </si>
  <si>
    <t>2024-09-04T06:08:40.798Z</t>
  </si>
  <si>
    <t>Tracheophyta: Filicophyta; Sphenophyta; Spermatophyta</t>
  </si>
  <si>
    <t>L. de Saugy</t>
  </si>
  <si>
    <t>Formation period: 1911-1911. Geologic period: Carboniferous</t>
  </si>
  <si>
    <t>f539dc3e-61e8-4fdb-aed4-98222fd91150</t>
  </si>
  <si>
    <t>MHNF-FORAM</t>
  </si>
  <si>
    <t>Foraminifera</t>
  </si>
  <si>
    <t>Estimated number of specimens (microfossil slide/ box): 28. Formation period: 2015-ongoing. Geologic period: Oligocene-Holocene. Estimated number of species: 8. Number of types: 28 (Holo- and Lectotypes: 7,  Syntypes: 0). SCSPS: 9 [Emanuel Gerber; Christian Püntener, updated 2021-10-12]</t>
  </si>
  <si>
    <t>2024-03-06T06:26:44.129Z</t>
  </si>
  <si>
    <t>2024-09-04T06:08:36.370Z</t>
  </si>
  <si>
    <t>Foraminifera: Schackoinella; Trilobatus; Globigerinella; Globorotaloides; Globoturborotalita</t>
  </si>
  <si>
    <t>Silvia Spezzaferri</t>
  </si>
  <si>
    <t>Formation period: 2015-ongoing. Geologic period: Oligocene-Holocene</t>
  </si>
  <si>
    <t>e8bd87bf-d34d-4c2d-85b1-365bfdb8e32d</t>
  </si>
  <si>
    <t>MHNF-KNOBCHAR</t>
  </si>
  <si>
    <t>Knobloch collection (charophytes)</t>
  </si>
  <si>
    <t>Estimated number of specimens (microfossil slide): 774. Formation period: 1970-2004. Geologic period: Oligocene-Holocene. Estimated number of species: 30. Number of types: 0. SCSPS: 5 [Emanuel Gerber; Christian Püntener, updated 2021-10-11]</t>
  </si>
  <si>
    <t>2024-03-06T06:26:41.769Z</t>
  </si>
  <si>
    <t>2024-09-04T06:08:34.851Z</t>
  </si>
  <si>
    <t>Charophyta: Chara; Sphaerochara; Tectochara; Nitellopsis; Tolypella; Kosmogyra; Acicularia; Cymopolia</t>
  </si>
  <si>
    <t>Formation period: 1970-2004. Geologic period: Oligocene-Holocene</t>
  </si>
  <si>
    <t>0dd4056c-08a5-41b8-b3e3-8a432d881283</t>
  </si>
  <si>
    <t>MHNF-BUNDENB</t>
  </si>
  <si>
    <t>Fossils from Bundenbach (DE)</t>
  </si>
  <si>
    <t>Estimated number of specimens (individual specimens): 64. Formation period: 2000-2020. Geologic period: Lower Devonian. Estimated number of species: 40. Number of types: 0. SCSPS: 6 [Emanuel Gerber; Christian Püntener, updated 2021-10-11]</t>
  </si>
  <si>
    <t>2024-03-06T06:26:38.931Z</t>
  </si>
  <si>
    <t>2024-09-04T06:08:39.335Z</t>
  </si>
  <si>
    <t>Formation period: 2000-2020. Geologic period: Lower Devonian</t>
  </si>
  <si>
    <t>fefe1750-0f95-476a-88fc-cdf01b5b3dd3</t>
  </si>
  <si>
    <t>MHNF-PREALP</t>
  </si>
  <si>
    <t>Préalpes médianes collection</t>
  </si>
  <si>
    <t>Estimated number of specimens (individual specimens/ box): 377. Formation period: 1894-1947. Geologic period: Late Triassic-Early Cretaceous. Estimated number of species: 110. Number of types: 0. SCSPS: 5 [Emanuel Gerber; Christian Püntener, updated 2021-11-15]</t>
  </si>
  <si>
    <t>2024-03-06T06:26:36.573Z</t>
  </si>
  <si>
    <t>2024-09-04T06:08:37.829Z</t>
  </si>
  <si>
    <t>Animalia: Cnidaria; Mollusca; Bryozoa; Echinodermata; Pisces</t>
  </si>
  <si>
    <r>
      <rPr>
        <sz val="10"/>
        <color indexed="8"/>
        <rFont val="Helvetica Neue"/>
        <family val="2"/>
      </rPr>
      <t xml:space="preserve">V. Schuwey;P. Albert;Otmar Büchi;Hans Schardt (1858/1930) </t>
    </r>
    <r>
      <rPr>
        <u/>
        <sz val="10"/>
        <color indexed="8"/>
        <rFont val="Helvetica Neue"/>
        <family val="2"/>
      </rPr>
      <t>https://viaf.org/viaf/42606656;M</t>
    </r>
    <r>
      <rPr>
        <sz val="10"/>
        <color indexed="8"/>
        <rFont val="Helvetica Neue"/>
        <family val="2"/>
      </rPr>
      <t>. Renz</t>
    </r>
  </si>
  <si>
    <t>Formation period: 1894-1947. Geologic period: Late Triassic-Early Cretaceous</t>
  </si>
  <si>
    <t>2e5f3946-01dc-4f9a-920d-b68028596d1c</t>
  </si>
  <si>
    <t>MHNF-JOLLER</t>
  </si>
  <si>
    <t>Joller collection</t>
  </si>
  <si>
    <t>Estimated number of specimens (individual specimens/ box): 99. Formation period: not reported. Geologic period: Anisian-Lutetian. Estimated number of species: 40. Number of types: unknown. SCSPS: 5 [Emanuel Gerber; Christian Püntener, updated 2021-10-26]</t>
  </si>
  <si>
    <t>2024-03-06T06:26:34.194Z</t>
  </si>
  <si>
    <t>2024-09-04T06:08:33.380Z</t>
  </si>
  <si>
    <t>mainly invertebrates, one vertebrate, 15 rocks</t>
  </si>
  <si>
    <t>J. Joller</t>
  </si>
  <si>
    <t>Formation period: not reported. Geologic period: Anisian-Lutetian</t>
  </si>
  <si>
    <t>a4bbe154-40f0-45d0-bed0-e31357d10da2</t>
  </si>
  <si>
    <t>MHNF-THESES</t>
  </si>
  <si>
    <t>Collection of 30 doctoral theses</t>
  </si>
  <si>
    <t>Estimated number of specimens (individual specimens/ box): 7´362. Formation period: 1943-1974. Geologic period: Phanerozoic. Estimated number of species: 1´000. Number of types: 0. SCSPS: 5 [Emanuel Gerber; Christian Püntener, updated 2021-11-08]</t>
  </si>
  <si>
    <t>2024-03-06T06:26:31.817Z</t>
  </si>
  <si>
    <t>2024-09-04T06:08:31.866Z</t>
  </si>
  <si>
    <t>about 4892 invertebrates, 2198 rocks, 162 vertebrates, 134 trace fossils and 67 plantes</t>
  </si>
  <si>
    <t>Formation period: 1943-1974. Geologic period: Phanerozoic</t>
  </si>
  <si>
    <t>1a8977e8-4f7e-456c-ac58-fa5f36ecd7ce</t>
  </si>
  <si>
    <t>MHNF-STUDER</t>
  </si>
  <si>
    <t>Studer collection</t>
  </si>
  <si>
    <t>Estimated number of specimens (individual specimens): 108. Formation period: 1835-1912. Geologic period: not reported. Estimated number of species: 30. Number of types: unknown. SCSPS: 5 [Christian Püntener, updated 2021-10-25]</t>
  </si>
  <si>
    <t>2024-03-06T06:26:29.459Z</t>
  </si>
  <si>
    <t>2024-09-04T06:08:30.347Z</t>
  </si>
  <si>
    <t>Bernhard Rudolf Studer</t>
  </si>
  <si>
    <t>Formation period: 1835-1912. Geologic period: not reported</t>
  </si>
  <si>
    <t>2c348af7-2f35-40bc-bd72-9ab6f1c83481</t>
  </si>
  <si>
    <t>MHNF-TUNNEL</t>
  </si>
  <si>
    <t>Tunnel samples</t>
  </si>
  <si>
    <t>Estimated number of specimens (individual specimens): 1´107. Formation period: 1872-1923. Geologic period: not reported. Estimated number of species: n/a. Number of types: n/a. SCSPS: 5 [Christian Püntener, updated 2021-11-15]</t>
  </si>
  <si>
    <t>2024-03-06T06:26:27.061Z</t>
  </si>
  <si>
    <t>2024-09-04T06:08:28.807Z</t>
  </si>
  <si>
    <t>Formation period: 1872-1923. Geologic period: not reported</t>
  </si>
  <si>
    <t>12cc4262-34da-470e-b5a6-63a927ee57ed</t>
  </si>
  <si>
    <t>MHNF-FONTAINE</t>
  </si>
  <si>
    <t>Fontaine collection</t>
  </si>
  <si>
    <t>Estimated number of specimens (individual specimens): 624. Formation period: not reported. Geologic period: not reported. Estimated number of species: 70. Number of types: unknown. SCSPS: 6 [Christian Püntener, updated 2021-10-26]</t>
  </si>
  <si>
    <t>2024-03-06T06:26:24.706Z</t>
  </si>
  <si>
    <t>2024-09-04T06:08:19.834Z</t>
  </si>
  <si>
    <t>mainly minerals, but also some rocks</t>
  </si>
  <si>
    <t>Charley-Aloyse Fontaine</t>
  </si>
  <si>
    <t>b9f29e9f-394c-4632-ac06-54a09758a60a</t>
  </si>
  <si>
    <t>MHNF-LORINS</t>
  </si>
  <si>
    <t>Lorinser collection</t>
  </si>
  <si>
    <t>Estimated number of specimens (individual specimens): 1´628. Formation period: 1799-1929. Geologic period: not reported. Estimated number of species: 100. Number of types: unknown. SCSPS: 5 [Christian Püntener, updated 2021-10-25]</t>
  </si>
  <si>
    <t>2024-03-06T06:26:22.319Z</t>
  </si>
  <si>
    <t>2024-09-04T06:08:18.345Z</t>
  </si>
  <si>
    <t>mainly minerals and rocks, but also some fossils (including amber insects)</t>
  </si>
  <si>
    <t>Franz Lorinser</t>
  </si>
  <si>
    <t>Formation period: 1799-1929. Geologic period: not reported</t>
  </si>
  <si>
    <t>8e53b387-3c45-4072-9a4f-cb71507b986e</t>
  </si>
  <si>
    <t>MHNF-SCHARDT</t>
  </si>
  <si>
    <t>Schardt collection</t>
  </si>
  <si>
    <t>Estimated number of specimens (box/ individual specimens): 2´957. Formation period: 1878-1899. Geologic period: Bajocian-Miocene. Estimated number of species: 800. Number of types: 1 (Co-/Neo-/Anthropotypes: 1). SCSPS: 5 [Emanuel Gerber; Christian Püntener, updated 2021-10-26]</t>
  </si>
  <si>
    <t>2024-03-06T06:26:19.929Z</t>
  </si>
  <si>
    <t>2024-09-04T06:08:16.824Z</t>
  </si>
  <si>
    <r>
      <rPr>
        <sz val="10"/>
        <color indexed="8"/>
        <rFont val="Helvetica Neue"/>
        <family val="2"/>
      </rPr>
      <t xml:space="preserve">Hans Schardt (1858/1930) </t>
    </r>
    <r>
      <rPr>
        <u/>
        <sz val="10"/>
        <color indexed="8"/>
        <rFont val="Helvetica Neue"/>
        <family val="2"/>
      </rPr>
      <t>https://viaf.org/viaf/42606656</t>
    </r>
  </si>
  <si>
    <t>Formation period: 1878-1899. Geologic period: Bajocian-Miocene</t>
  </si>
  <si>
    <t>2ea00967-36f3-449a-b082-a8623ab4ff5c</t>
  </si>
  <si>
    <t>MHNF-BINN</t>
  </si>
  <si>
    <t>Binntal collection</t>
  </si>
  <si>
    <t>Estimated number of specimens (individual specimens): 1´421. Formation period: 1896-ongoing. Geologic period: Triassic. Estimated number of species: 130. Number of types: 4 (Co-/Neo-/Anthropotypes: 1). SCSPS: 6 [Christian Püntener, updated 2021-10-07]</t>
  </si>
  <si>
    <t>2024-03-06T06:26:17.566Z</t>
  </si>
  <si>
    <t>2024-09-04T06:08:27.321Z</t>
  </si>
  <si>
    <t>Heinrich Adolph Baumhauer</t>
  </si>
  <si>
    <t>Formation period: 1896-ongoing. Geologic period: Triassic</t>
  </si>
  <si>
    <t>c1167958-e017-419d-9098-64aca561e32f</t>
  </si>
  <si>
    <t>MHNF-CALCITE</t>
  </si>
  <si>
    <t>Calcite from the Bäderhorn (BE)</t>
  </si>
  <si>
    <t>Estimated number of specimens (individual specimens): 114. Formation period: not reported. Geologic period: not reported. Estimated number of species: 1. Number of types: 0. SCSPS: 6 [Christian Püntener, updated 2021-10-26]</t>
  </si>
  <si>
    <t>2024-03-06T06:26:15.248Z</t>
  </si>
  <si>
    <t>2024-09-04T06:08:25.861Z</t>
  </si>
  <si>
    <t>A. Pugin</t>
  </si>
  <si>
    <t>a8980e71-32d1-4791-ac23-627fcfacb1be</t>
  </si>
  <si>
    <t>MHNF-ENNEY</t>
  </si>
  <si>
    <t>Enney collection</t>
  </si>
  <si>
    <t>Estimated number of specimens (individual specimens): 216. Formation period: 1967-1987. Geologic period: not reported. Estimated number of species: 15. Number of types: 0. SCSPS: 6 [Christian Püntener, updated 2021-10-19]</t>
  </si>
  <si>
    <t>2024-03-06T06:26:12.888Z</t>
  </si>
  <si>
    <t>2024-09-04T06:08:24.357Z</t>
  </si>
  <si>
    <t>Formation period: 1967-1987. Geologic period: not reported</t>
  </si>
  <si>
    <t>001853e2-081b-4dee-ae92-e5c28b6224af</t>
  </si>
  <si>
    <t>MHNF-WAELCH</t>
  </si>
  <si>
    <t>Wälchli collection</t>
  </si>
  <si>
    <t>Estimated number of specimens (individual specimens): 404. Formation period: not reported. Geologic period: not reported. Estimated number of species: 50. Number of types: 0. SCSPS: 6 [Christian Püntener, updated 2021-10-19]</t>
  </si>
  <si>
    <t>2024-03-06T06:26:10.491Z</t>
  </si>
  <si>
    <t>2024-09-04T06:08:22.843Z</t>
  </si>
  <si>
    <t>Roland Manfred Wälchli</t>
  </si>
  <si>
    <t>199c0688-2abe-4caa-9d77-7aeeb7280adb</t>
  </si>
  <si>
    <t>MHNF-METEOR</t>
  </si>
  <si>
    <t>Estimated number of specimens (individual specimens): 107. Formation period: 1576-2014. Geologic period: not reported. Estimated number of species: not reported. Number of types: unknown. SCSPS: 6 [Christian Püntener, updated 2021-10-25]</t>
  </si>
  <si>
    <t>2024-03-06T06:26:08.108Z</t>
  </si>
  <si>
    <t>2024-09-04T06:08:21.306Z</t>
  </si>
  <si>
    <t>Formation period: 1576-2014. Geologic period: not reported</t>
  </si>
  <si>
    <t>330a4871-1839-421a-9140-8047b2a318d2</t>
  </si>
  <si>
    <t>KMDMZ-Mollusks</t>
  </si>
  <si>
    <t>Mollusks from all over the world</t>
  </si>
  <si>
    <t>Estimated number of specimens (individual specimens): 2´050. Formation period: 1968-2000. Geologic period: Present. Estimated number of species: 500. Number of types: 0. SCSPS: 2 [Thomas Bolliger, updated 2022-08-23]</t>
  </si>
  <si>
    <t>Biological;Exoskeletons</t>
  </si>
  <si>
    <r>
      <rPr>
        <u/>
        <sz val="10"/>
        <color indexed="8"/>
        <rFont val="Helvetica Neue"/>
        <family val="2"/>
      </rPr>
      <t>thomas.bolliger@kulturama.ch</t>
    </r>
  </si>
  <si>
    <r>
      <rPr>
        <u/>
        <sz val="10"/>
        <color indexed="8"/>
        <rFont val="Helvetica Neue"/>
        <family val="2"/>
      </rPr>
      <t>https://www.kulturama.ch/ueber-uns/#kulturama</t>
    </r>
  </si>
  <si>
    <t>2024-03-06T06:11:39.936Z</t>
  </si>
  <si>
    <t>2024-09-04T06:08:06.513Z</t>
  </si>
  <si>
    <t>Mollusca: Cephalopoda; Gastropoda; Bivalvia; Arthropoda; Echinodermata; Brachiopoda; Cnidaria</t>
  </si>
  <si>
    <t>Formation period: 1968-2000</t>
  </si>
  <si>
    <t>7338f414-abde-4020-892e-ee3bcccb3d12</t>
  </si>
  <si>
    <t>KMDMZ-Foss</t>
  </si>
  <si>
    <t>Fossils in general</t>
  </si>
  <si>
    <t>Estimated number of specimens (individual specimens/ matrix): 6´000. Formation period: 1968-ongoing. Geologic period: not reported. Estimated number of species: not reported. Number of types: 0. SCSPS: 2 [Thomas Bolliger, updated 2022-08-23]</t>
  </si>
  <si>
    <t>Paleontological;InvertebrateFossils;VertebrateFossils;PlantFossils</t>
  </si>
  <si>
    <t>2024-03-06T06:11:37.540Z</t>
  </si>
  <si>
    <t>2024-09-04T06:08:04.871Z</t>
  </si>
  <si>
    <t>Animalia; Plantae</t>
  </si>
  <si>
    <t>Formation period: 1968-ongoing. Geologic period: not reported</t>
  </si>
  <si>
    <t>fb3f1f96-e119-42bb-af05-cf1273614297</t>
  </si>
  <si>
    <t>JURASSICA-DINOTRACK</t>
  </si>
  <si>
    <t>Dinosaurs trackways</t>
  </si>
  <si>
    <t>Estimated number of specimens (individual specimens): 902. Formation period: 2002-2012. Geologic period: Kimmeridgian-unknown. Estimated number of species: 4. Number of types: 2 (Holo- and Lectotypes: 2,  Syntypes: 0). SCSPS: 8 [Olivier Maridet, updated 2022-04-04]</t>
  </si>
  <si>
    <t>Paleontological;TraceFossils</t>
  </si>
  <si>
    <t>2024-03-06T06:10:53.816Z</t>
  </si>
  <si>
    <t>2024-09-04T06:07:47.075Z</t>
  </si>
  <si>
    <t>Dinosauria: Vertebrata; Dinosauria</t>
  </si>
  <si>
    <t>Collection of Kimmeridgian Dinosaur foot track from Jura Mountains in Jura Canton, Switzerland</t>
  </si>
  <si>
    <t>SAP-A16</t>
  </si>
  <si>
    <t>Formation period: 2002-2012. Geologic period: Kimmeridgian-unknown</t>
  </si>
  <si>
    <t>722d1b11-3140-4db1-87dd-25bc5a8d0879</t>
  </si>
  <si>
    <t>BNM-BOTANY</t>
  </si>
  <si>
    <t>Herbarium cormophyta</t>
  </si>
  <si>
    <t>Estimated number of specimens (individual specimens): 5´000. Formation period: 1880-ongoing. Geologic period: Present. Estimated number of species: 5´000. Number of types: 0. SCSPS: 6 [Stephan Liersch, updated 2022-07-25]</t>
  </si>
  <si>
    <t>[41] 81 257 28 41</t>
  </si>
  <si>
    <t>2024-03-06T06:09:48.252Z</t>
  </si>
  <si>
    <t>2024-09-04T06:07:41.032Z</t>
  </si>
  <si>
    <t>gbif:ih:irn:124144;9708c4b0-ff00-4fee-927b-78a77ba5ec24</t>
  </si>
  <si>
    <t>Switzerland, especially canton of Graubünden.</t>
  </si>
  <si>
    <t>Updated Feb 2014 (new correspondent).</t>
  </si>
  <si>
    <t>Moritz Candrian;Eugen Heuss;Remo Maurizio</t>
  </si>
  <si>
    <t>CHUR</t>
  </si>
  <si>
    <t>d1e93adf-76e9-48e7-8aad-476f8f6b913c</t>
  </si>
  <si>
    <t>BERN-Fossil</t>
  </si>
  <si>
    <t>Fossil collection</t>
  </si>
  <si>
    <t>Estimated number of specimens (individual specimens): not reported. Formation period: not reported. Geologic period: Present. Estimated number of species: not reported. Number of types: 0. SCSPS: 5 [Katja Rembold, updated 2021-09-29]</t>
  </si>
  <si>
    <t>Bern</t>
  </si>
  <si>
    <r>
      <rPr>
        <u/>
        <sz val="10"/>
        <color indexed="8"/>
        <rFont val="Helvetica Neue"/>
        <family val="2"/>
      </rPr>
      <t>katja.rembold@boga.unibe.ch</t>
    </r>
  </si>
  <si>
    <t>Herbarium of the Botanical Garden of the University of Bern</t>
  </si>
  <si>
    <t>BERN</t>
  </si>
  <si>
    <t>f6abc948-1068-4d23-b165-701e8734c07e</t>
  </si>
  <si>
    <t>Botanischer Garten Bern, Institut für Pflanzenwissenschaften, Universität Bern Bern CH-3013 Switzerland</t>
  </si>
  <si>
    <t>2024-03-06T06:07:07.411Z</t>
  </si>
  <si>
    <t>2024-09-23T14:56:53.556Z</t>
  </si>
  <si>
    <r>
      <rPr>
        <sz val="10"/>
        <color indexed="8"/>
        <rFont val="Helvetica Neue"/>
        <family val="2"/>
      </rPr>
      <t xml:space="preserve">Katja Rembold </t>
    </r>
    <r>
      <rPr>
        <u/>
        <sz val="10"/>
        <color indexed="8"/>
        <rFont val="Helvetica Neue"/>
        <family val="2"/>
      </rPr>
      <t>katja.rembold@boga.unibe.ch</t>
    </r>
    <r>
      <rPr>
        <sz val="10"/>
        <color indexed="8"/>
        <rFont val="Helvetica Neue"/>
        <family val="2"/>
      </rPr>
      <t xml:space="preserve"> Curator;Herbarium of the Botanical Garden of the University of Bern DAGI - Technical Support creator metadataProvider contact</t>
    </r>
  </si>
  <si>
    <t>dda93418-dac8-454a-964c-4e9f89eb4604</t>
  </si>
  <si>
    <t>BERN-Bulk</t>
  </si>
  <si>
    <t>Bulk collection</t>
  </si>
  <si>
    <t>2024-03-06T06:07:05.048Z</t>
  </si>
  <si>
    <t>2024-09-23T14:56:50.527Z</t>
  </si>
  <si>
    <r>
      <rPr>
        <sz val="10"/>
        <color indexed="8"/>
        <rFont val="Helvetica Neue"/>
        <family val="2"/>
      </rPr>
      <t xml:space="preserve">Katja Rembold </t>
    </r>
    <r>
      <rPr>
        <u/>
        <sz val="10"/>
        <color indexed="8"/>
        <rFont val="Helvetica Neue"/>
        <family val="2"/>
      </rPr>
      <t>katja.rembold@boga.unibe.ch</t>
    </r>
    <r>
      <rPr>
        <sz val="10"/>
        <color indexed="8"/>
        <rFont val="Helvetica Neue"/>
        <family val="2"/>
      </rPr>
      <t xml:space="preserve"> Curator|creator|metadataProvider|contact</t>
    </r>
  </si>
  <si>
    <t>Tracheophyta; Fungi: Angiosperma; Gymnosperma; Fungi</t>
  </si>
  <si>
    <t>Broad regional collection; some worldwide</t>
  </si>
  <si>
    <t>b1227865-72ad-4ccd-92c7-0418dfcb31fa</t>
  </si>
  <si>
    <t>BERN-Demonstration</t>
  </si>
  <si>
    <t>Demonstration Herbarium</t>
  </si>
  <si>
    <t>Estimated number of specimens: 1. Formation period: not reported. Geologic period: Present. Estimated number of species: not reported. Number of types: 0. SCSPS: 5 [Katja Rembold, updated 2021-09-29]</t>
  </si>
  <si>
    <t>2024-03-06T06:07:02.673Z</t>
  </si>
  <si>
    <t>2024-09-23T14:56:47.507Z</t>
  </si>
  <si>
    <t>f24c40a4-8fd5-4158-be65-e93df6c4981c</t>
  </si>
  <si>
    <t>BERN-Herbarium</t>
  </si>
  <si>
    <t>Herbarium specimens</t>
  </si>
  <si>
    <t>Estimated number of specimens (individual specimens): 500´000. Formation period: not reported. Geologic period: Present. Estimated number of species: not reported. Number of types: unknown. SCSPS: 4 [Katja Rembold, updated 2021-09-29]</t>
  </si>
  <si>
    <t>[41] 31 684 49 38/82/73</t>
  </si>
  <si>
    <r>
      <rPr>
        <u/>
        <sz val="10"/>
        <color indexed="8"/>
        <rFont val="Helvetica Neue"/>
        <family val="2"/>
      </rPr>
      <t>https://www.boga.unibe.ch/wissenschaft/herbarium/</t>
    </r>
  </si>
  <si>
    <t>2024-03-06T06:07:00.222Z</t>
  </si>
  <si>
    <t>2024-09-23T14:56:44.418Z</t>
  </si>
  <si>
    <t>gbif:ih:irn:126603;10db1a84-b029-445e-b3b6-15344407f92d</t>
  </si>
  <si>
    <t>Tracheophyta; Bryophyta; Lichenes</t>
  </si>
  <si>
    <t>Switzerland, especially canton of Bern, Alps, and Mediterranean</t>
  </si>
  <si>
    <t>Wassermilbensammlung Carl Bader Referenzsammlung für Schweizer Nationalpark. Vogelparasiten von Willi Büttiker weltweit einzigartige Sammlung aus Saudi Arabien.</t>
  </si>
  <si>
    <t>Hans Peter Fuchs;Franz von Tavel;H. Gerber;R. Sutter;J. Keller;J.P. Brown</t>
  </si>
  <si>
    <t>2756948a-38b7-4f3b-a0ae-ee101465f90d</t>
  </si>
  <si>
    <t>BERN-Wet</t>
  </si>
  <si>
    <t>Estimated number of specimens (individual specimens): 1´500. Formation period: not reported. Geologic period: Present. Estimated number of species: not reported. Number of types: unknown. SCSPS: 5 [Katja Rembold, updated 2021-09-29]</t>
  </si>
  <si>
    <t>2024-03-06T06:06:57.838Z</t>
  </si>
  <si>
    <t>2024-09-23T14:56:41.284Z</t>
  </si>
  <si>
    <t>Collection of minerals mainly from the Swiss Alps</t>
  </si>
  <si>
    <t>5d378a99-a6c8-4e8b-8e17-ddc1fd3daeba</t>
  </si>
  <si>
    <t>MHNN-MOLLUSCA</t>
  </si>
  <si>
    <t>Mollusks</t>
  </si>
  <si>
    <t>Estimated number of specimens (batch specimen (same collect event same species)/ jar): 35´000. Formation period: 1796-ongoing. Geologic period: Present. Estimated number of species: 3´000. Number of types: 14 (Holo- and Lectotypes: 7,  Syntypes: 7). SCSPS: 3 (for type specimens SCSPS: 8) [Celia Bueno, updated 2022-04-14]</t>
  </si>
  <si>
    <t>Biological;PreservedOrganisms;AnimalBuiltStructures;Exoskeletons</t>
  </si>
  <si>
    <t>2024-01-12T12:33:55.083Z</t>
  </si>
  <si>
    <t>2024-09-04T06:10:28.603Z</t>
  </si>
  <si>
    <r>
      <rPr>
        <sz val="10"/>
        <color indexed="8"/>
        <rFont val="Helvetica Neue"/>
        <family val="2"/>
      </rPr>
      <t xml:space="preserve">Celia Bueno </t>
    </r>
    <r>
      <rPr>
        <u/>
        <sz val="10"/>
        <color indexed="8"/>
        <rFont val="Helvetica Neue"/>
        <family val="2"/>
      </rPr>
      <t>celia.bueno@unine.ch</t>
    </r>
  </si>
  <si>
    <t>Switzerland; South America; World</t>
  </si>
  <si>
    <r>
      <rPr>
        <sz val="10"/>
        <color indexed="8"/>
        <rFont val="Helvetica Neue"/>
        <family val="2"/>
      </rPr>
      <t xml:space="preserve">Hugh Cuming;Robert James Shuttleworth (1810/1874) </t>
    </r>
    <r>
      <rPr>
        <u/>
        <sz val="10"/>
        <color indexed="8"/>
        <rFont val="Helvetica Neue"/>
        <family val="2"/>
      </rPr>
      <t>https://viaf.org/viaf/15547084;Carl</t>
    </r>
    <r>
      <rPr>
        <sz val="10"/>
        <color indexed="8"/>
        <rFont val="Helvetica Neue"/>
        <family val="2"/>
      </rPr>
      <t xml:space="preserve"> Georg Ludwig Pfeiffer;William John Broderip;Jean-Jacques von Tschudi;J.-R. Albert Mousson;Pierre Marie Arthur Morelet;George Brettingham III Sowerby;Jean Piaget (1896/1980) </t>
    </r>
    <r>
      <rPr>
        <u/>
        <sz val="10"/>
        <color indexed="8"/>
        <rFont val="Helvetica Neue"/>
        <family val="2"/>
      </rPr>
      <t>https://viaf.org/viaf/39382513;Paul</t>
    </r>
    <r>
      <rPr>
        <sz val="10"/>
        <color indexed="8"/>
        <rFont val="Helvetica Neue"/>
        <family val="2"/>
      </rPr>
      <t xml:space="preserve"> Godet (1836/1911) </t>
    </r>
    <r>
      <rPr>
        <u/>
        <sz val="10"/>
        <color indexed="8"/>
        <rFont val="Helvetica Neue"/>
        <family val="2"/>
      </rPr>
      <t>https://hls-dhs-dss.ch/fr/articles/032017/2006-12-28;Louis</t>
    </r>
    <r>
      <rPr>
        <sz val="10"/>
        <color indexed="8"/>
        <rFont val="Helvetica Neue"/>
        <family val="2"/>
      </rPr>
      <t xml:space="preserve"> de Coulon (1804/1894) </t>
    </r>
    <r>
      <rPr>
        <u/>
        <sz val="10"/>
        <color indexed="8"/>
        <rFont val="Helvetica Neue"/>
        <family val="2"/>
      </rPr>
      <t>https://hls-dhs-dss.ch/fr/articles/029095/2005-08-16;Louis</t>
    </r>
    <r>
      <rPr>
        <sz val="10"/>
        <color indexed="8"/>
        <rFont val="Helvetica Neue"/>
        <family val="2"/>
      </rPr>
      <t xml:space="preserve"> Agassiz;Otto Fuhrmann (1871/1945) </t>
    </r>
    <r>
      <rPr>
        <u/>
        <sz val="10"/>
        <color indexed="8"/>
        <rFont val="Helvetica Neue"/>
        <family val="2"/>
      </rPr>
      <t>https://viaf.org/viaf/41123773;François</t>
    </r>
    <r>
      <rPr>
        <sz val="10"/>
        <color indexed="8"/>
        <rFont val="Helvetica Neue"/>
        <family val="2"/>
      </rPr>
      <t xml:space="preserve"> Claude;Jules Favre (1882/1959) </t>
    </r>
    <r>
      <rPr>
        <u/>
        <sz val="10"/>
        <color indexed="8"/>
        <rFont val="Helvetica Neue"/>
        <family val="2"/>
      </rPr>
      <t>https://viaf.org/viaf/57781016</t>
    </r>
  </si>
  <si>
    <t>fc77c2b6-3e06-4394-ab04-c864a72d1ed2</t>
  </si>
  <si>
    <t>MHNN-ARTHRO</t>
  </si>
  <si>
    <t>Entomology and other arthropods</t>
  </si>
  <si>
    <t>Estimated number of specimens (individual specimens): 521´600. Formation period: 1840-ongoing. Geologic period: Present. Estimated number of species: 4´854. Number of types: 746 (Holo- and Lectotypes: 60,  Syntypes: 686). SCSPS: 5 [Jessica Litman, updated 2022-04-14]</t>
  </si>
  <si>
    <t>PreservedOrganisms;Exoskeletons;Biological;AnimalBuiltStructures</t>
  </si>
  <si>
    <r>
      <rPr>
        <u/>
        <sz val="10"/>
        <color indexed="8"/>
        <rFont val="Helvetica Neue"/>
        <family val="2"/>
      </rPr>
      <t>jessica.litman@ne.ch</t>
    </r>
    <r>
      <rPr>
        <sz val="10"/>
        <color indexed="8"/>
        <rFont val="Helvetica Neue"/>
        <family val="2"/>
      </rPr>
      <t>;</t>
    </r>
    <r>
      <rPr>
        <u/>
        <sz val="10"/>
        <color indexed="8"/>
        <rFont val="Helvetica Neue"/>
        <family val="2"/>
      </rPr>
      <t>jessica.litman@unine.ch</t>
    </r>
  </si>
  <si>
    <t>2024-01-12T12:33:50.632Z</t>
  </si>
  <si>
    <t>2024-09-04T10:08:44.470Z</t>
  </si>
  <si>
    <t>4199300c-839e-48d6-ba55-4274f8bdba64</t>
  </si>
  <si>
    <r>
      <rPr>
        <sz val="10"/>
        <color indexed="8"/>
        <rFont val="Helvetica Neue"/>
        <family val="2"/>
      </rPr>
      <t xml:space="preserve">Jessica Litman </t>
    </r>
    <r>
      <rPr>
        <u/>
        <sz val="10"/>
        <color indexed="8"/>
        <rFont val="Helvetica Neue"/>
        <family val="2"/>
      </rPr>
      <t>jessica.litman@unine.ch</t>
    </r>
  </si>
  <si>
    <t>Arthropoda: Insecta, other arthropods</t>
  </si>
  <si>
    <r>
      <rPr>
        <sz val="10"/>
        <color indexed="8"/>
        <rFont val="Helvetica Neue"/>
        <family val="2"/>
      </rPr>
      <t xml:space="preserve">Auguste-Frédéric de Meuron (-Perregaux);Louis Agassiz;Charles Joseph Latrobe (La Trobe);Alfred-Jacques(-Henri) Berthoud-Coulon;Frédéric (Fritz) Favarger (-Bourgeois);Philippe de Rougemont;Jean-Jacques von Tschudi;Édouard Borel (-Sandoz devenu -Lagnier);André Schertenleib (1923/2009);Gustav Schneider;Louis de Coulon (1804/1894) </t>
    </r>
    <r>
      <rPr>
        <u/>
        <sz val="10"/>
        <color indexed="8"/>
        <rFont val="Helvetica Neue"/>
        <family val="2"/>
      </rPr>
      <t>https://hls-dhs-dss.ch/fr/articles/029095/2005-08-16</t>
    </r>
  </si>
  <si>
    <t>2baea6be-8a9f-46a8-b725-f712420ccd5f</t>
  </si>
  <si>
    <t>MHNN-CNIDARIA</t>
  </si>
  <si>
    <t>Corals</t>
  </si>
  <si>
    <t>Estimated number of specimens (individual specimens): 1´500. Formation period: 1796-ongoing. Geologic period: Present. Estimated number of species: 300. Number of types: unknown. SCSPS: 3 [Celia Bueno, updated 2022-04-14]</t>
  </si>
  <si>
    <t>2024-01-12T12:33:47.120Z</t>
  </si>
  <si>
    <t>2024-09-04T06:10:25.179Z</t>
  </si>
  <si>
    <t>Europe; South America; World</t>
  </si>
  <si>
    <t>Frédéric (Fritz) Favarger (-Bourgeois)</t>
  </si>
  <si>
    <t>c54c0d96-7c77-47f4-ba9e-9dd36a27cd21</t>
  </si>
  <si>
    <t>NMBE-AR</t>
  </si>
  <si>
    <t>Arachnology</t>
  </si>
  <si>
    <t>Estimated number of specimens (vial): 145´253. Formation period: 1930-ongoing. Geologic period: Present. Estimated number of species: 1´733. Number of types: 403 (Holo- and Lectotypes: 40,  Syntypes: 0). SCSPS: 9 [Christian Kropf, updated 2022-08-19]</t>
  </si>
  <si>
    <r>
      <rPr>
        <u/>
        <sz val="10"/>
        <color indexed="8"/>
        <rFont val="Helvetica Neue"/>
        <family val="2"/>
      </rPr>
      <t>christian.kropf@nmbe.ch</t>
    </r>
  </si>
  <si>
    <t>Naturhistorisches Museum der Burgergemeinde Bern</t>
  </si>
  <si>
    <t>NMBE</t>
  </si>
  <si>
    <t>08ccd767-4afc-4023-ab55-7a7c34295e93</t>
  </si>
  <si>
    <t>Naturhistorisches Museum Bern, Bernastrasse 15 Bern CH-3005 Switzerland</t>
  </si>
  <si>
    <t>2022-10-02T19:22:23.192Z</t>
  </si>
  <si>
    <t>2024-09-04T07:04:06.474Z</t>
  </si>
  <si>
    <r>
      <rPr>
        <sz val="10"/>
        <color indexed="8"/>
        <rFont val="Helvetica Neue"/>
        <family val="2"/>
      </rPr>
      <t xml:space="preserve">Christian Kropf +41 31 350 72 50 </t>
    </r>
    <r>
      <rPr>
        <u/>
        <sz val="10"/>
        <color indexed="8"/>
        <rFont val="Helvetica Neue"/>
        <family val="2"/>
      </rPr>
      <t>christian.kropf@nmbe.ch</t>
    </r>
    <r>
      <rPr>
        <sz val="10"/>
        <color indexed="8"/>
        <rFont val="Helvetica Neue"/>
        <family val="2"/>
      </rPr>
      <t xml:space="preserve"> Curator;Yvonne Kranz +41 31 350 72 50 </t>
    </r>
    <r>
      <rPr>
        <u/>
        <sz val="10"/>
        <color indexed="8"/>
        <rFont val="Helvetica Neue"/>
        <family val="2"/>
      </rPr>
      <t>yvonne.kranz@nmbe.ch</t>
    </r>
    <r>
      <rPr>
        <sz val="10"/>
        <color indexed="8"/>
        <rFont val="Helvetica Neue"/>
        <family val="2"/>
      </rPr>
      <t xml:space="preserve"> Research Assistant</t>
    </r>
  </si>
  <si>
    <t>Switzerland|Europe|Asia Temperate|World. Main countries of origin: CH</t>
  </si>
  <si>
    <t>98597e6f-4cd2-4ee9-9bfa-b9c9f7ac2756</t>
  </si>
  <si>
    <t>NMBE-ENT</t>
  </si>
  <si>
    <t>Estimated number of specimens (individual specimen): 2´380´000. Formation period: 1790-ongoing. Geologic period: Present. Estimated number of species: 100´000. Number of types: 2´000 (Holo- and Lectotypes: 1´000,  unreported number of Syntypes). SCSPS: 5 [Hannes Baur, updated 2022-04-21]</t>
  </si>
  <si>
    <r>
      <rPr>
        <u/>
        <sz val="10"/>
        <color indexed="8"/>
        <rFont val="Helvetica Neue"/>
        <family val="2"/>
      </rPr>
      <t>hannes.baur@nmbe.ch</t>
    </r>
  </si>
  <si>
    <t>2022-10-02T19:22:22.381Z</t>
  </si>
  <si>
    <t>2024-09-04T07:04:04.974Z</t>
  </si>
  <si>
    <r>
      <rPr>
        <sz val="10"/>
        <color indexed="8"/>
        <rFont val="Helvetica Neue"/>
        <family val="2"/>
      </rPr>
      <t xml:space="preserve">Hannes Baur +41 31 350 72 50 </t>
    </r>
    <r>
      <rPr>
        <u/>
        <sz val="10"/>
        <color indexed="8"/>
        <rFont val="Helvetica Neue"/>
        <family val="2"/>
      </rPr>
      <t>hannes.baur@nmbe.ch</t>
    </r>
    <r>
      <rPr>
        <sz val="10"/>
        <color indexed="8"/>
        <rFont val="Helvetica Neue"/>
        <family val="2"/>
      </rPr>
      <t xml:space="preserve"> Curator</t>
    </r>
  </si>
  <si>
    <t>Formation period: 1790-ongoing</t>
  </si>
  <si>
    <t>cc289637-28e7-4ccc-925c-c7e0ab009033</t>
  </si>
  <si>
    <t>NMBE-VERTEBRATES</t>
  </si>
  <si>
    <t>Estimated number of specimens (individual specimen/ jar/ vial): 95´800. Formation period: 1765-ongoing. Geologic period: Present. Estimated number of species: not reported. Number of types: 90 (Holo- and Lectotypes: 21,  Syntypes: 18). SCSPS: 8 [Anonymous, updated 2022-04-12]</t>
  </si>
  <si>
    <r>
      <rPr>
        <u/>
        <sz val="10"/>
        <color indexed="8"/>
        <rFont val="Helvetica Neue"/>
        <family val="2"/>
      </rPr>
      <t>stefan.hertwig@nmbe.ch</t>
    </r>
  </si>
  <si>
    <t>2022-10-02T19:22:20.959Z</t>
  </si>
  <si>
    <t>2024-09-04T07:04:03.509Z</t>
  </si>
  <si>
    <r>
      <rPr>
        <sz val="10"/>
        <color indexed="8"/>
        <rFont val="Helvetica Neue"/>
        <family val="2"/>
      </rPr>
      <t xml:space="preserve">Lukas Rüber +41 31 350 72 82 </t>
    </r>
    <r>
      <rPr>
        <u/>
        <sz val="10"/>
        <color indexed="8"/>
        <rFont val="Helvetica Neue"/>
        <family val="2"/>
      </rPr>
      <t>lukas.ruber@nmbe.ch</t>
    </r>
    <r>
      <rPr>
        <sz val="10"/>
        <color indexed="8"/>
        <rFont val="Helvetica Neue"/>
        <family val="2"/>
      </rPr>
      <t xml:space="preserve"> Curator;Manuel Schweizer +41 31 350 72 83 </t>
    </r>
    <r>
      <rPr>
        <u/>
        <sz val="10"/>
        <color indexed="8"/>
        <rFont val="Helvetica Neue"/>
        <family val="2"/>
      </rPr>
      <t>manuel.schweizer@nmbe.ch</t>
    </r>
    <r>
      <rPr>
        <sz val="10"/>
        <color indexed="8"/>
        <rFont val="Helvetica Neue"/>
        <family val="2"/>
      </rPr>
      <t xml:space="preserve"> Curator;Reto Hagmann +41 31 350 72 84 </t>
    </r>
    <r>
      <rPr>
        <u/>
        <sz val="10"/>
        <color indexed="8"/>
        <rFont val="Helvetica Neue"/>
        <family val="2"/>
      </rPr>
      <t>reto.hagmann@nmbe.ch</t>
    </r>
    <r>
      <rPr>
        <sz val="10"/>
        <color indexed="8"/>
        <rFont val="Helvetica Neue"/>
        <family val="2"/>
      </rPr>
      <t xml:space="preserve"> Collection Manager;Stefan Thomas Hertwig +41 31 350 72 80 </t>
    </r>
    <r>
      <rPr>
        <u/>
        <sz val="10"/>
        <color indexed="8"/>
        <rFont val="Helvetica Neue"/>
        <family val="2"/>
      </rPr>
      <t>stefan.hertwig@nmbe.ch</t>
    </r>
    <r>
      <rPr>
        <sz val="10"/>
        <color indexed="8"/>
        <rFont val="Helvetica Neue"/>
        <family val="2"/>
      </rPr>
      <t xml:space="preserve"> Curator</t>
    </r>
  </si>
  <si>
    <t>Formation period: 1765-ongoing</t>
  </si>
  <si>
    <t>3905ad4d-b7fe-41b2-80cb-19a7e6a01ddd</t>
  </si>
  <si>
    <t>NMBE-PAL</t>
  </si>
  <si>
    <t>Estimated number of specimens (individual specimen): 450´000. Formation period: 1800-ongoing. Geologic period: Archean-Pliocene. Estimated number of species: 120´000. Number of types: 816. SCSPS: 5 [Ursula Menkveld, updated 2022-04-06]</t>
  </si>
  <si>
    <r>
      <rPr>
        <u/>
        <sz val="10"/>
        <color indexed="8"/>
        <rFont val="Helvetica Neue"/>
        <family val="2"/>
      </rPr>
      <t>ursula.menkveld@nmbe.ch</t>
    </r>
  </si>
  <si>
    <t>2022-10-02T19:22:20.049Z</t>
  </si>
  <si>
    <t>2024-09-04T07:04:02.001Z</t>
  </si>
  <si>
    <r>
      <rPr>
        <sz val="10"/>
        <color indexed="8"/>
        <rFont val="Helvetica Neue"/>
        <family val="2"/>
      </rPr>
      <t xml:space="preserve">Ursula Menkveld-Gfeller +41 31 350 72 50 </t>
    </r>
    <r>
      <rPr>
        <u/>
        <sz val="10"/>
        <color indexed="8"/>
        <rFont val="Helvetica Neue"/>
        <family val="2"/>
      </rPr>
      <t>ursula.menkveld@nmbe.ch</t>
    </r>
    <r>
      <rPr>
        <sz val="10"/>
        <color indexed="8"/>
        <rFont val="Helvetica Neue"/>
        <family val="2"/>
      </rPr>
      <t xml:space="preserve"> Curator Palaeontology</t>
    </r>
  </si>
  <si>
    <t>Europe|Africa|North America|South America. Main countries of origin: CH</t>
  </si>
  <si>
    <t>bd0922b3-70ca-4c68-ae70-4056816e03a5</t>
  </si>
  <si>
    <t>NMBE-EARTHPLANETARY</t>
  </si>
  <si>
    <t>Mineralogy-Petrology-Meteorites</t>
  </si>
  <si>
    <t>Estimated number of specimens (individual specimen/ jar): 62´000. Formation period: 1791-ongoing. Geologic period: Archean-Holocene. Estimated number of species: n/a. Number of types: n/a. SCSPS: 8 [Beda Hofmann, updated 2022-04-12]</t>
  </si>
  <si>
    <r>
      <rPr>
        <u/>
        <sz val="10"/>
        <color indexed="8"/>
        <rFont val="Helvetica Neue"/>
        <family val="2"/>
      </rPr>
      <t>beda.hofmann@nmbe.ch</t>
    </r>
  </si>
  <si>
    <t>2022-10-02T19:22:18.720Z</t>
  </si>
  <si>
    <t>2024-09-04T07:04:00.524Z</t>
  </si>
  <si>
    <r>
      <rPr>
        <sz val="10"/>
        <color indexed="8"/>
        <rFont val="Helvetica Neue"/>
        <family val="2"/>
      </rPr>
      <t xml:space="preserve">Beda Hofmann +41 31 350 72 40 </t>
    </r>
    <r>
      <rPr>
        <u/>
        <sz val="10"/>
        <color indexed="8"/>
        <rFont val="Helvetica Neue"/>
        <family val="2"/>
      </rPr>
      <t>beda.hofmann@nmbe.ch</t>
    </r>
    <r>
      <rPr>
        <sz val="10"/>
        <color indexed="8"/>
        <rFont val="Helvetica Neue"/>
        <family val="2"/>
      </rPr>
      <t xml:space="preserve"> Head of Earth Sciences, Curator</t>
    </r>
  </si>
  <si>
    <t>Formation period: 1791-ongoing. Geologic period: Archean-Holocene</t>
  </si>
  <si>
    <t>81064f4b-bc66-46f4-beb5-631429fd130c</t>
  </si>
  <si>
    <t>NMWIN-BOTANY</t>
  </si>
  <si>
    <t>Botanical collection</t>
  </si>
  <si>
    <t>Estimated number of specimens (individual specimens): 80´000. Formation period: 1860-ongoing. Geologic period: Present. Estimated number of species: not reported. Number of types: unknown. SCSPS: 5 [Sabrina Schnurrenberger, updated 2021-10-15]</t>
  </si>
  <si>
    <t>Winterthur</t>
  </si>
  <si>
    <r>
      <rPr>
        <u/>
        <sz val="10"/>
        <color indexed="8"/>
        <rFont val="Helvetica Neue"/>
        <family val="2"/>
      </rPr>
      <t>sabrina.schnurrenberger@win.ch</t>
    </r>
  </si>
  <si>
    <t>Naturmuseum Winterthur</t>
  </si>
  <si>
    <t>NMWIN</t>
  </si>
  <si>
    <t>3ab4b761-c62f-4996-a6d8-ed1283fc161e</t>
  </si>
  <si>
    <t>Naturmuseum Winterthur, Museumstrasse 52 Winterthur CH-8400 Switzerland</t>
  </si>
  <si>
    <t>2022-08-04T13:04:17.857Z</t>
  </si>
  <si>
    <t>2024-09-04T07:04:43.415Z</t>
  </si>
  <si>
    <r>
      <rPr>
        <sz val="10"/>
        <color indexed="8"/>
        <rFont val="Helvetica Neue"/>
        <family val="2"/>
      </rPr>
      <t xml:space="preserve">Sabrina Schnurrenberger +41 52 267 51 80 </t>
    </r>
    <r>
      <rPr>
        <u/>
        <sz val="10"/>
        <color indexed="8"/>
        <rFont val="Helvetica Neue"/>
        <family val="2"/>
      </rPr>
      <t>sabrina.schnurrenberger@win.ch</t>
    </r>
    <r>
      <rPr>
        <sz val="10"/>
        <color indexed="8"/>
        <rFont val="Helvetica Neue"/>
        <family val="2"/>
      </rPr>
      <t xml:space="preserve"> Kuratorin Biologie</t>
    </r>
  </si>
  <si>
    <t>Fungi &amp; Plantae: Fungi; Algae; Ancerotophyta; Bryophyta; Tracheophyta</t>
  </si>
  <si>
    <t>Winterthur, Switzerland, World. Main countries of origin: CH|DE</t>
  </si>
  <si>
    <t>lokale, aber auch schweiz- und weltweite Sammlung von botanischen Objekten</t>
  </si>
  <si>
    <r>
      <rPr>
        <sz val="10"/>
        <color indexed="8"/>
        <rFont val="Helvetica Neue"/>
        <family val="2"/>
      </rPr>
      <t xml:space="preserve">Robert Keller;Gottlieb Geilinger (1881/1955) </t>
    </r>
    <r>
      <rPr>
        <u/>
        <sz val="10"/>
        <color indexed="8"/>
        <rFont val="Helvetica Neue"/>
        <family val="2"/>
      </rPr>
      <t>https://hls-dhs-dss.ch/fr/articles/025147/2006-11-23;Heinrich</t>
    </r>
    <r>
      <rPr>
        <sz val="10"/>
        <color indexed="8"/>
        <rFont val="Helvetica Neue"/>
        <family val="2"/>
      </rPr>
      <t xml:space="preserve"> Spörri;Hans Jakob Schaeppi</t>
    </r>
  </si>
  <si>
    <t>a53571ae-945f-417a-a98b-0b435dbbd7b2</t>
  </si>
  <si>
    <t>NMWIN-INVERTEBRATA</t>
  </si>
  <si>
    <t>Invertebrates, Invertebrata, Mollusca, Cnidaria</t>
  </si>
  <si>
    <t>Estimated number of specimens (individual specimens): 5´000. Formation period: 1875-1970. Geologic period: Present. Estimated number of species: not reported. Number of types: unknown. SCSPS: 2 [Sabrina Schnurrenberger, updated 2018-06-22]</t>
  </si>
  <si>
    <t>2022-08-04T13:04:15.873Z</t>
  </si>
  <si>
    <t>2024-09-04T07:04:40.448Z</t>
  </si>
  <si>
    <t>Mollusca, Cnidaria</t>
  </si>
  <si>
    <t>Total besitzt das Naturmuseum Winterthur ca. 5150 Objekte ""Wirbellose ohne Insekten""</t>
  </si>
  <si>
    <t>Bernhard Rieter;Fritz Brandenberg;Carl Weber-Sulzer</t>
  </si>
  <si>
    <t>Formation period: 1875-1970</t>
  </si>
  <si>
    <t>eef55a9d-8cec-4ff2-be4a-d8ec267bfd79</t>
  </si>
  <si>
    <t>NMWIN-VERTEBRATA</t>
  </si>
  <si>
    <t>Vertebrates, Vertebrata</t>
  </si>
  <si>
    <t>Estimated number of specimens (individual specimens): 3´899. Formation period: 1664-ongoing. Geologic period: Present. Estimated number of species: 1´494. Number of types: unknown. SCSPS: 6 [Sabrina Schnurrenberger, updated 2021-10-29]</t>
  </si>
  <si>
    <t>2022-08-04T13:04:15.001Z</t>
  </si>
  <si>
    <t>2024-09-04T07:04:38.946Z</t>
  </si>
  <si>
    <t>Vertebrata: Pisces; Amphibia; Reptilia; Aves, Mammalia</t>
  </si>
  <si>
    <t>World. Main countries of origin: CH|AU|AT|BR|CA|DE|ID|IN|US</t>
  </si>
  <si>
    <t>lokale, aber auch exotische Wirbeltiersammlung aus dem 19. und Anfang 20. Jahrhundert</t>
  </si>
  <si>
    <t>Johann Jakob Ziegler-Pellis;Richard Isidor Challande;Museumsgesellschaft</t>
  </si>
  <si>
    <t>Formation period: 1664-ongoing</t>
  </si>
  <si>
    <t>ffcc3dda-cbe4-4209-b6f1-5c9ac65ec1c7</t>
  </si>
  <si>
    <t>NMWIN-PALAEO</t>
  </si>
  <si>
    <t>Paleontological collection</t>
  </si>
  <si>
    <t>Estimated number of specimens (individual specimens): 2´350. Formation period: 1860-ongoing. Geologic period: not reported. Estimated number of species: not reported. Number of types: unknown. SCSPS: 2; 5 [Anonymous, Assessment date not reported]</t>
  </si>
  <si>
    <t>Paleontological;VertebrateFossils;InvertebrateFossils;PlantFossils</t>
  </si>
  <si>
    <r>
      <rPr>
        <u/>
        <sz val="10"/>
        <color indexed="8"/>
        <rFont val="Helvetica Neue"/>
        <family val="2"/>
      </rPr>
      <t>sandra.scherrer@win.ch</t>
    </r>
  </si>
  <si>
    <t>2022-08-04T13:04:14.131Z</t>
  </si>
  <si>
    <t>2024-09-04T07:04:37.428Z</t>
  </si>
  <si>
    <r>
      <rPr>
        <sz val="10"/>
        <color indexed="8"/>
        <rFont val="Helvetica Neue"/>
        <family val="2"/>
      </rPr>
      <t xml:space="preserve">Sandra Scherrer +41 52 267 62 80 </t>
    </r>
    <r>
      <rPr>
        <u/>
        <sz val="10"/>
        <color indexed="8"/>
        <rFont val="Helvetica Neue"/>
        <family val="2"/>
      </rPr>
      <t>sandra.scherrer@win.ch</t>
    </r>
    <r>
      <rPr>
        <sz val="10"/>
        <color indexed="8"/>
        <rFont val="Helvetica Neue"/>
        <family val="2"/>
      </rPr>
      <t xml:space="preserve"> Kuratorin Erdwissenschaften</t>
    </r>
  </si>
  <si>
    <t>Fungi: Ascomycota; Basidiomycota</t>
  </si>
  <si>
    <t>World. Main countries of origin: CH|DE</t>
  </si>
  <si>
    <t>Die Bedeutung der Flechtensammlung ist zurzeit noch offen, eine Überarbeitung steht an. Bemerkenswert ist der Sammlungszeitraum von rund 150 Jahre, beginnend um 1850.</t>
  </si>
  <si>
    <r>
      <rPr>
        <sz val="10"/>
        <color indexed="8"/>
        <rFont val="Helvetica Neue"/>
        <family val="2"/>
      </rPr>
      <t xml:space="preserve">Wilhelm Gustav Adolf Biedermann;Oswald Heer (1809/1883) </t>
    </r>
    <r>
      <rPr>
        <u/>
        <sz val="10"/>
        <color indexed="8"/>
        <rFont val="Helvetica Neue"/>
        <family val="2"/>
      </rPr>
      <t>https://viaf.org/viaf/317147511;Emil</t>
    </r>
    <r>
      <rPr>
        <sz val="10"/>
        <color indexed="8"/>
        <rFont val="Helvetica Neue"/>
        <family val="2"/>
      </rPr>
      <t xml:space="preserve"> Meyrat;Carl Weber-Sulzer;Jakob Melchior Ziegler;Johann Heinrich Ziegler</t>
    </r>
  </si>
  <si>
    <t>4a275ffc-f0ba-4b9f-828c-081d8490b275</t>
  </si>
  <si>
    <t>NMWIN-GEOL</t>
  </si>
  <si>
    <t>Geological collection</t>
  </si>
  <si>
    <t>Estimated number of specimens (individual specimens): not reported. Formation period: not reported. Geologic period: not reported. Estimated number of species: n/a. Number of types: n/a. SCSPS: 3 [Sandra Scherrer, updated 2021-12-03]</t>
  </si>
  <si>
    <t>2022-08-04T13:04:13.109Z</t>
  </si>
  <si>
    <t>2024-09-04T07:04:35.985Z</t>
  </si>
  <si>
    <t>Jonas Friedrich Brunner;Hepp;Helen Hilfiker;Bruno Lang;Bernhard Schenk;Bruno Wartmann;Heinrich Wegelin;</t>
  </si>
  <si>
    <t>81376685-0fee-4959-89ea-9b3b7e5a3928</t>
  </si>
  <si>
    <t>NMTG-LICHEN</t>
  </si>
  <si>
    <t>Lichen collection</t>
  </si>
  <si>
    <t>Estimated number of specimens (individual specimens): 1´200. Formation period: 1850-1999. Geologic period: Present. Estimated number of species: not reported. Number of types: unknown. SCSPS: 2 [Barbara Richner, updated 2021-11-23]</t>
  </si>
  <si>
    <t>Frauenfeld</t>
  </si>
  <si>
    <r>
      <rPr>
        <u/>
        <sz val="10"/>
        <color indexed="8"/>
        <rFont val="Helvetica Neue"/>
        <family val="2"/>
      </rPr>
      <t>barbara.richner@tg.ch</t>
    </r>
  </si>
  <si>
    <t>Naturmuseum Thurgau</t>
  </si>
  <si>
    <t>NMTG</t>
  </si>
  <si>
    <t>fa45db4d-69f0-455a-8359-3dd7d4f8fd87</t>
  </si>
  <si>
    <t>Naturmuseum Thurgau, Freie Strasse 24 Frauenfeld CH-8510 Switzerland</t>
  </si>
  <si>
    <t>2022-08-04T13:04:11.162Z</t>
  </si>
  <si>
    <t>2024-09-04T07:04:33.032Z</t>
  </si>
  <si>
    <r>
      <rPr>
        <sz val="10"/>
        <color indexed="8"/>
        <rFont val="Helvetica Neue"/>
        <family val="2"/>
      </rPr>
      <t xml:space="preserve">Barbara Richner +41 27 606 47 35 </t>
    </r>
    <r>
      <rPr>
        <u/>
        <sz val="10"/>
        <color indexed="8"/>
        <rFont val="Helvetica Neue"/>
        <family val="2"/>
      </rPr>
      <t>barbara.richner@tg.ch</t>
    </r>
    <r>
      <rPr>
        <sz val="10"/>
        <color indexed="8"/>
        <rFont val="Helvetica Neue"/>
        <family val="2"/>
      </rPr>
      <t xml:space="preserve"> Curator</t>
    </r>
  </si>
  <si>
    <t>Switzerland|Europe. Main countries of origin: CH|DE</t>
  </si>
  <si>
    <t>Jonas Friedrich Brunner (1821/1898);Hepp;Helen Hilfiker;Bruno Lang;Bernhard Schenk;Bruno Wartmann;Heinrich Wegelin (1853/1940)</t>
  </si>
  <si>
    <t>Formation period: 1850-1999</t>
  </si>
  <si>
    <t>4232fbb9-70d5-4dc0-89bb-fafd871b044a</t>
  </si>
  <si>
    <t>NMTG-BOT</t>
  </si>
  <si>
    <t>Botany</t>
  </si>
  <si>
    <t>Estimated number of specimens (individual specimens): 27´000. Formation period: 1791-ongoing. Geologic period: Present. Estimated number of species: not reported. Number of types: unknown. SCSPS: 2; 7 [Barbara Richner, updated 2021-11-09]</t>
  </si>
  <si>
    <t>Biological;PreservedOrganisms;PlantDerived;Recordings</t>
  </si>
  <si>
    <t>2022-08-04T13:04:10.262Z</t>
  </si>
  <si>
    <t>2024-09-04T07:04:31.528Z</t>
  </si>
  <si>
    <t>Switzerland|Europe|World. Main countries of origin: CH|DE</t>
  </si>
  <si>
    <t>Der bedeutendste Sammlungsteil im Sammlungsbereich der Botanik ist die so genannte «Flora Thurgau». In ihr fliessen die Angaben zu den Gefässpflanzen (Blüten- und Farnpflanzen), die als Belege im Herbarium vorhanden sind mit den schriftlichen Hinweisen (Literatur, Fundmeldungen) zusammen.  Dazu zählen auch die nachfolgenden subunits. Aktuell sind gesamthaft um 1'700 Blüten- und Farnpflanzenarten mit rund 20'000 Fundangaben digital erfasst und hier abrufbar.</t>
  </si>
  <si>
    <t>Jonas Friedrich Brunner (1821/1898);Johann Coaz;Carl Cramer;Candid Huber;Bruno Lang;Major Specht;Carl Friedrich Stein;Heinrich Wegelin (1853/1940)</t>
  </si>
  <si>
    <t>Formation period: 1791-ongoing</t>
  </si>
  <si>
    <t>2a8835ad-4a2e-43df-b976-f924f76fe628</t>
  </si>
  <si>
    <t>NMTG-ENTOMO</t>
  </si>
  <si>
    <t>Estimated number of specimens (individual specimens): 45´000. Formation period: 1836-ongoing. Geologic period: Present. Estimated number of species: not reported. Number of types: unknown. SCSPS: 9 [Barbara Richner, updated 2021-11-09]</t>
  </si>
  <si>
    <t>2022-08-04T13:04:09.131Z</t>
  </si>
  <si>
    <t>2024-09-04T07:04:30.061Z</t>
  </si>
  <si>
    <t>Insecta: Lepidoptera; Coleoptera; Diptera; Heteroptera; Hymenoptera</t>
  </si>
  <si>
    <t>Die Entomologische Sammlung ist von grosser regionaler Bedeutung und auf Grund ihres Umfangs für die Beschreibung der Insektenfauna des Kantons und der Region Ostschweiz national bedeutend. Dazu zählen alle nachfolgenden, dazugehörenden  subunits.</t>
  </si>
  <si>
    <r>
      <rPr>
        <sz val="10"/>
        <color indexed="8"/>
        <rFont val="Helvetica Neue"/>
        <family val="2"/>
      </rPr>
      <t xml:space="preserve">Hermann Blöchlinger;Emanuel von Bodman (1874/1946) </t>
    </r>
    <r>
      <rPr>
        <u/>
        <sz val="10"/>
        <color indexed="8"/>
        <rFont val="Helvetica Neue"/>
        <family val="2"/>
      </rPr>
      <t>https://viaf.org/viaf/27865157;Walter</t>
    </r>
    <r>
      <rPr>
        <sz val="10"/>
        <color indexed="8"/>
        <rFont val="Helvetica Neue"/>
        <family val="2"/>
      </rPr>
      <t xml:space="preserve"> Dürr;Hans Helfenstein;Trudbert Locher;Erwin Manfrini;Alex Ribi</t>
    </r>
  </si>
  <si>
    <t>Formation period: 1836-ongoing</t>
  </si>
  <si>
    <t>8546f32a-d896-464f-b39d-93d2b85f3c77</t>
  </si>
  <si>
    <t>NMTG-MOLL</t>
  </si>
  <si>
    <t>Molluscs collection</t>
  </si>
  <si>
    <t>Estimated number of specimens (individual specimens): 4´000. Formation period: 1857-ongoing. Geologic period: Present. Estimated number of species: 500. Number of types: unknown. SCSPS: 6 [Barbara Richner, updated 2021-11-09]</t>
  </si>
  <si>
    <t>2022-08-04T13:04:08.290Z</t>
  </si>
  <si>
    <t>2024-09-04T07:04:28.597Z</t>
  </si>
  <si>
    <t>Mollusca: Bivalvia; Gastropoda</t>
  </si>
  <si>
    <t>Die umfassende Molluskensammlung ist von regionaler Bedeutung.</t>
  </si>
  <si>
    <t>Egidio Anchisi;Denis Coquoz;Louis De Courten;Alphonse Rion</t>
  </si>
  <si>
    <t>Formation period: 1857-ongoing</t>
  </si>
  <si>
    <t>b161464a-1ebc-4119-813c-5a88e054d35a</t>
  </si>
  <si>
    <t>NMTG-VERT</t>
  </si>
  <si>
    <t>Vertebrata collection</t>
  </si>
  <si>
    <t>Estimated number of specimens (individual specimens/ jar): 3´090. Formation period: 1826-ongoing. Geologic period: Present. Estimated number of species: 900. Number of types: 0. SCSPS: 5; 6 [Barbara Richner, updated 2021-11-16]</t>
  </si>
  <si>
    <t>Biological;PreservedOrganisms;AnimalBuiltStructures;Endoskeletons</t>
  </si>
  <si>
    <t>SampleDried;SampleFluidPreserved;SampleSkeletonized;SampleTanned;SampleFreezeDrying</t>
  </si>
  <si>
    <t>2022-08-04T13:04:07.427Z</t>
  </si>
  <si>
    <t>2024-09-04T07:04:27.059Z</t>
  </si>
  <si>
    <t>Chordata: Reptilia; Mammalia; Aves; Amphibia; Actinopterygii</t>
  </si>
  <si>
    <t>Die Sammlung ist in erster Linie für Ausstellungs- und Vermittlungszwecke des Museums bedeutsam.</t>
  </si>
  <si>
    <t>17832327-44e2-44bf-8d38-382e63f36512</t>
  </si>
  <si>
    <t>NMTG-PALEO</t>
  </si>
  <si>
    <t>Fossils collection</t>
  </si>
  <si>
    <t>Estimated number of specimens (individual specimens): 2´933. Formation period: 1849-ongoing. Geologic period: Ordovician-Pliocene. Estimated number of species: 520. Number of types: unknown. SCSPS: 3 [Barbara Richner, updated 2021-11-23]</t>
  </si>
  <si>
    <t>2022-08-04T13:04:05.955Z</t>
  </si>
  <si>
    <t>2024-09-04T07:04:25.560Z</t>
  </si>
  <si>
    <t>Biota: Animalia; Plantae</t>
  </si>
  <si>
    <t>Switzerland|Europe. Main countries of origin: CH|DE|AT</t>
  </si>
  <si>
    <t>Die Sammlung ist in erster Linie für Ausstellungs- und Vermittlungszwecke des Museums bedeutsam. Einzelne herausragende Objekte,</t>
  </si>
  <si>
    <t>Formation period: 1849-ongoing. Geologic period: Ordovician-Pliocene</t>
  </si>
  <si>
    <t>7b5c8293-7cf5-4d71-8666-6643262ca6db</t>
  </si>
  <si>
    <t>NMTG-GEO</t>
  </si>
  <si>
    <t>Estimated number of specimens (individual specimens): 1´843. Formation period: 1816-ongoing. Geologic period: not reported. Estimated number of species: n/a. Number of types: n/a. SCSPS: 5; 6 [Barbara Richner, updated 2021-11-09]</t>
  </si>
  <si>
    <t>2022-08-04T13:04:05.084Z</t>
  </si>
  <si>
    <t>2024-09-04T07:04:24.160Z</t>
  </si>
  <si>
    <t>Switzerland; Europe</t>
  </si>
  <si>
    <t>Umfassende geologische Sammlung für die Region</t>
  </si>
  <si>
    <t>Formation period: 1816-ongoing. Geologic period: not reported</t>
  </si>
  <si>
    <t>f3e27277-7dcb-45ee-9a6c-c056fbf38632</t>
  </si>
  <si>
    <t>NMTG-MIN</t>
  </si>
  <si>
    <t>Estimated number of specimens (individual specimens): 1´325. Formation period: 1866-ongoing. Geologic period: not reported. Estimated number of species: not reported. Number of types: unknown. SCSPS: 3 [Barbara Richner, updated 2021-11-11]</t>
  </si>
  <si>
    <t>2022-08-04T13:04:04.209Z</t>
  </si>
  <si>
    <t>2024-09-04T07:04:22.711Z</t>
  </si>
  <si>
    <t>World; Europe; Switzerland</t>
  </si>
  <si>
    <t>Formation period: 1866-ongoing. Geologic period: not reported</t>
  </si>
  <si>
    <t>b3cc0185-34bd-48d7-8814-e24dae8774b1</t>
  </si>
  <si>
    <t>NMTG-NCH</t>
  </si>
  <si>
    <t>Nature's cultural history</t>
  </si>
  <si>
    <t>Estimated number of specimens (various documents/ single pieces): 11´000. Formation period: 1796-ongoing. Geologic period: Present. Estimated number of species: n/a. Number of types: n/a. SCSPS: 6 [Barbara Richner, updated 2021-11-23]</t>
  </si>
  <si>
    <t>2022-08-04T13:04:03.386Z</t>
  </si>
  <si>
    <t>2024-09-04T07:04:21.304Z</t>
  </si>
  <si>
    <t>Dieser besondere Sammlungsteil ildet die Grundlage für die eigene Institutions- und Vermittlungsgeschichte.</t>
  </si>
  <si>
    <t>a808b431-8619-4c74-9cef-ed0d3fac1629</t>
  </si>
  <si>
    <t>MNVS-MYCOLOGY</t>
  </si>
  <si>
    <t>Mycology</t>
  </si>
  <si>
    <t>Estimated number of specimens: not reported. Formation period: not reported. Geologic period: Present. Estimated number of species: not reported. Number of types: unknown. SCSPS: not reported [Hélène Gabioud Duinat, updated 2021-11-26]</t>
  </si>
  <si>
    <t>Sion</t>
  </si>
  <si>
    <r>
      <rPr>
        <u/>
        <sz val="10"/>
        <color indexed="8"/>
        <rFont val="Helvetica Neue"/>
        <family val="2"/>
      </rPr>
      <t>helene.gabioud-duinat@admin.vs.ch</t>
    </r>
  </si>
  <si>
    <t>Musée de la nature du Valais</t>
  </si>
  <si>
    <t>MNVS</t>
  </si>
  <si>
    <t>da2b9a85-283c-45b4-9d1f-4a9e2884bdb8</t>
  </si>
  <si>
    <t>Musée de la Nature Rue des Châteaux 56 Sion CH-1950 Switzerland</t>
  </si>
  <si>
    <t>2022-08-04T13:04:02.546Z</t>
  </si>
  <si>
    <t>2024-09-04T07:03:59.029Z</t>
  </si>
  <si>
    <r>
      <rPr>
        <sz val="10"/>
        <color indexed="8"/>
        <rFont val="Helvetica Neue"/>
        <family val="2"/>
      </rPr>
      <t xml:space="preserve">Hélène Gabioud-Duinat +41 27 606 47 35 </t>
    </r>
    <r>
      <rPr>
        <u/>
        <sz val="10"/>
        <color indexed="8"/>
        <rFont val="Helvetica Neue"/>
        <family val="2"/>
      </rPr>
      <t>helene.gabioud-duinat@admin.vs.ch</t>
    </r>
    <r>
      <rPr>
        <sz val="10"/>
        <color indexed="8"/>
        <rFont val="Helvetica Neue"/>
        <family val="2"/>
      </rPr>
      <t xml:space="preserve"> Chargée d'inventaire</t>
    </r>
  </si>
  <si>
    <t>9419f1ec-8956-4db8-8b25-29a19211f9c3</t>
  </si>
  <si>
    <t>MNVS-BOTANY</t>
  </si>
  <si>
    <t>Plants</t>
  </si>
  <si>
    <t>Estimated number of specimens: 40´015. Formation period: 1830-ongoing. Geologic period: Present. Estimated number of species: not reported. Number of types: unknown. SCSPS: not reported [Hélène Gabioud Duinat, updated 2021-11-26]</t>
  </si>
  <si>
    <t>+41 27 606 47 30;+41 27 606 47 31</t>
  </si>
  <si>
    <r>
      <rPr>
        <u/>
        <sz val="10"/>
        <color indexed="8"/>
        <rFont val="Helvetica Neue"/>
        <family val="2"/>
      </rPr>
      <t>https://www.musees-valais.ch/musee-de-la-nature/collections.html#2-botanique</t>
    </r>
  </si>
  <si>
    <t>Musée de la Nature Rue des Châteaux 46 Sion CH-1950 Switzerland</t>
  </si>
  <si>
    <t>2022-08-04T13:04:01.701Z</t>
  </si>
  <si>
    <t>2024-09-04T07:03:57.549Z</t>
  </si>
  <si>
    <t>gbif:ih:irn:252683;a5b4141b-1397-40c4-9ba6-97bb4de8c32a</t>
  </si>
  <si>
    <r>
      <rPr>
        <sz val="10"/>
        <color indexed="8"/>
        <rFont val="Helvetica Neue"/>
        <family val="2"/>
      </rPr>
      <t xml:space="preserve">Hélène Gabioud-Duinat +41 27 606 47 35 </t>
    </r>
    <r>
      <rPr>
        <u/>
        <sz val="10"/>
        <color indexed="8"/>
        <rFont val="Helvetica Neue"/>
        <family val="2"/>
      </rPr>
      <t>helene.gabioud-duinat@admin.vs.ch</t>
    </r>
    <r>
      <rPr>
        <sz val="10"/>
        <color indexed="8"/>
        <rFont val="Helvetica Neue"/>
        <family val="2"/>
      </rPr>
      <t xml:space="preserve"> Chargée d'inventaire;Jacqueline Détraz-Méroz 00 41 79 306 12 56 </t>
    </r>
    <r>
      <rPr>
        <u/>
        <sz val="10"/>
        <color indexed="8"/>
        <rFont val="Helvetica Neue"/>
        <family val="2"/>
      </rPr>
      <t>jacqueline.detraz@admin.vs.ch</t>
    </r>
    <r>
      <rPr>
        <sz val="10"/>
        <color indexed="8"/>
        <rFont val="Helvetica Neue"/>
        <family val="2"/>
      </rPr>
      <t xml:space="preserve"> collaboratrice scientifique</t>
    </r>
  </si>
  <si>
    <t>Alpine arc plants (based on Flora Alpina publication)</t>
  </si>
  <si>
    <t>Egidio Anchisi;Denis Coquoz (1887/1962);Louis De Courten;Alphonse Rion</t>
  </si>
  <si>
    <t>SION</t>
  </si>
  <si>
    <t>Formation period: 1830-ongoing</t>
  </si>
  <si>
    <t>1dba8841-33f8-47d1-b912-252642d5e975</t>
  </si>
  <si>
    <t>MNVS-DIATOMS</t>
  </si>
  <si>
    <t>Diatoms</t>
  </si>
  <si>
    <t>Estimated number of specimens (slide): 564. Formation period: 2006-2020. Geologic period: Present. Estimated number of species: not reported. Number of types: unknown. SCSPS: not reported [Hélène Gabioud Duinat, updated 2021-11-26]</t>
  </si>
  <si>
    <t>Musée de la Nature Rue des Châteaux 55 Sion CH-1950 Switzerland</t>
  </si>
  <si>
    <t>2022-08-04T13:04:00.842Z</t>
  </si>
  <si>
    <t>2024-09-04T07:03:56.054Z</t>
  </si>
  <si>
    <t>Bacillariophyta</t>
  </si>
  <si>
    <t>François Straub</t>
  </si>
  <si>
    <t>Formation period: 2006-2020</t>
  </si>
  <si>
    <t>2e6fa5cb-a238-4e00-aecf-e5c7d30672bf</t>
  </si>
  <si>
    <t>MNVS-ENTOMOLOGY</t>
  </si>
  <si>
    <t>Estimated number of specimens: 74´278. Formation period: 1843-ongoing. Geologic period: Present. Estimated number of species: not reported. Number of types: unknown. SCSPS: not reported [Hélène Gabioud Duinat, updated 2021-11-26]</t>
  </si>
  <si>
    <t>Musée de la Nature Rue des Châteaux 30 Sion CH-1950 Switzerland</t>
  </si>
  <si>
    <t>2022-08-04T13:03:59.978Z</t>
  </si>
  <si>
    <t>2024-09-04T07:03:54.537Z</t>
  </si>
  <si>
    <t>Paul Baumgartner;Jean Berhaut;Emmanuel de Bros;Emile Favre (1843/1905);Raphy Rappaz (1909/1991);Nicolas von Roten;Arnold Wullschlegel (1848/1912)</t>
  </si>
  <si>
    <t>Formation period: 1843-ongoing</t>
  </si>
  <si>
    <t>55c34533-cacf-4ebc-a810-29e7c40b7742</t>
  </si>
  <si>
    <t>MNVS-SHELLS</t>
  </si>
  <si>
    <t>Shells collection</t>
  </si>
  <si>
    <t>Estimated number of specimens (set of shells (same species)): 619. Formation period: not reported. Geologic period: Present. Estimated number of species: not reported. Number of types: unknown. SCSPS: not reported [Hélène Gabioud Duinat, updated 2021-11-26]</t>
  </si>
  <si>
    <t>Musée de la Nature Rue des Châteaux 59 Sion CH-1950 Switzerland</t>
  </si>
  <si>
    <t>2022-08-04T13:03:59.094Z</t>
  </si>
  <si>
    <t>2024-09-04T07:03:53.046Z</t>
  </si>
  <si>
    <t>Chordata</t>
  </si>
  <si>
    <t>Heinrich Gerlach</t>
  </si>
  <si>
    <t>e3315aa3-86b2-4f07-8162-5e2f02f1cfe7</t>
  </si>
  <si>
    <t>MNVS-VERTEBRATES</t>
  </si>
  <si>
    <t>Estimated number of specimens: 3´265. Formation period: 1830-ongoing. Geologic period: Present. Estimated number of species: not reported. Number of types: unknown. SCSPS: 9 [Hélène Gabioud Duinat, updated 2021-11-26]</t>
  </si>
  <si>
    <t>Musée de la Nature Rue des Châteaux 14 Sion CH-1950 Switzerland</t>
  </si>
  <si>
    <t>2022-08-04T13:03:58.262Z</t>
  </si>
  <si>
    <t>2024-09-04T07:03:51.612Z</t>
  </si>
  <si>
    <t>0c1bd56c-d670-46e5-9a1c-64cf6be219e6</t>
  </si>
  <si>
    <t>MNVS-PALEONTOLOGY</t>
  </si>
  <si>
    <t>Paleontology</t>
  </si>
  <si>
    <t>Estimated number of specimens (sample): 796. Formation period: not reported. Geologic period: not reported. Estimated number of species: not reported. Number of types: unknown. SCSPS: not reported [Hélène Gabioud Duinat, updated 2021-11-26]</t>
  </si>
  <si>
    <t>Musée de la Nature Rue des Châteaux 60 Sion CH-1950 Switzerland</t>
  </si>
  <si>
    <t>2022-08-04T13:03:57.384Z</t>
  </si>
  <si>
    <t>2024-09-04T07:03:50.172Z</t>
  </si>
  <si>
    <t>7cf25cd8-562d-4619-8cd6-6451aaf2bf03</t>
  </si>
  <si>
    <t>MNVS-PETROGRAPHY</t>
  </si>
  <si>
    <t>Estimated number of specimens (rock samples): 941. Formation period: not reported. Geologic period: not reported. Estimated number of species: n/a. Number of types: n/a. SCSPS: not reported [Hélène Gabioud Duinat, updated 2021-11-26]</t>
  </si>
  <si>
    <t>Musée de la Nature Rue des Châteaux 62 Sion CH-1950 Switzerland</t>
  </si>
  <si>
    <t>2022-08-04T13:03:56.532Z</t>
  </si>
  <si>
    <t>2024-09-04T07:03:48.717Z</t>
  </si>
  <si>
    <t>8663f704-ce22-442f-87f8-df872a85393c</t>
  </si>
  <si>
    <t>MNVS-MINERALOGY</t>
  </si>
  <si>
    <t>Estimated number of specimens (sample): 4´987. Formation period: not reported. Geologic period: not reported. Estimated number of species: not reported. Number of types: unknown. SCSPS: not reported [Hélène Gabioud Duinat, updated 2021-11-26]</t>
  </si>
  <si>
    <t>Musée de la Nature Rue des Châteaux 61 Sion CH-1950 Switzerland</t>
  </si>
  <si>
    <t>2022-08-04T13:03:55.670Z</t>
  </si>
  <si>
    <t>2024-09-04T07:03:47.208Z</t>
  </si>
  <si>
    <t>Michel Desfayes;Antoine Sierro</t>
  </si>
  <si>
    <t>799eb639-7e92-41a5-9734-122d36e08192</t>
  </si>
  <si>
    <t>MNVS-FLUIDS</t>
  </si>
  <si>
    <t>Fluid preserved specimens</t>
  </si>
  <si>
    <t>Estimated number of specimens (sample): 148. Formation period: not reported. Geologic period: Present. Estimated number of species: n/a. Number of types: n/a. SCSPS: not reported [Hélène Gabioud Duinat, updated 2021-11-26]</t>
  </si>
  <si>
    <t>Musée de la Nature Rue des Châteaux 24 Sion CH-1950 Switzerland</t>
  </si>
  <si>
    <t>2022-08-04T13:03:54.799Z</t>
  </si>
  <si>
    <t>2024-09-04T07:03:45.697Z</t>
  </si>
  <si>
    <t>bd32fd19-8ff3-4a4d-88c7-72eb1390ab6e</t>
  </si>
  <si>
    <t>NMB-ARACH</t>
  </si>
  <si>
    <t>Arachnida (sine Acari)</t>
  </si>
  <si>
    <t>Estimated number of specimens (vials): 23´967. Formation period: 1837-ongoing. Geologic period: Present. Estimated number of species: 3´332. Number of types: 1´143 (Holo- and Lectotypes: 429,  Syntypes: 212). SCSPS: 8 [Holger Frick, updated 2021-06-22]</t>
  </si>
  <si>
    <r>
      <rPr>
        <u/>
        <sz val="10"/>
        <color indexed="8"/>
        <rFont val="Helvetica Neue"/>
        <family val="2"/>
      </rPr>
      <t>holger.frick@bs.ch</t>
    </r>
  </si>
  <si>
    <r>
      <rPr>
        <u/>
        <sz val="10"/>
        <color indexed="8"/>
        <rFont val="Helvetica Neue"/>
        <family val="2"/>
      </rPr>
      <t>https://www.nmbs.ch/home/museum/sammlungen/biowissenschaftlich/uebrige-wirbellose-Tiere/spinnen.html</t>
    </r>
  </si>
  <si>
    <t>Naturhistorisches Museum Basel</t>
  </si>
  <si>
    <t>NMB</t>
  </si>
  <si>
    <t>e772c6d6-bbc8-40c8-92e9-b74407e1f5bb</t>
  </si>
  <si>
    <t>Naturhistorisches Museum Basel, Augustinergasse 2 Basel CH-4051 Switzerland</t>
  </si>
  <si>
    <t>2022-04-13T13:10:23.755Z</t>
  </si>
  <si>
    <t>2024-09-03T06:44:44.748Z</t>
  </si>
  <si>
    <r>
      <rPr>
        <sz val="10"/>
        <color indexed="8"/>
        <rFont val="Helvetica Neue"/>
        <family val="2"/>
      </rPr>
      <t xml:space="preserve">Holger Frick +41 61 266 55 44 </t>
    </r>
    <r>
      <rPr>
        <u/>
        <sz val="10"/>
        <color indexed="8"/>
        <rFont val="Helvetica Neue"/>
        <family val="2"/>
      </rPr>
      <t>holger.frick@bs.ch</t>
    </r>
    <r>
      <rPr>
        <sz val="10"/>
        <color indexed="8"/>
        <rFont val="Helvetica Neue"/>
        <family val="2"/>
      </rPr>
      <t xml:space="preserve"> Head of Life Sciences, Curator</t>
    </r>
  </si>
  <si>
    <t>Arachnida: Araneae; Scorpiones; Opiliones</t>
  </si>
  <si>
    <t>Switzerland|Europe|Asia Temperate|Asia Tropical. Main countries of origin: CH|DE|FR|ID|LK|SA|OM</t>
  </si>
  <si>
    <r>
      <rPr>
        <sz val="10"/>
        <color indexed="8"/>
        <rFont val="Helvetica Neue"/>
        <family val="2"/>
      </rPr>
      <t xml:space="preserve">Ehrenfried Schenkel (1869/1953) </t>
    </r>
    <r>
      <rPr>
        <u/>
        <sz val="10"/>
        <color indexed="8"/>
        <rFont val="Helvetica Neue"/>
        <family val="2"/>
      </rPr>
      <t>https://viaf.org/viaf/295519951;Elisabeth</t>
    </r>
    <r>
      <rPr>
        <sz val="10"/>
        <color indexed="8"/>
        <rFont val="Helvetica Neue"/>
        <family val="2"/>
      </rPr>
      <t xml:space="preserve"> Bauchhenss;Matt Braunwalder;Graeme Lowe;Willi Büttiker</t>
    </r>
  </si>
  <si>
    <t>Formation period: 1837-ongoing</t>
  </si>
  <si>
    <t>dbc17b26-0899-409a-b2ba-4ecee785704f</t>
  </si>
  <si>
    <t>NMB-COLEO</t>
  </si>
  <si>
    <t>Coleoptera Main Collection</t>
  </si>
  <si>
    <t>Estimated number of specimens (individuals): 2´000´000. Formation period: 1842-ongoing. Geologic period: Present. Estimated number of species: 71´844. Number of types: 8´963 (Holo- and Lectotypes: 4´952,  unreported number of Syntypes). SCSPS: 7 (for type specimens SCSPS: 8) [Matthias Borer, updated 2021-10-29]</t>
  </si>
  <si>
    <r>
      <rPr>
        <u/>
        <sz val="10"/>
        <color indexed="8"/>
        <rFont val="Helvetica Neue"/>
        <family val="2"/>
      </rPr>
      <t>matthias.borer@bs.ch</t>
    </r>
  </si>
  <si>
    <r>
      <rPr>
        <u/>
        <sz val="10"/>
        <color indexed="8"/>
        <rFont val="Helvetica Neue"/>
        <family val="2"/>
      </rPr>
      <t>https://www.nmbs.ch/home/museum/sammlungen/biowissenschaftlich/insekten/kaefer.html</t>
    </r>
  </si>
  <si>
    <t>2022-04-13T13:10:22.680Z</t>
  </si>
  <si>
    <t>2024-09-03T06:44:42.106Z</t>
  </si>
  <si>
    <r>
      <rPr>
        <sz val="10"/>
        <color indexed="8"/>
        <rFont val="Helvetica Neue"/>
        <family val="2"/>
      </rPr>
      <t xml:space="preserve">Matthias Borer +41 61 266 55 78 </t>
    </r>
    <r>
      <rPr>
        <u/>
        <sz val="10"/>
        <color indexed="8"/>
        <rFont val="Helvetica Neue"/>
        <family val="2"/>
      </rPr>
      <t>matthias.borer@bs.ch</t>
    </r>
    <r>
      <rPr>
        <sz val="10"/>
        <color indexed="8"/>
        <rFont val="Helvetica Neue"/>
        <family val="2"/>
      </rPr>
      <t xml:space="preserve"> Curator</t>
    </r>
  </si>
  <si>
    <t>Arthropoda: Coleoptera</t>
  </si>
  <si>
    <t>World. Main countries of origin: LA|BT|NP|SA</t>
  </si>
  <si>
    <r>
      <rPr>
        <sz val="10"/>
        <color indexed="8"/>
        <rFont val="Helvetica Neue"/>
        <family val="2"/>
      </rPr>
      <t xml:space="preserve">Walter Wittmer (1915/1998) </t>
    </r>
    <r>
      <rPr>
        <u/>
        <sz val="10"/>
        <color indexed="8"/>
        <rFont val="Helvetica Neue"/>
        <family val="2"/>
      </rPr>
      <t>https://viaf.org/viaf/3351153596634251900001;Michel</t>
    </r>
    <r>
      <rPr>
        <sz val="10"/>
        <color indexed="8"/>
        <rFont val="Helvetica Neue"/>
        <family val="2"/>
      </rPr>
      <t xml:space="preserve"> Brancucci (1950/2012);William Büttiker-Otto;Karel Majer (1949/2000)</t>
    </r>
  </si>
  <si>
    <t>Formation period: 1842-ongoing</t>
  </si>
  <si>
    <t>25239c22-11b1-43e7-be92-f8475365cd0b</t>
  </si>
  <si>
    <t>NMB-CRUMYR</t>
  </si>
  <si>
    <t>Myriapoda, Crustacea</t>
  </si>
  <si>
    <t>Estimated number of specimens (individuals/ jars/ vials): 4´913. Formation period: 1804-ongoing. Geologic period: Present. Estimated number of species: 1´933. Number of types: 825 (Holo- and Lectotypes: 187,  Syntypes: 439). SCSPS: 8 [Eduard Stöckli, updated 2021-10-08]</t>
  </si>
  <si>
    <r>
      <rPr>
        <u/>
        <sz val="10"/>
        <color indexed="8"/>
        <rFont val="Helvetica Neue"/>
        <family val="2"/>
      </rPr>
      <t>eduard.stoeckli@bs.ch</t>
    </r>
  </si>
  <si>
    <r>
      <rPr>
        <u/>
        <sz val="10"/>
        <color indexed="8"/>
        <rFont val="Helvetica Neue"/>
        <family val="2"/>
      </rPr>
      <t>https://www.nmbs.ch/home/museum/sammlungen/biowissenschaftlich/typenkataloge</t>
    </r>
  </si>
  <si>
    <t>2022-04-13T13:10:21.538Z</t>
  </si>
  <si>
    <t>2024-09-03T06:44:39.591Z</t>
  </si>
  <si>
    <r>
      <rPr>
        <sz val="10"/>
        <color indexed="8"/>
        <rFont val="Helvetica Neue"/>
        <family val="2"/>
      </rPr>
      <t xml:space="preserve">Eduard Stöckli +41 61 266 55 37 </t>
    </r>
    <r>
      <rPr>
        <u/>
        <sz val="10"/>
        <color indexed="8"/>
        <rFont val="Helvetica Neue"/>
        <family val="2"/>
      </rPr>
      <t>eduard.stoeckli@bs.ch</t>
    </r>
    <r>
      <rPr>
        <sz val="10"/>
        <color indexed="8"/>
        <rFont val="Helvetica Neue"/>
        <family val="2"/>
      </rPr>
      <t xml:space="preserve"> Curator</t>
    </r>
  </si>
  <si>
    <t>Arthropoda: Myriapoda; Crustacea</t>
  </si>
  <si>
    <t>Asia tropical|Pacific|Europe. Main countries of origin: ID|NC|LK|SA|CN|CH</t>
  </si>
  <si>
    <r>
      <rPr>
        <sz val="10"/>
        <color indexed="8"/>
        <rFont val="Helvetica Neue"/>
        <family val="2"/>
      </rPr>
      <t xml:space="preserve">Paul Sarasin;Fritz Sarasin (1859/1942) </t>
    </r>
    <r>
      <rPr>
        <u/>
        <sz val="10"/>
        <color indexed="8"/>
        <rFont val="Helvetica Neue"/>
        <family val="2"/>
      </rPr>
      <t>https://viaf.org/viaf/64167248;Alfred</t>
    </r>
    <r>
      <rPr>
        <sz val="10"/>
        <color indexed="8"/>
        <rFont val="Helvetica Neue"/>
        <family val="2"/>
      </rPr>
      <t xml:space="preserve"> Bühler (1900/1981) </t>
    </r>
    <r>
      <rPr>
        <u/>
        <sz val="10"/>
        <color indexed="8"/>
        <rFont val="Helvetica Neue"/>
        <family val="2"/>
      </rPr>
      <t>https://viaf.org/viaf/110897029;Walter</t>
    </r>
    <r>
      <rPr>
        <sz val="10"/>
        <color indexed="8"/>
        <rFont val="Helvetica Neue"/>
        <family val="2"/>
      </rPr>
      <t xml:space="preserve"> Bigler;Fritz Müller;Karl Wilhelm Verhoev;Carl Attems;Jean-Marie Demange;Henrik Enghoff;Sergei I. Golovatch;Hans Lohmander;Paul Baron von Rautenfeld, Paul;Alfred Bühler (1900/1981) </t>
    </r>
    <r>
      <rPr>
        <u/>
        <sz val="10"/>
        <color indexed="8"/>
        <rFont val="Helvetica Neue"/>
        <family val="2"/>
      </rPr>
      <t>https://viaf.org/viaf/110897029;Ernst</t>
    </r>
    <r>
      <rPr>
        <sz val="10"/>
        <color indexed="8"/>
        <rFont val="Helvetica Neue"/>
        <family val="2"/>
      </rPr>
      <t xml:space="preserve"> Sutter (1914/1999) </t>
    </r>
    <r>
      <rPr>
        <u/>
        <sz val="10"/>
        <color indexed="8"/>
        <rFont val="Helvetica Neue"/>
        <family val="2"/>
      </rPr>
      <t>https://viaf.org/viaf/311424979;Ehrenfried</t>
    </r>
    <r>
      <rPr>
        <sz val="10"/>
        <color indexed="8"/>
        <rFont val="Helvetica Neue"/>
        <family val="2"/>
      </rPr>
      <t xml:space="preserve"> Schenkel (1869/1953) </t>
    </r>
    <r>
      <rPr>
        <u/>
        <sz val="10"/>
        <color indexed="8"/>
        <rFont val="Helvetica Neue"/>
        <family val="2"/>
      </rPr>
      <t>https://viaf.org/viaf/295519951;Jean</t>
    </r>
    <r>
      <rPr>
        <sz val="10"/>
        <color indexed="8"/>
        <rFont val="Helvetica Neue"/>
        <family val="2"/>
      </rPr>
      <t xml:space="preserve"> Roux (1879/1939) </t>
    </r>
    <r>
      <rPr>
        <u/>
        <sz val="10"/>
        <color indexed="8"/>
        <rFont val="Helvetica Neue"/>
        <family val="2"/>
      </rPr>
      <t>https://viaf.org/viaf/305239428;Paul</t>
    </r>
    <r>
      <rPr>
        <sz val="10"/>
        <color indexed="8"/>
        <rFont val="Helvetica Neue"/>
        <family val="2"/>
      </rPr>
      <t xml:space="preserve"> Wirz;Pierre-Alfred Chappuis (1891/1960) </t>
    </r>
    <r>
      <rPr>
        <u/>
        <sz val="10"/>
        <color indexed="8"/>
        <rFont val="Helvetica Neue"/>
        <family val="2"/>
      </rPr>
      <t>https://viaf.org/viaf/52674835;Arnold</t>
    </r>
    <r>
      <rPr>
        <sz val="10"/>
        <color indexed="8"/>
        <rFont val="Helvetica Neue"/>
        <family val="2"/>
      </rPr>
      <t xml:space="preserve"> Masarey (1883/1951);José Domingo Gilgado</t>
    </r>
  </si>
  <si>
    <t>Formation period: 1804-ongoing</t>
  </si>
  <si>
    <t>ea87f562-c3c0-4340-98a0-c8fdf1ffdda5</t>
  </si>
  <si>
    <t>NMB-DIPTE</t>
  </si>
  <si>
    <t>Estimated number of specimens (individuals): 58´000. Formation period: 1880-ongoing. Geologic period: Present. Estimated number of species: 7´000. Number of types: 500 (Holo- and Lectotypes: 400,  Syntypes: 0). SCSPS: 6 [Seraina Klopfstein, updated 2021-11-08]</t>
  </si>
  <si>
    <r>
      <rPr>
        <u/>
        <sz val="10"/>
        <color indexed="8"/>
        <rFont val="Helvetica Neue"/>
        <family val="2"/>
      </rPr>
      <t>seraina.klopfstein@bs.ch</t>
    </r>
  </si>
  <si>
    <r>
      <rPr>
        <u/>
        <sz val="10"/>
        <color indexed="8"/>
        <rFont val="Helvetica Neue"/>
        <family val="2"/>
      </rPr>
      <t>https://www.nmbs.ch/home/museum/sammlungen/biowissenschaftlich/insekten/kaefersammlung-Frey.html</t>
    </r>
  </si>
  <si>
    <t>2022-04-13T13:10:20.320Z</t>
  </si>
  <si>
    <t>2024-09-03T06:44:37.217Z</t>
  </si>
  <si>
    <r>
      <rPr>
        <sz val="10"/>
        <color indexed="8"/>
        <rFont val="Helvetica Neue"/>
        <family val="2"/>
      </rPr>
      <t xml:space="preserve">Seraina Klopfstein +41 61 266 55 80 </t>
    </r>
    <r>
      <rPr>
        <u/>
        <sz val="10"/>
        <color indexed="8"/>
        <rFont val="Helvetica Neue"/>
        <family val="2"/>
      </rPr>
      <t>seraina.klopfstein@bs.ch</t>
    </r>
    <r>
      <rPr>
        <sz val="10"/>
        <color indexed="8"/>
        <rFont val="Helvetica Neue"/>
        <family val="2"/>
      </rPr>
      <t xml:space="preserve"> Curator</t>
    </r>
  </si>
  <si>
    <t>World. Main countries of origin: CH|IN|BT|MA</t>
  </si>
  <si>
    <r>
      <rPr>
        <sz val="10"/>
        <color indexed="8"/>
        <rFont val="Helvetica Neue"/>
        <family val="2"/>
      </rPr>
      <t xml:space="preserve">Fred Keiser;Eduard Handschin (1894/1962) </t>
    </r>
    <r>
      <rPr>
        <u/>
        <sz val="10"/>
        <color indexed="8"/>
        <rFont val="Helvetica Neue"/>
        <family val="2"/>
      </rPr>
      <t>https://hls-dhs-dss.ch/fr/articles/044917/2007-11-27;William</t>
    </r>
    <r>
      <rPr>
        <sz val="10"/>
        <color indexed="8"/>
        <rFont val="Helvetica Neue"/>
        <family val="2"/>
      </rPr>
      <t xml:space="preserve"> Büttiker-Otto</t>
    </r>
  </si>
  <si>
    <t>f6df082e-897b-491a-a03a-7c1a2e1adaf0</t>
  </si>
  <si>
    <t>NMB-FREY</t>
  </si>
  <si>
    <t>Coleoptera Collection Frey</t>
  </si>
  <si>
    <t>Estimated number of specimens (individuals): 3´000´000. Formation period: 1850-1990. Geologic period: Present. Estimated number of species: 120´215. Number of types: 47´200 (Holo- and Lectotypes: 5´900,  unreported number of Syntypes). SCSPS: 7 (for type specimens SCSPS: 8) [Christoph Germann, updated 2021-08-23]</t>
  </si>
  <si>
    <r>
      <rPr>
        <u/>
        <sz val="10"/>
        <color indexed="8"/>
        <rFont val="Helvetica Neue"/>
        <family val="2"/>
      </rPr>
      <t>christoph.germann@bs.ch</t>
    </r>
  </si>
  <si>
    <t>2022-04-13T13:10:19.200Z</t>
  </si>
  <si>
    <t>2024-09-03T06:44:34.656Z</t>
  </si>
  <si>
    <r>
      <rPr>
        <sz val="10"/>
        <color indexed="8"/>
        <rFont val="Helvetica Neue"/>
        <family val="2"/>
      </rPr>
      <t xml:space="preserve">Christoph Germann +41 61 266 55 81 </t>
    </r>
    <r>
      <rPr>
        <u/>
        <sz val="10"/>
        <color indexed="8"/>
        <rFont val="Helvetica Neue"/>
        <family val="2"/>
      </rPr>
      <t>christoph.germann@bs.ch</t>
    </r>
    <r>
      <rPr>
        <sz val="10"/>
        <color indexed="8"/>
        <rFont val="Helvetica Neue"/>
        <family val="2"/>
      </rPr>
      <t xml:space="preserve"> Curator</t>
    </r>
  </si>
  <si>
    <r>
      <rPr>
        <sz val="10"/>
        <color indexed="8"/>
        <rFont val="Helvetica Neue"/>
        <family val="2"/>
      </rPr>
      <t xml:space="preserve">Georg Frey (1902/1976) </t>
    </r>
    <r>
      <rPr>
        <u/>
        <sz val="10"/>
        <color indexed="8"/>
        <rFont val="Helvetica Neue"/>
        <family val="2"/>
      </rPr>
      <t>https://viaf.org/viaf/160032011</t>
    </r>
  </si>
  <si>
    <t>Formation period: 1850-1990</t>
  </si>
  <si>
    <t>e3b55153-2062-4cac-b395-8b18037b9378</t>
  </si>
  <si>
    <t>NMB-HEMIP</t>
  </si>
  <si>
    <t>Estimated number of specimens (individuals): 75´000. Formation period: 1880-ongoing. Geologic period: Present. Estimated number of species: 7´000. Number of types: 1´750 (Holo- and Lectotypes: 300,  Syntypes: 0). SCSPS: 6 (for type specimens SCSPS: 9) [Seraina Klopfstein, updated 2021-11-08]</t>
  </si>
  <si>
    <r>
      <rPr>
        <u/>
        <sz val="10"/>
        <color indexed="8"/>
        <rFont val="Helvetica Neue"/>
        <family val="2"/>
      </rPr>
      <t>https://www.nmbs.ch/home/museum/sammlungen/biowissenschaftlich/uebrige-wirbellose-Tiere/weitere-Gruppen-wirbelloser-Tiere.html</t>
    </r>
  </si>
  <si>
    <t>2022-04-13T13:10:18.107Z</t>
  </si>
  <si>
    <t>2024-09-03T06:44:32.195Z</t>
  </si>
  <si>
    <t>Heidi Günthart;Ludwig Paravicini;Daniel Burckhardt (1953)</t>
  </si>
  <si>
    <t>42f16043-2d0f-4395-9cee-c6173257f6e6</t>
  </si>
  <si>
    <t>NMB-HYMEN</t>
  </si>
  <si>
    <t>Estimated number of specimens (individuals): 270´000. Formation period: 1874-ongoing. Geologic period: Present. Estimated number of species: 13´000. Number of types: 2´500 (Holo- and Lectotypes: 2´400,  Syntypes: 0). SCSPS: 6 [Seraina Klopfstein, updated 2021-11-08]</t>
  </si>
  <si>
    <t>2022-04-13T13:10:17.041Z</t>
  </si>
  <si>
    <t>2024-09-03T06:44:29.573Z</t>
  </si>
  <si>
    <t>World. Main countries of origin: CH|IN|BT|NP|SA</t>
  </si>
  <si>
    <t>Felix Santschi;Theodor Steck;Cesare Baroni-Urbani</t>
  </si>
  <si>
    <t>Formation period: 1874-ongoing</t>
  </si>
  <si>
    <t>7f58b21b-fef8-477e-95f3-39642f2fc40b</t>
  </si>
  <si>
    <t>NMB-INSEC</t>
  </si>
  <si>
    <t>Insecta (others)</t>
  </si>
  <si>
    <t>Estimated number of specimens (individuals): 60´000. Formation period: 1880-ongoing. Geologic period: Present. Estimated number of species: 10´000. Number of types: 500 (Holo- and Lectotypes: 300,  unreported number of Syntypes). SCSPS: 6 (for type specimens SCSPS: 5) [Seraina Klopfstein, updated 2021-11-08]</t>
  </si>
  <si>
    <t>SampleDried;SampleFluidPreserved;SampleSlideMount</t>
  </si>
  <si>
    <t>2022-04-13T13:10:15.973Z</t>
  </si>
  <si>
    <t>2024-09-03T06:44:27.230Z</t>
  </si>
  <si>
    <t>Insecta: Insecta (sine Coleoptera; Hymenoptera; Diptera; Lepidoptera; Hemiptera)</t>
  </si>
  <si>
    <r>
      <rPr>
        <sz val="10"/>
        <color indexed="8"/>
        <rFont val="Helvetica Neue"/>
        <family val="2"/>
      </rPr>
      <t xml:space="preserve">Rudolf Meyer-Dür;Hermann Schaefer;Peter Wygodzynski;Eduard Handschin (1894/1962) </t>
    </r>
    <r>
      <rPr>
        <u/>
        <sz val="10"/>
        <color indexed="8"/>
        <rFont val="Helvetica Neue"/>
        <family val="2"/>
      </rPr>
      <t>https://hls-dhs-dss.ch/fr/articles/044917/2007-11-27;Willy</t>
    </r>
    <r>
      <rPr>
        <sz val="10"/>
        <color indexed="8"/>
        <rFont val="Helvetica Neue"/>
        <family val="2"/>
      </rPr>
      <t xml:space="preserve"> Eglin;William Büttiker-Otto</t>
    </r>
  </si>
  <si>
    <t>d3665c8d-d8ec-46b0-a80e-531a3e1c3053</t>
  </si>
  <si>
    <t>NMB-INVER</t>
  </si>
  <si>
    <t>Basale Invertebrata</t>
  </si>
  <si>
    <t>Estimated number of specimens (individuals/ jars/ vials): 3´595. Formation period: 1804-ongoing. Geologic period: Present. Estimated number of species: 1´310. Number of types: 206 (Holo- and Lectotypes: 151,  Syntypes: 40). SCSPS: 6 (for type specimens SCSPS: 8) [Eduard Stöckli, updated 2021-10-08]</t>
  </si>
  <si>
    <t>2022-04-13T13:10:14.587Z</t>
  </si>
  <si>
    <t>2024-09-03T06:44:24.747Z</t>
  </si>
  <si>
    <t>Invertebrata: Porifera; Cnidaria; Echinoderma; Annelida; Plathelminthes; Nematoda</t>
  </si>
  <si>
    <t>Asia tropical|Asia Temperate|Europe. Main countries of origin: CN|ID|LK|CH</t>
  </si>
  <si>
    <r>
      <rPr>
        <sz val="10"/>
        <color indexed="8"/>
        <rFont val="Helvetica Neue"/>
        <family val="2"/>
      </rPr>
      <t xml:space="preserve">Paul Baron von Rautenfeld;Hieronymus Bernoulli;Paul Sarasin;Fritz Sarasin (1859/1942) </t>
    </r>
    <r>
      <rPr>
        <u/>
        <sz val="10"/>
        <color indexed="8"/>
        <rFont val="Helvetica Neue"/>
        <family val="2"/>
      </rPr>
      <t>https://viaf.org/viaf/64167248;Jean</t>
    </r>
    <r>
      <rPr>
        <sz val="10"/>
        <color indexed="8"/>
        <rFont val="Helvetica Neue"/>
        <family val="2"/>
      </rPr>
      <t xml:space="preserve"> Roux (1879/1939) </t>
    </r>
    <r>
      <rPr>
        <u/>
        <sz val="10"/>
        <color indexed="8"/>
        <rFont val="Helvetica Neue"/>
        <family val="2"/>
      </rPr>
      <t>https://viaf.org/viaf/305239428;Felix</t>
    </r>
    <r>
      <rPr>
        <sz val="10"/>
        <color indexed="8"/>
        <rFont val="Helvetica Neue"/>
        <family val="2"/>
      </rPr>
      <t xml:space="preserve"> Wiedenmeyer;Michelle Glasstetter;Gustav Schneider</t>
    </r>
  </si>
  <si>
    <t>134b83e3-a410-4941-a10a-7ce311f9f260</t>
  </si>
  <si>
    <t>NMB-LEPID</t>
  </si>
  <si>
    <t>Estimated number of specimens (individuals): 300´000. Formation period: 1880-ongoing. Geologic period: Present. Estimated number of species: 20´000. Number of types: 250 (Holo- and Lectotypes: 200,  Syntypes: 0). SCSPS: 6 (for type specimens SCSPS: 5) [Seraina Klopfstein, updated 2021-11-08]</t>
  </si>
  <si>
    <r>
      <rPr>
        <u/>
        <sz val="10"/>
        <color indexed="8"/>
        <rFont val="Helvetica Neue"/>
        <family val="2"/>
      </rPr>
      <t>https://www.nmbs.ch/home/museum/sammlungen/biowissenschaftlich/wirbeltiere/amphibien-und-reptilien.html</t>
    </r>
  </si>
  <si>
    <t>2022-04-13T13:10:13.357Z</t>
  </si>
  <si>
    <t>2024-09-03T06:44:22.189Z</t>
  </si>
  <si>
    <r>
      <rPr>
        <sz val="10"/>
        <color indexed="8"/>
        <rFont val="Helvetica Neue"/>
        <family val="2"/>
      </rPr>
      <t xml:space="preserve">Friedrich Riggenbach-Stehlin (1821/1914) </t>
    </r>
    <r>
      <rPr>
        <u/>
        <sz val="10"/>
        <color indexed="8"/>
        <rFont val="Helvetica Neue"/>
        <family val="2"/>
      </rPr>
      <t>https://hls-dhs-dss.ch/de/articles/029911/2010-11-05;Ludwig</t>
    </r>
    <r>
      <rPr>
        <sz val="10"/>
        <color indexed="8"/>
        <rFont val="Helvetica Neue"/>
        <family val="2"/>
      </rPr>
      <t xml:space="preserve"> Georg Courvoisier (1843/1918) </t>
    </r>
    <r>
      <rPr>
        <u/>
        <sz val="10"/>
        <color indexed="8"/>
        <rFont val="Helvetica Neue"/>
        <family val="2"/>
      </rPr>
      <t>https://viaf.org/viaf/796399;Henry</t>
    </r>
    <r>
      <rPr>
        <sz val="10"/>
        <color indexed="8"/>
        <rFont val="Helvetica Neue"/>
        <family val="2"/>
      </rPr>
      <t xml:space="preserve"> Beuret (1901/1961);Arnold Corti (1873/1932) </t>
    </r>
    <r>
      <rPr>
        <u/>
        <sz val="10"/>
        <color indexed="8"/>
        <rFont val="Helvetica Neue"/>
        <family val="2"/>
      </rPr>
      <t>https://hls-dhs-dss.ch/fr/articles/042875/2005-01-20;Johann</t>
    </r>
    <r>
      <rPr>
        <sz val="10"/>
        <color indexed="8"/>
        <rFont val="Helvetica Neue"/>
        <family val="2"/>
      </rPr>
      <t xml:space="preserve"> Müller-Rutz (1854/1944) </t>
    </r>
    <r>
      <rPr>
        <u/>
        <sz val="10"/>
        <color indexed="8"/>
        <rFont val="Helvetica Neue"/>
        <family val="2"/>
      </rPr>
      <t>https://viaf.org/viaf/311194627;Gian-Carlo</t>
    </r>
    <r>
      <rPr>
        <sz val="10"/>
        <color indexed="8"/>
        <rFont val="Helvetica Neue"/>
        <family val="2"/>
      </rPr>
      <t xml:space="preserve"> Veronese</t>
    </r>
  </si>
  <si>
    <t>785387b8-297e-4946-96c6-a4818d2be380</t>
  </si>
  <si>
    <t>NMB-MOLLU</t>
  </si>
  <si>
    <t>Estimated number of specimens (individuals/ jars/ microscope slides): 47´518. Formation period: 1737-ongoing. Geologic period: Present. Estimated number of species: 11´943. Number of types: 1´195 (Holo- and Lectotypes: 161,  Syntypes: 161). SCSPS: 6 (for type specimens SCSPS: 8) [Holger Frick, updated 2021-06-30]</t>
  </si>
  <si>
    <t>2022-04-13T13:10:12.258Z</t>
  </si>
  <si>
    <t>2024-09-03T06:44:19.567Z</t>
  </si>
  <si>
    <t>Europe|Asia tropical|Asia Temperate|North America|South America. Main countries of origin: CH|ID|DE|FR|IT|JP|US|VE</t>
  </si>
  <si>
    <r>
      <rPr>
        <sz val="10"/>
        <color indexed="8"/>
        <rFont val="Helvetica Neue"/>
        <family val="2"/>
      </rPr>
      <t xml:space="preserve">Paul Bohny (1882/1962);Lothar Forcart;Eugen Paravicini (1889/1945);Christian Friedrich Schönbein;Paul Sarasin;Fritz Sarasin (1859/1942) </t>
    </r>
    <r>
      <rPr>
        <u/>
        <sz val="10"/>
        <color indexed="8"/>
        <rFont val="Helvetica Neue"/>
        <family val="2"/>
      </rPr>
      <t>https://viaf.org/viaf/64167248</t>
    </r>
  </si>
  <si>
    <t>Formation period: 1737-ongoing</t>
  </si>
  <si>
    <t>c62a762a-3511-48a9-93d7-eaae0bd81e1b</t>
  </si>
  <si>
    <t>NMB-AMPH</t>
  </si>
  <si>
    <t>Estimated number of specimens (individuals): 8´879. Formation period: 1813-ongoing. Geologic period: Present. Estimated number of species: 926. Number of types: 272 (Holo- and Lectotypes: 36,  Syntypes: 1). SCSPS: 8 [David Marques, updated 2021-08-25]</t>
  </si>
  <si>
    <r>
      <rPr>
        <u/>
        <sz val="10"/>
        <color indexed="8"/>
        <rFont val="Helvetica Neue"/>
        <family val="2"/>
      </rPr>
      <t>david.marques@bs.ch</t>
    </r>
  </si>
  <si>
    <t>2022-04-13T13:10:11.015Z</t>
  </si>
  <si>
    <t>2024-09-03T06:44:16.964Z</t>
  </si>
  <si>
    <r>
      <rPr>
        <sz val="10"/>
        <color indexed="8"/>
        <rFont val="Helvetica Neue"/>
        <family val="2"/>
      </rPr>
      <t xml:space="preserve">David Marques +41 61 266 55 31 </t>
    </r>
    <r>
      <rPr>
        <u/>
        <sz val="10"/>
        <color indexed="8"/>
        <rFont val="Helvetica Neue"/>
        <family val="2"/>
      </rPr>
      <t>david.marques@bs.ch</t>
    </r>
    <r>
      <rPr>
        <sz val="10"/>
        <color indexed="8"/>
        <rFont val="Helvetica Neue"/>
        <family val="2"/>
      </rPr>
      <t xml:space="preserve"> Curator</t>
    </r>
  </si>
  <si>
    <t>World. Main countries of origin: CH|IN|LK|BT|US|PG</t>
  </si>
  <si>
    <r>
      <rPr>
        <sz val="10"/>
        <color indexed="8"/>
        <rFont val="Helvetica Neue"/>
        <family val="2"/>
      </rPr>
      <t xml:space="preserve">Othmar Stemmler;Eugen Kramer;Paul Sarasin;Fritz Sarasin (1859/1942) </t>
    </r>
    <r>
      <rPr>
        <u/>
        <sz val="10"/>
        <color indexed="8"/>
        <rFont val="Helvetica Neue"/>
        <family val="2"/>
      </rPr>
      <t>https://viaf.org/viaf/64167248;Albert</t>
    </r>
    <r>
      <rPr>
        <sz val="10"/>
        <color indexed="8"/>
        <rFont val="Helvetica Neue"/>
        <family val="2"/>
      </rPr>
      <t xml:space="preserve"> Monard (1886/1952) </t>
    </r>
    <r>
      <rPr>
        <u/>
        <sz val="10"/>
        <color indexed="8"/>
        <rFont val="Helvetica Neue"/>
        <family val="2"/>
      </rPr>
      <t>https://viaf.org/viaf/8185896;Johann</t>
    </r>
    <r>
      <rPr>
        <sz val="10"/>
        <color indexed="8"/>
        <rFont val="Helvetica Neue"/>
        <family val="2"/>
      </rPr>
      <t xml:space="preserve"> Friedrich Klapperich (1913/1987);Sibylle Klapperich;Felix Speiser;Heini Hediger (1908/1992) </t>
    </r>
    <r>
      <rPr>
        <u/>
        <sz val="10"/>
        <color indexed="8"/>
        <rFont val="Helvetica Neue"/>
        <family val="2"/>
      </rPr>
      <t>https://viaf.org/viaf/98908495</t>
    </r>
  </si>
  <si>
    <t>Formation period: 1813-ongoing</t>
  </si>
  <si>
    <t>09f3cbca-9764-4169-896d-206c0277c2ee</t>
  </si>
  <si>
    <t>NMB-AVES</t>
  </si>
  <si>
    <t>Estimated number of specimens (individuals): 35´322. Formation period: 1830-ongoing. Geologic period: Present. Estimated number of species: 5´942. Number of types: 107 (Holo- and Lectotypes: 26,  Syntypes: 29). SCSPS: 8 [David Marques, updated 2021-08-25]</t>
  </si>
  <si>
    <r>
      <rPr>
        <u/>
        <sz val="10"/>
        <color indexed="8"/>
        <rFont val="Helvetica Neue"/>
        <family val="2"/>
      </rPr>
      <t>https://www.nmbs.ch/home/museum/sammlungen/biowissenschaftlich/wirbeltiere/voegel.html</t>
    </r>
  </si>
  <si>
    <t>SampleDried;SampleFluidPreserved;StorageFrozenMinus80</t>
  </si>
  <si>
    <t>2022-04-13T13:10:09.791Z</t>
  </si>
  <si>
    <t>2024-09-03T06:44:15.246Z</t>
  </si>
  <si>
    <t>World. Main countries of origin: CH|FR|DE|IT|ID|EC|PE|BR|CD</t>
  </si>
  <si>
    <r>
      <rPr>
        <sz val="10"/>
        <color indexed="8"/>
        <rFont val="Helvetica Neue"/>
        <family val="2"/>
      </rPr>
      <t xml:space="preserve">Thorkild Andersen;Steffen Gysel;Paul Sarasin;Fritz Sarasin (1859/1942) </t>
    </r>
    <r>
      <rPr>
        <u/>
        <sz val="10"/>
        <color indexed="8"/>
        <rFont val="Helvetica Neue"/>
        <family val="2"/>
      </rPr>
      <t>https://viaf.org/viaf/64167248;Alfred</t>
    </r>
    <r>
      <rPr>
        <sz val="10"/>
        <color indexed="8"/>
        <rFont val="Helvetica Neue"/>
        <family val="2"/>
      </rPr>
      <t xml:space="preserve"> Bühler (1900/1981) </t>
    </r>
    <r>
      <rPr>
        <u/>
        <sz val="10"/>
        <color indexed="8"/>
        <rFont val="Helvetica Neue"/>
        <family val="2"/>
      </rPr>
      <t>https://viaf.org/viaf/110897029;Ernst</t>
    </r>
    <r>
      <rPr>
        <sz val="10"/>
        <color indexed="8"/>
        <rFont val="Helvetica Neue"/>
        <family val="2"/>
      </rPr>
      <t xml:space="preserve"> Sutter (1914/1999) </t>
    </r>
    <r>
      <rPr>
        <u/>
        <sz val="10"/>
        <color indexed="8"/>
        <rFont val="Helvetica Neue"/>
        <family val="2"/>
      </rPr>
      <t>https://viaf.org/viaf/311424979</t>
    </r>
  </si>
  <si>
    <t>a20a4256-4cbf-416c-b0c7-904432ccf544</t>
  </si>
  <si>
    <t>NMB-MAMM</t>
  </si>
  <si>
    <t>Estimated number of specimens (individuals): 10´155. Formation period: 1823-ongoing. Geologic period: Present. Estimated number of species: 1´524. Number of types: 129 (Holo- and Lectotypes: 48,  Syntypes: 40). SCSPS: 8 [David Marques, updated 2021-08-25]</t>
  </si>
  <si>
    <r>
      <rPr>
        <u/>
        <sz val="10"/>
        <color indexed="8"/>
        <rFont val="Helvetica Neue"/>
        <family val="2"/>
      </rPr>
      <t>https://www.nmbs.ch/home/museum/sammlungen/biowissenschaftlich/wirbeltiere/saeuger.html</t>
    </r>
  </si>
  <si>
    <t>2022-04-13T13:10:08.412Z</t>
  </si>
  <si>
    <t>2024-09-03T06:44:13.764Z</t>
  </si>
  <si>
    <t>World. Main countries of origin: CD|CH|ID|AO|ZA|BR</t>
  </si>
  <si>
    <r>
      <rPr>
        <sz val="10"/>
        <color indexed="8"/>
        <rFont val="Helvetica Neue"/>
        <family val="2"/>
      </rPr>
      <t xml:space="preserve">Urs Rahm;Paul Sarasin;Fritz Sarasin (1859/1942) </t>
    </r>
    <r>
      <rPr>
        <u/>
        <sz val="10"/>
        <color indexed="8"/>
        <rFont val="Helvetica Neue"/>
        <family val="2"/>
      </rPr>
      <t>https://viaf.org/viaf/64167248;Jean</t>
    </r>
    <r>
      <rPr>
        <sz val="10"/>
        <color indexed="8"/>
        <rFont val="Helvetica Neue"/>
        <family val="2"/>
      </rPr>
      <t xml:space="preserve"> Roux (1879/1939) </t>
    </r>
    <r>
      <rPr>
        <u/>
        <sz val="10"/>
        <color indexed="8"/>
        <rFont val="Helvetica Neue"/>
        <family val="2"/>
      </rPr>
      <t>https://viaf.org/viaf/305239428</t>
    </r>
  </si>
  <si>
    <t>Formation period: 1823-ongoing</t>
  </si>
  <si>
    <t>b15c0f81-34f0-4917-965d-21f604c0f244</t>
  </si>
  <si>
    <t>NMB-PISC</t>
  </si>
  <si>
    <t>Estimated number of specimens (individuals): 6´579. Formation period: 1810-ongoing. Geologic period: Present. Estimated number of species: 1´638. Number of types: 209 (Holo- and Lectotypes: 18,  Syntypes: 81). SCSPS: 8 [David Marques, updated 2021-08-25]</t>
  </si>
  <si>
    <r>
      <rPr>
        <u/>
        <sz val="10"/>
        <color indexed="8"/>
        <rFont val="Helvetica Neue"/>
        <family val="2"/>
      </rPr>
      <t>https://www.nmbs.ch/home/museum/sammlungen/biowissenschaftlich/wirbeltiere/fische.html</t>
    </r>
  </si>
  <si>
    <t>2022-04-13T13:10:06.976Z</t>
  </si>
  <si>
    <t>2024-09-03T06:44:12.307Z</t>
  </si>
  <si>
    <t>Chordata: Actinopterygii; Cephalaspidomorphi; Elasmobranchii; Myxini; Sarcopterygii</t>
  </si>
  <si>
    <t>World. Main countries of origin: ID|SA|CD|LK|CH|BR|FR</t>
  </si>
  <si>
    <r>
      <rPr>
        <sz val="10"/>
        <color indexed="8"/>
        <rFont val="Helvetica Neue"/>
        <family val="2"/>
      </rPr>
      <t xml:space="preserve">William Büttiker-Otto;Alfred Bühler (1900/1981) </t>
    </r>
    <r>
      <rPr>
        <u/>
        <sz val="10"/>
        <color indexed="8"/>
        <rFont val="Helvetica Neue"/>
        <family val="2"/>
      </rPr>
      <t>https://viaf.org/viaf/110897029;Ernst</t>
    </r>
    <r>
      <rPr>
        <sz val="10"/>
        <color indexed="8"/>
        <rFont val="Helvetica Neue"/>
        <family val="2"/>
      </rPr>
      <t xml:space="preserve"> Sutter (1914/1999) </t>
    </r>
    <r>
      <rPr>
        <u/>
        <sz val="10"/>
        <color indexed="8"/>
        <rFont val="Helvetica Neue"/>
        <family val="2"/>
      </rPr>
      <t>https://viaf.org/viaf/311424979;Emil</t>
    </r>
    <r>
      <rPr>
        <sz val="10"/>
        <color indexed="8"/>
        <rFont val="Helvetica Neue"/>
        <family val="2"/>
      </rPr>
      <t xml:space="preserve"> August Goeldi;Anton von Mechel</t>
    </r>
  </si>
  <si>
    <t>Formation period: 1810-ongoing</t>
  </si>
  <si>
    <t>778aecf9-2ba4-4fff-966e-8d5945ae67d6</t>
  </si>
  <si>
    <t>NMB-REPT</t>
  </si>
  <si>
    <t>Estimated number of specimens (individuals): 23´711. Formation period: 1806-ongoing. Geologic period: Present. Estimated number of species: 3´053. Number of types: 387 (Holo- and Lectotypes: 123,  Syntypes: 55). SCSPS: 8 [David Marques, updated 2021-08-25]</t>
  </si>
  <si>
    <t>2022-04-13T13:10:05.754Z</t>
  </si>
  <si>
    <t>2024-09-03T06:44:10.598Z</t>
  </si>
  <si>
    <t>World. Main countries of origin: ID|IT|MA|PG|CH|SB|NC|LK|DO|BR</t>
  </si>
  <si>
    <r>
      <rPr>
        <sz val="10"/>
        <color indexed="8"/>
        <rFont val="Helvetica Neue"/>
        <family val="2"/>
      </rPr>
      <t xml:space="preserve">Eugen Kramer;Johann Friedrich Klapperich (1913/1987);Sibylle Klapperich;Othmar Stemmler;Eugen Paravicini (1889/1945);Paul Wirz;Fritz Sarasin (1859/1942) </t>
    </r>
    <r>
      <rPr>
        <u/>
        <sz val="10"/>
        <color indexed="8"/>
        <rFont val="Helvetica Neue"/>
        <family val="2"/>
      </rPr>
      <t>https://viaf.org/viaf/64167248;Jean</t>
    </r>
    <r>
      <rPr>
        <sz val="10"/>
        <color indexed="8"/>
        <rFont val="Helvetica Neue"/>
        <family val="2"/>
      </rPr>
      <t xml:space="preserve"> Roux (1879/1939) </t>
    </r>
    <r>
      <rPr>
        <u/>
        <sz val="10"/>
        <color indexed="8"/>
        <rFont val="Helvetica Neue"/>
        <family val="2"/>
      </rPr>
      <t>https://viaf.org/viaf/305239428;Walter</t>
    </r>
    <r>
      <rPr>
        <sz val="10"/>
        <color indexed="8"/>
        <rFont val="Helvetica Neue"/>
        <family val="2"/>
      </rPr>
      <t xml:space="preserve"> Zinniker;Paul Sarasin</t>
    </r>
  </si>
  <si>
    <t>Formation period: 1806-ongoing</t>
  </si>
  <si>
    <t>38dc6a82-622b-41f3-b877-64e1e3e66b32</t>
  </si>
  <si>
    <t>NMB-RVERT</t>
  </si>
  <si>
    <t>rezente Vertebrata</t>
  </si>
  <si>
    <t>Estimated number of specimens (individuals): 25´000. Formation period: 1855-ongoing. Geologic period: Present. Estimated number of species: 2´000. Number of types: unknown. SCSPS: 8 [Loïc Costeur, updated 2021-09-17]</t>
  </si>
  <si>
    <r>
      <rPr>
        <u/>
        <sz val="10"/>
        <color indexed="8"/>
        <rFont val="Helvetica Neue"/>
        <family val="2"/>
      </rPr>
      <t>loic.costeur@bs.ch</t>
    </r>
  </si>
  <si>
    <r>
      <rPr>
        <u/>
        <sz val="10"/>
        <color indexed="8"/>
        <rFont val="Helvetica Neue"/>
        <family val="2"/>
      </rPr>
      <t>https://www.nmbs.ch/home/museum/sammlungen/geowissenschaftlich/palaeontologie-wirbeltiere/rezente-saeugetiere.html</t>
    </r>
  </si>
  <si>
    <t>2022-04-13T13:10:04.748Z</t>
  </si>
  <si>
    <t>2024-09-03T06:44:09.102Z</t>
  </si>
  <si>
    <r>
      <rPr>
        <sz val="10"/>
        <color indexed="8"/>
        <rFont val="Helvetica Neue"/>
        <family val="2"/>
      </rPr>
      <t xml:space="preserve">Florian Dammeyer +41 61 266 55 22 </t>
    </r>
    <r>
      <rPr>
        <u/>
        <sz val="10"/>
        <color indexed="8"/>
        <rFont val="Helvetica Neue"/>
        <family val="2"/>
      </rPr>
      <t>florian.dammeyer@bs.ch</t>
    </r>
    <r>
      <rPr>
        <sz val="10"/>
        <color indexed="8"/>
        <rFont val="Helvetica Neue"/>
        <family val="2"/>
      </rPr>
      <t xml:space="preserve"> Collection Manager;Loïc Costeur +41 61 266 55 87 </t>
    </r>
    <r>
      <rPr>
        <u/>
        <sz val="10"/>
        <color indexed="8"/>
        <rFont val="Helvetica Neue"/>
        <family val="2"/>
      </rPr>
      <t>loic.costeur@bs.ch</t>
    </r>
    <r>
      <rPr>
        <sz val="10"/>
        <color indexed="8"/>
        <rFont val="Helvetica Neue"/>
        <family val="2"/>
      </rPr>
      <t xml:space="preserve"> Curator</t>
    </r>
  </si>
  <si>
    <t>Switzerland|Europe|Asia Temperate|Asia Tropical| Africa|Americas. Main countries of origin: CH|DE|FR|CG|ID|GN|CI</t>
  </si>
  <si>
    <r>
      <rPr>
        <sz val="10"/>
        <color indexed="8"/>
        <rFont val="Helvetica Neue"/>
        <family val="2"/>
      </rPr>
      <t xml:space="preserve">Ludwig Rütimeyer;Paul Sarasin;Fritz Sarasin (1859/1942) </t>
    </r>
    <r>
      <rPr>
        <u/>
        <sz val="10"/>
        <color indexed="8"/>
        <rFont val="Helvetica Neue"/>
        <family val="2"/>
      </rPr>
      <t>https://viaf.org/viaf/64167248;Gustav</t>
    </r>
    <r>
      <rPr>
        <sz val="10"/>
        <color indexed="8"/>
        <rFont val="Helvetica Neue"/>
        <family val="2"/>
      </rPr>
      <t xml:space="preserve"> Schneider;Marc Colyn;Urs Rahm;Raffael Winkler</t>
    </r>
  </si>
  <si>
    <t>Formation period: 1855-ongoing</t>
  </si>
  <si>
    <t>b904a232-923d-46a0-90d9-c08a64366ec0</t>
  </si>
  <si>
    <t>NMB-FVERT</t>
  </si>
  <si>
    <t>Fossil Vertebrata</t>
  </si>
  <si>
    <t>Estimated number of specimens (individuals/ lots): 500´000. Formation period: 1769-ongoing. Geologic period: Devonian-Holocene. Estimated number of species: not reported. Number of types: 1´000 (Holo- and Lectotypes: 265,  unreported number of Syntypes). SCSPS: 3 [Loïc Costeur, updated 2021-09-17]</t>
  </si>
  <si>
    <r>
      <rPr>
        <u/>
        <sz val="10"/>
        <color indexed="8"/>
        <rFont val="Helvetica Neue"/>
        <family val="2"/>
      </rPr>
      <t>https://www.nmbs.ch/home/museum/sammlungen/geowissenschaftlich/palaeontologie-wirbeltiere/ausgestorbene-saeugetiere-der-schweiz.html</t>
    </r>
  </si>
  <si>
    <t>2022-04-13T13:10:03.420Z</t>
  </si>
  <si>
    <t>2024-09-03T06:44:07.544Z</t>
  </si>
  <si>
    <t>Switzerland|Europe|Asia|Americas. Main countries of origin: CH|FR|DE|ES|IT|US|SK</t>
  </si>
  <si>
    <r>
      <rPr>
        <sz val="10"/>
        <color indexed="8"/>
        <rFont val="Helvetica Neue"/>
        <family val="2"/>
      </rPr>
      <t xml:space="preserve">Ludwig Rütimeyer;Hans Georg Stehlin (1870/1941) </t>
    </r>
    <r>
      <rPr>
        <u/>
        <sz val="10"/>
        <color indexed="8"/>
        <rFont val="Helvetica Neue"/>
        <family val="2"/>
      </rPr>
      <t>https://viaf.org/viaf/204798629;Pierre</t>
    </r>
    <r>
      <rPr>
        <sz val="10"/>
        <color indexed="8"/>
        <rFont val="Helvetica Neue"/>
        <family val="2"/>
      </rPr>
      <t xml:space="preserve"> Philis;Robert Cartier;Hans Iselin;Charles Immanuel Forsyth Major;Maurice Leriche</t>
    </r>
  </si>
  <si>
    <t>Formation period: 1769-ongoing. Geologic period: Devonian-Holocene</t>
  </si>
  <si>
    <t>39d767a5-5f3a-462d-8546-831bc4c0b492</t>
  </si>
  <si>
    <t>NMB-FPLANT</t>
  </si>
  <si>
    <t>Fossil Plants</t>
  </si>
  <si>
    <t>Estimated number of specimens (individuals/ lots): 7´000. Formation period: 1770-ongoing. Geologic period: Precambrian-Holocene. Estimated number of species: 2´000. Number of types: 0. SCSPS: 4 [Walter Etter, updated 2021-10-12]</t>
  </si>
  <si>
    <r>
      <rPr>
        <u/>
        <sz val="10"/>
        <color indexed="8"/>
        <rFont val="Helvetica Neue"/>
        <family val="2"/>
      </rPr>
      <t>walter.etter@bs.ch</t>
    </r>
  </si>
  <si>
    <r>
      <rPr>
        <u/>
        <sz val="10"/>
        <color indexed="8"/>
        <rFont val="Helvetica Neue"/>
        <family val="2"/>
      </rPr>
      <t>https://www.nmbs.ch/home/museum/sammlungen/geowissenschaftlich/palaeontologie-wirbellose-und-pflanzen/pflanzensammlungen.html</t>
    </r>
  </si>
  <si>
    <t>2022-04-13T13:10:02.546Z</t>
  </si>
  <si>
    <t>2024-09-03T06:44:05.985Z</t>
  </si>
  <si>
    <r>
      <rPr>
        <sz val="10"/>
        <color indexed="8"/>
        <rFont val="Helvetica Neue"/>
        <family val="2"/>
      </rPr>
      <t xml:space="preserve">Janine Mazenauer +41 61 266 55 24 </t>
    </r>
    <r>
      <rPr>
        <u/>
        <sz val="10"/>
        <color indexed="8"/>
        <rFont val="Helvetica Neue"/>
        <family val="2"/>
      </rPr>
      <t>janine.mazenauer@bs.ch</t>
    </r>
    <r>
      <rPr>
        <sz val="10"/>
        <color indexed="8"/>
        <rFont val="Helvetica Neue"/>
        <family val="2"/>
      </rPr>
      <t xml:space="preserve"> Collection Manager;Walter Etter +41 61 266 55 63 </t>
    </r>
    <r>
      <rPr>
        <u/>
        <sz val="10"/>
        <color indexed="8"/>
        <rFont val="Helvetica Neue"/>
        <family val="2"/>
      </rPr>
      <t>walter.etter@bs.ch</t>
    </r>
    <r>
      <rPr>
        <sz val="10"/>
        <color indexed="8"/>
        <rFont val="Helvetica Neue"/>
        <family val="2"/>
      </rPr>
      <t xml:space="preserve"> Curator</t>
    </r>
  </si>
  <si>
    <t>Plantae: Plants</t>
  </si>
  <si>
    <t>Switzerland|Europe|Asia|Americas. Main countries of origin: CH|DE|FR|IT|US</t>
  </si>
  <si>
    <r>
      <rPr>
        <sz val="10"/>
        <color indexed="8"/>
        <rFont val="Helvetica Neue"/>
        <family val="2"/>
      </rPr>
      <t xml:space="preserve">Peter Merian (1795/1883) </t>
    </r>
    <r>
      <rPr>
        <u/>
        <sz val="10"/>
        <color indexed="8"/>
        <rFont val="Helvetica Neue"/>
        <family val="2"/>
      </rPr>
      <t>https://www.wikidata.org/wiki/Q2077023;Johann</t>
    </r>
    <r>
      <rPr>
        <sz val="10"/>
        <color indexed="8"/>
        <rFont val="Helvetica Neue"/>
        <family val="2"/>
      </rPr>
      <t xml:space="preserve"> Jakob d'Annone;Hieronimus Bernoulli;Matthieu Mieg;Carl Cahn-Bronner;Enrique Romano;Annemarie Zbinden</t>
    </r>
  </si>
  <si>
    <t>Formation period: 1770-ongoing. Geologic period: Precambrian-Holocene</t>
  </si>
  <si>
    <t>4ccdf667-73dc-40cc-ba3a-673d8f114c56</t>
  </si>
  <si>
    <t>NMB-MICROPAL</t>
  </si>
  <si>
    <t>Invertebrate Microfossils</t>
  </si>
  <si>
    <t>Estimated number of specimens (microscope slides/ vials): 600´000. Formation period: 1850-ongoing. Geologic period: Permian-Holocene. Estimated number of species: 20´000. Number of types: 720 (Holo- and Lectotypes: 720,  unreported number of Syntypes). SCSPS: 5 (for type specimens SCSPS: 7) [Anonymous, updated 2021-10-19]</t>
  </si>
  <si>
    <t>Paleontological;InvertebrateMicrofossils</t>
  </si>
  <si>
    <r>
      <rPr>
        <u/>
        <sz val="10"/>
        <color indexed="8"/>
        <rFont val="Helvetica Neue"/>
        <family val="2"/>
      </rPr>
      <t>michael.knappertsbusch@bs.ch</t>
    </r>
  </si>
  <si>
    <r>
      <rPr>
        <u/>
        <sz val="10"/>
        <color indexed="8"/>
        <rFont val="Helvetica Neue"/>
        <family val="2"/>
      </rPr>
      <t>https://micropal-basel.unibas.ch/Colls_NMB/MPCOLNMB.HTML</t>
    </r>
  </si>
  <si>
    <t>SampleSlideMount;SampleDried</t>
  </si>
  <si>
    <t>2022-04-13T13:10:01.424Z</t>
  </si>
  <si>
    <t>2024-09-03T06:44:04.450Z</t>
  </si>
  <si>
    <r>
      <rPr>
        <sz val="10"/>
        <color indexed="8"/>
        <rFont val="Helvetica Neue"/>
        <family val="2"/>
      </rPr>
      <t xml:space="preserve">Michael Knappertsbusch +41 61 266 55 64 </t>
    </r>
    <r>
      <rPr>
        <u/>
        <sz val="10"/>
        <color indexed="8"/>
        <rFont val="Helvetica Neue"/>
        <family val="2"/>
      </rPr>
      <t>michael.knappertsbusch@bs.ch</t>
    </r>
    <r>
      <rPr>
        <sz val="10"/>
        <color indexed="8"/>
        <rFont val="Helvetica Neue"/>
        <family val="2"/>
      </rPr>
      <t xml:space="preserve"> Curator</t>
    </r>
  </si>
  <si>
    <t>Protozoa: Foraminifera, Radiolaria, Coccolithophorida, Diatomacea, Ostracoda</t>
  </si>
  <si>
    <t>World. Main countries of origin: CH|ID|TT|DE|FR|IT|NC|OM|MV|MU|MA|SC|US|VE</t>
  </si>
  <si>
    <t>Peter Jung;Franz Leuthardt;Bernard Landau;Alphonse Jeannet;August Tobler;Hans Hess;Perceval de Loriol;John Saunders;Rudolf Rutsch;Carl Renz;Otto Renz;Mathieu Mieg;Peter Merian;Richard Kräusel;Frédéric Louis Koby;Lukas Hottinger;Reinhart Gygi;Eduard Greppin;Arthur Erni;Edouard Desor;Ann Budd;Daniel Bruckner;Daniel Bernoulli;Ernst Baumberger;Victor Gilliéron</t>
  </si>
  <si>
    <t>Formation period: 1850-ongoing. Geologic period: Permian-Holocene</t>
  </si>
  <si>
    <t>0003ea7b-5efa-4b8e-aff0-0ddad31e5655</t>
  </si>
  <si>
    <t>NMB-FTYPEREF</t>
  </si>
  <si>
    <t>Fossil invert-plant-type &amp; reference collection</t>
  </si>
  <si>
    <t>Estimated number of specimens (individuals/ lots/ microscope slides): 260´000. Formation period: 1565-ongoing. Geologic period: not reported. Estimated number of species: 60´000. Number of types: 1´900 (Holo- and Lectotypes: 1´700,  Syntypes: 200). SCSPS: 5 [Walter Etter, updated 2021-10-12]</t>
  </si>
  <si>
    <t>Paleontological;InvertebrateFossils;PlantFossils</t>
  </si>
  <si>
    <r>
      <rPr>
        <u/>
        <sz val="10"/>
        <color indexed="8"/>
        <rFont val="Helvetica Neue"/>
        <family val="2"/>
      </rPr>
      <t>https://www.nmbs.ch/home/museum/sammlungen/geowissenschaftlich/palaeontologie-wirbellose-und-pflanzen/typen-und-Belegsammlungen.html</t>
    </r>
  </si>
  <si>
    <t>2022-04-13T13:10:00.391Z</t>
  </si>
  <si>
    <t>2024-09-03T06:44:02.958Z</t>
  </si>
  <si>
    <r>
      <rPr>
        <sz val="10"/>
        <color indexed="8"/>
        <rFont val="Helvetica Neue"/>
        <family val="2"/>
      </rPr>
      <t xml:space="preserve">Walter Etter +41 61 266 55 63 </t>
    </r>
    <r>
      <rPr>
        <u/>
        <sz val="10"/>
        <color indexed="8"/>
        <rFont val="Helvetica Neue"/>
        <family val="2"/>
      </rPr>
      <t>walter.etter@bs.ch</t>
    </r>
    <r>
      <rPr>
        <sz val="10"/>
        <color indexed="8"/>
        <rFont val="Helvetica Neue"/>
        <family val="2"/>
      </rPr>
      <t xml:space="preserve"> Curator;Janine Mazenauer +41 61 266 55 24 </t>
    </r>
    <r>
      <rPr>
        <u/>
        <sz val="10"/>
        <color indexed="8"/>
        <rFont val="Helvetica Neue"/>
        <family val="2"/>
      </rPr>
      <t>janine.mazenauer@bs.ch</t>
    </r>
    <r>
      <rPr>
        <sz val="10"/>
        <color indexed="8"/>
        <rFont val="Helvetica Neue"/>
        <family val="2"/>
      </rPr>
      <t xml:space="preserve"> Collection Manager</t>
    </r>
  </si>
  <si>
    <t>Switzerland|Europe|Asia Temperate|Asia Tropical| Africa|Americas. Main countries of origin: CH|DE|FR|VE|TT|PA|DO|CR</t>
  </si>
  <si>
    <r>
      <rPr>
        <sz val="10"/>
        <color indexed="8"/>
        <rFont val="Helvetica Neue"/>
        <family val="2"/>
      </rPr>
      <t xml:space="preserve">Peter Jung;Franz Leuthardt (1863/1935);Bernard Landau;Alphonse Jeannet;August Tobler;Hans Hess;Perceval de Loriol (1828/1908) </t>
    </r>
    <r>
      <rPr>
        <u/>
        <sz val="10"/>
        <color indexed="8"/>
        <rFont val="Helvetica Neue"/>
        <family val="2"/>
      </rPr>
      <t>https://viaf.org/viaf/69702353;John</t>
    </r>
    <r>
      <rPr>
        <sz val="10"/>
        <color indexed="8"/>
        <rFont val="Helvetica Neue"/>
        <family val="2"/>
      </rPr>
      <t xml:space="preserve"> Saunders;Rudolf Rutsch;Carl Renz;Otto Renz;Mathieu Mieg;Peter Merian (1795/1883) </t>
    </r>
    <r>
      <rPr>
        <u/>
        <sz val="10"/>
        <color indexed="8"/>
        <rFont val="Helvetica Neue"/>
        <family val="2"/>
      </rPr>
      <t>https://www.wikidata.org/wiki/Q2077023;Richard</t>
    </r>
    <r>
      <rPr>
        <sz val="10"/>
        <color indexed="8"/>
        <rFont val="Helvetica Neue"/>
        <family val="2"/>
      </rPr>
      <t xml:space="preserve"> Kräusel;Frédéric Louis Koby;Lukas Hottinger;Reinhart Gygi;Eduard Greppin;Arthur Erni;Edouard Desor;Ann Budd;Daniel Bruckner;Daniel Bernoulli;Ernst Baumberger (1866/1935) </t>
    </r>
    <r>
      <rPr>
        <u/>
        <sz val="10"/>
        <color indexed="8"/>
        <rFont val="Helvetica Neue"/>
        <family val="2"/>
      </rPr>
      <t>https://hls-dhs-dss.ch/fr/articles/042873/2010-02-25;Victor</t>
    </r>
    <r>
      <rPr>
        <sz val="10"/>
        <color indexed="8"/>
        <rFont val="Helvetica Neue"/>
        <family val="2"/>
      </rPr>
      <t xml:space="preserve"> Gilliéron</t>
    </r>
  </si>
  <si>
    <t>Formation period: 1565-ongoing. Geologic period: not reported</t>
  </si>
  <si>
    <t>3c41e738-b94e-4ed6-a9ae-f57c7baaf521</t>
  </si>
  <si>
    <t>NMB-FOSSREGCOLL</t>
  </si>
  <si>
    <t>Regional Collections of Fossils and Rocks</t>
  </si>
  <si>
    <t>Estimated number of specimens (individuals/ lots): 1´150´000. Formation period: 1770-ongoing. Geologic period: Silurian-Holocene. Estimated number of species: 54´000. Number of types: 0. SCSPS: 5 [Walter Etter, updated 2021-10-13]</t>
  </si>
  <si>
    <t>Paleontological;EarthPlanetary;InvertebrateFossils;Rocks</t>
  </si>
  <si>
    <r>
      <rPr>
        <u/>
        <sz val="10"/>
        <color indexed="8"/>
        <rFont val="Helvetica Neue"/>
        <family val="2"/>
      </rPr>
      <t>https://www.nmbs.ch/home/museum/sammlungen/geowissenschaftlich/palaeontologie-wirbellose-und-pflanzen/systematische-Sammlung.html</t>
    </r>
  </si>
  <si>
    <t>2022-04-13T13:09:59.371Z</t>
  </si>
  <si>
    <t>2024-09-03T06:43:59.898Z</t>
  </si>
  <si>
    <t>Switzerland|Europe|Americas|South-East Asia|Middle East. Main countries of origin: CH|FR|IT|GR|ID|MY|LK|IR|RU|AZ|GE|VE|TT|DO|JM|PA|CR</t>
  </si>
  <si>
    <r>
      <rPr>
        <sz val="10"/>
        <color indexed="8"/>
        <rFont val="Helvetica Neue"/>
        <family val="2"/>
      </rPr>
      <t xml:space="preserve">Peter Merian (1795/1883) </t>
    </r>
    <r>
      <rPr>
        <u/>
        <sz val="10"/>
        <color indexed="8"/>
        <rFont val="Helvetica Neue"/>
        <family val="2"/>
      </rPr>
      <t>https://www.wikidata.org/wiki/Q2077023;Mathieu</t>
    </r>
    <r>
      <rPr>
        <sz val="10"/>
        <color indexed="8"/>
        <rFont val="Helvetica Neue"/>
        <family val="2"/>
      </rPr>
      <t xml:space="preserve"> Mieg;Fritz Woltersdorf;Hans Hess;Reinhart Gygi;Hieronymus Bernoulli;Carl Lüdin (1900/1986);Franz Burri;August Buxtorf;Ernst Baumberger (1866/1935) </t>
    </r>
    <r>
      <rPr>
        <u/>
        <sz val="10"/>
        <color indexed="8"/>
        <rFont val="Helvetica Neue"/>
        <family val="2"/>
      </rPr>
      <t>https://hls-dhs-dss.ch/fr/articles/042873/2010-02-25;August</t>
    </r>
    <r>
      <rPr>
        <sz val="10"/>
        <color indexed="8"/>
        <rFont val="Helvetica Neue"/>
        <family val="2"/>
      </rPr>
      <t xml:space="preserve"> Tobler;Arthur Erni;Peter Bearth;August Buxtorf;Daniel Bernoulli;Léon-Paul Choffat;Mathieu Mieg;Moritz Blumenthal;Friedrich Weber;Lukas Hottinger;Alfred Senn;Hans Kugler;Rudolf Rutsch;Peter Jung;John Saunders;Otto Renz;August Tobler;Walter Bernouilli;Arthur Erni;Jack &amp; Winifred Gibson-Smith</t>
    </r>
  </si>
  <si>
    <t>Formation period: 1770-ongoing. Geologic period: Silurian-Holocene</t>
  </si>
  <si>
    <t>0556dc5a-e819-4664-894d-6c5285245caf</t>
  </si>
  <si>
    <t>NMB-SYSTFINVERT</t>
  </si>
  <si>
    <t>Systematic collection of fossil invertebrates</t>
  </si>
  <si>
    <t>Estimated number of specimens (individuals/ lots): 195´000. Formation period: 1770-ongoing. Geologic period: Late Precambrian-Holocene. Estimated number of species: 15´500. Number of types: 0. SCSPS: 5 [Walter Etter, updated 2021-10-12]</t>
  </si>
  <si>
    <t>2022-04-13T13:09:58.344Z</t>
  </si>
  <si>
    <t>2024-09-03T06:44:01.458Z</t>
  </si>
  <si>
    <t>Switzerland|Europe. Main countries of origin: CH|DE|FR</t>
  </si>
  <si>
    <r>
      <rPr>
        <sz val="10"/>
        <color indexed="8"/>
        <rFont val="Helvetica Neue"/>
        <family val="2"/>
      </rPr>
      <t xml:space="preserve">Peter Merian (1795/1883) </t>
    </r>
    <r>
      <rPr>
        <u/>
        <sz val="10"/>
        <color indexed="8"/>
        <rFont val="Helvetica Neue"/>
        <family val="2"/>
      </rPr>
      <t>https://www.wikidata.org/wiki/Q2077023;Johann</t>
    </r>
    <r>
      <rPr>
        <sz val="10"/>
        <color indexed="8"/>
        <rFont val="Helvetica Neue"/>
        <family val="2"/>
      </rPr>
      <t xml:space="preserve"> Jakob d'Annone;Hieronimus Bernoulli;Matthieu Mieg;Carl Cahn-Bronner;Enrique Romano;Hans Hess;Peter Jung;Ernst Baumberger (1866/1935) </t>
    </r>
    <r>
      <rPr>
        <u/>
        <sz val="10"/>
        <color indexed="8"/>
        <rFont val="Helvetica Neue"/>
        <family val="2"/>
      </rPr>
      <t>https://hls-dhs-dss.ch/fr/articles/042873/2010-02-25;Fritz</t>
    </r>
    <r>
      <rPr>
        <sz val="10"/>
        <color indexed="8"/>
        <rFont val="Helvetica Neue"/>
        <family val="2"/>
      </rPr>
      <t xml:space="preserve"> Woltersdorf;Reinhart Gygi;Annemarie Zbinden</t>
    </r>
  </si>
  <si>
    <t>Formation period: 1770-ongoing. Geologic period: Late Precambrian-Holocene</t>
  </si>
  <si>
    <t>da04e819-c11e-4c98-8acc-8df68c895bb2</t>
  </si>
  <si>
    <t>NMB-DEMOCOL</t>
  </si>
  <si>
    <t>Demo-collection of rocks, fossils and for comparative purposes recent organisms</t>
  </si>
  <si>
    <t>Estimated number of specimens (individuals/ lots): 800. Formation period: 1900-ongoing. Geologic period: Trias-Holocene. Estimated number of species: n/a. Number of types: n/a. SCSPS: 5 [Walter Etter, updated 2021-10-13]</t>
  </si>
  <si>
    <r>
      <rPr>
        <u/>
        <sz val="10"/>
        <color indexed="8"/>
        <rFont val="Helvetica Neue"/>
        <family val="2"/>
      </rPr>
      <t>https://www.nmbs.ch/home/museum/sammlungen/geowissenschaftlich/palaeontologie-wirbellose-und-pflanzen/lehr-und-Demosammlung.html</t>
    </r>
  </si>
  <si>
    <t>2022-04-13T13:09:57.491Z</t>
  </si>
  <si>
    <t>2024-09-03T06:43:58.427Z</t>
  </si>
  <si>
    <t>Invertebrata: Rocks + Invertebrata</t>
  </si>
  <si>
    <t>Switzerland|Europe. Main countries of origin: CH|DE|FR|</t>
  </si>
  <si>
    <t>various authors</t>
  </si>
  <si>
    <t>Formation period: 1900-ongoing. Geologic period: Trias-Holocene</t>
  </si>
  <si>
    <t>98ff2747-23f1-42b1-be26-47df42a2ff5f</t>
  </si>
  <si>
    <t>NMB-ANTHR</t>
  </si>
  <si>
    <t>Estimated number of specimens (individuals): 7´600. Formation period: not reported. Geologic period: Holocene. Estimated number of species: not reported. Number of types: 0. SCSPS: not reported [Gerhard Hotz, updated 2021-10-28]</t>
  </si>
  <si>
    <r>
      <rPr>
        <u/>
        <sz val="10"/>
        <color indexed="8"/>
        <rFont val="Helvetica Neue"/>
        <family val="2"/>
      </rPr>
      <t>gerhard.hotz@bs.ch</t>
    </r>
  </si>
  <si>
    <r>
      <rPr>
        <u/>
        <sz val="10"/>
        <color indexed="8"/>
        <rFont val="Helvetica Neue"/>
        <family val="2"/>
      </rPr>
      <t>https://www.nmbs.ch/home/museum/sammlungen/geowissenschaftlich/anthropologie/</t>
    </r>
  </si>
  <si>
    <t>2022-04-13T13:09:56.225Z</t>
  </si>
  <si>
    <t>2024-09-03T06:43:55.404Z</t>
  </si>
  <si>
    <r>
      <rPr>
        <sz val="10"/>
        <color indexed="8"/>
        <rFont val="Helvetica Neue"/>
        <family val="2"/>
      </rPr>
      <t xml:space="preserve">Gerhard Hotz +41 61 266 55 45 </t>
    </r>
    <r>
      <rPr>
        <u/>
        <sz val="10"/>
        <color indexed="8"/>
        <rFont val="Helvetica Neue"/>
        <family val="2"/>
      </rPr>
      <t>gerhard.hotz@bs.ch</t>
    </r>
    <r>
      <rPr>
        <sz val="10"/>
        <color indexed="8"/>
        <rFont val="Helvetica Neue"/>
        <family val="2"/>
      </rPr>
      <t xml:space="preserve"> Curator</t>
    </r>
  </si>
  <si>
    <t>Switzerland|Europe|Asia Temperate|Asia Tropical| Africa|Americas. Main countries of origin: CH|DE|FR</t>
  </si>
  <si>
    <r>
      <rPr>
        <sz val="10"/>
        <color indexed="8"/>
        <rFont val="Helvetica Neue"/>
        <family val="2"/>
      </rPr>
      <t xml:space="preserve">Paul Sarasin;Fritz Sarasin (1859/1942) </t>
    </r>
    <r>
      <rPr>
        <u/>
        <sz val="10"/>
        <color indexed="8"/>
        <rFont val="Helvetica Neue"/>
        <family val="2"/>
      </rPr>
      <t>https://viaf.org/viaf/64167248;Paul</t>
    </r>
    <r>
      <rPr>
        <sz val="10"/>
        <color indexed="8"/>
        <rFont val="Helvetica Neue"/>
        <family val="2"/>
      </rPr>
      <t xml:space="preserve"> Wirz;Felix Speiser</t>
    </r>
  </si>
  <si>
    <t>Formation period: not reported. Geologic period: Holocene</t>
  </si>
  <si>
    <t>7788a3e8-d552-43ec-9783-a997c3eeb580</t>
  </si>
  <si>
    <t>NMB-MIN</t>
  </si>
  <si>
    <t>Estimated number of specimens (individual specimens): 48´664. Formation period: 1821-ongoing. Geologic period: Archean-Quaternary. Estimated number of species: n/a. Number of types: n/a. SCSPS: 5 (for type specimens SCSPS: 8) [Walter Etter, updated 2021-10-05]</t>
  </si>
  <si>
    <t>2022-04-13T13:09:55.120Z</t>
  </si>
  <si>
    <t>2024-09-03T06:43:56.919Z</t>
  </si>
  <si>
    <r>
      <rPr>
        <sz val="10"/>
        <color indexed="8"/>
        <rFont val="Helvetica Neue"/>
        <family val="2"/>
      </rPr>
      <t xml:space="preserve">André Puschnig +41 61 266 55 86 </t>
    </r>
    <r>
      <rPr>
        <u/>
        <sz val="10"/>
        <color indexed="8"/>
        <rFont val="Helvetica Neue"/>
        <family val="2"/>
      </rPr>
      <t>andre.puschnig@bs.ch</t>
    </r>
    <r>
      <rPr>
        <sz val="10"/>
        <color indexed="8"/>
        <rFont val="Helvetica Neue"/>
        <family val="2"/>
      </rPr>
      <t xml:space="preserve"> Curator</t>
    </r>
  </si>
  <si>
    <t>World. Main countries of origin: CH|DE|FR|US|IT|MX|ZA|RO|GR</t>
  </si>
  <si>
    <r>
      <rPr>
        <sz val="10"/>
        <color indexed="8"/>
        <rFont val="Helvetica Neue"/>
        <family val="2"/>
      </rPr>
      <t xml:space="preserve">Peter Merian (1795/1883) </t>
    </r>
    <r>
      <rPr>
        <u/>
        <sz val="10"/>
        <color indexed="8"/>
        <rFont val="Helvetica Neue"/>
        <family val="2"/>
      </rPr>
      <t>https://www.wikidata.org/wiki/Q2077023;Friedrich</t>
    </r>
    <r>
      <rPr>
        <sz val="10"/>
        <color indexed="8"/>
        <rFont val="Helvetica Neue"/>
        <family val="2"/>
      </rPr>
      <t xml:space="preserve"> Heusler;Paul Bohny (1882/1962);Erich Offermann;Stefan Graeser;Hieronymus Bernoulli;Hans Sulger;Carl Schmidt;Eduard Wenk;Hans-Rudolf Wenk;Otto Grütter;Herwig Schroer;Gottlob Niethammer;Thomas Engelmann</t>
    </r>
  </si>
  <si>
    <t>Formation period: 1821-ongoing. Geologic period: Archean-Quaternary</t>
  </si>
  <si>
    <t>6b335eff-9c34-4599-8e1f-2c3f3b53c199</t>
  </si>
  <si>
    <t>NMWIN-MIN</t>
  </si>
  <si>
    <t>Estimated number of specimens (individual specimens): 9´000. Formation period: not reported. Geologic period: not reported. Estimated number of species: 410. Number of types: unknown. SCSPS: 6 (for type specimens SCSPS: 0) [Sandra Scherrer, updated 2021-12-03]</t>
  </si>
  <si>
    <t>ZH</t>
  </si>
  <si>
    <r>
      <rPr>
        <u/>
        <sz val="10"/>
        <color indexed="8"/>
        <rFont val="Helvetica Neue"/>
        <family val="2"/>
      </rPr>
      <t>https://stadt.winterthur.ch/naturmuseum/sammlungen</t>
    </r>
  </si>
  <si>
    <t>Institutional</t>
  </si>
  <si>
    <t>Museumsstrasse 52 Winterthur ZH CH-8400 Switzerland</t>
  </si>
  <si>
    <t>Naturmuseum Winterthur, Museumstrasse 52 Winterthur ZH CH-8400 Switzerland</t>
  </si>
  <si>
    <t>2021-09-14T11:56:20.744Z</t>
  </si>
  <si>
    <t>2024-09-04T07:04:34.527Z</t>
  </si>
  <si>
    <t>World. Main countries of origin: CH|BR|DE</t>
  </si>
  <si>
    <t>Heinrich Ganz;Museumsgesellschaft;Johann Jakob Ziegler-Pellis;Eugen Hess;Robert Keller;K. Friedländer</t>
  </si>
  <si>
    <t>e2275ea8-dde4-4878-8743-6bcca57209a0</t>
  </si>
  <si>
    <t>NMWIN-ENTOMO</t>
  </si>
  <si>
    <t>Estimated number of specimens (individual specimens): 70´000. Formation period: 1855-ongoing. Geologic period: Present. Estimated number of species: 1´500. Number of types: unknown. SCSPS: 5 [Sabrina Schnurrenberger, updated 2021-09-03]</t>
  </si>
  <si>
    <t>2021-09-14T11:51:10.655Z</t>
  </si>
  <si>
    <t>2024-09-04T07:04:41.924Z</t>
  </si>
  <si>
    <t>Insecta: Lepidoptera; Coleoptera; Hymenoptera</t>
  </si>
  <si>
    <t>Switzerland|Europe|World. Main countries of origin: CH|LI|DE|AT|PL|FR|IT</t>
  </si>
  <si>
    <t>Broad regional collection, some worldwide</t>
  </si>
  <si>
    <r>
      <rPr>
        <sz val="10"/>
        <color indexed="8"/>
        <rFont val="Helvetica Neue"/>
        <family val="2"/>
      </rPr>
      <t xml:space="preserve">Henri Ernst;Jakob Heinrich Troll;Eduard Sulzer-Steiner;Fritz Sulzer;Schnebli;August Gramann (1876/1936);Robert Stierlin (1862/1928) </t>
    </r>
    <r>
      <rPr>
        <u/>
        <sz val="10"/>
        <color indexed="8"/>
        <rFont val="Helvetica Neue"/>
        <family val="2"/>
      </rPr>
      <t>https://hls-dhs-dss.ch/fr/articles/023361/2013-11-26;Theodor</t>
    </r>
    <r>
      <rPr>
        <sz val="10"/>
        <color indexed="8"/>
        <rFont val="Helvetica Neue"/>
        <family val="2"/>
      </rPr>
      <t xml:space="preserve"> Witzig;Robert Biedermann-Mantel;Robert Sulzer-Forrer;Heinz Rutz</t>
    </r>
  </si>
  <si>
    <t>03c1c33e-e764-4281-983b-7c87a8a59cdb</t>
  </si>
  <si>
    <t>NMB-ACARI</t>
  </si>
  <si>
    <t>Estimated number of specimens (microscope slides/ vials): 15´225. Formation period: 1891-ongoing. Geologic period: Present. Estimated number of species: 1´984. Number of types: 1´693 (Holo- and Lectotypes: 463,  Syntypes: 502). SCSPS: 5 [Holger Frick, updated 2021-07-08]</t>
  </si>
  <si>
    <t>BS</t>
  </si>
  <si>
    <r>
      <rPr>
        <u/>
        <sz val="10"/>
        <color indexed="8"/>
        <rFont val="Helvetica Neue"/>
        <family val="2"/>
      </rPr>
      <t>https://www.nmbs.ch/home/museum/sammlungen/biowissenschaftlich/uebrige-wirbellose-Tiere/milben.html</t>
    </r>
  </si>
  <si>
    <t>Augustinergasse 2 Basel BS CH-4001 Switzerland</t>
  </si>
  <si>
    <t>Naturhistorisches Museum Basel, Augustinergasse 2 Basel BS CH-4051 Switzerland</t>
  </si>
  <si>
    <t>2021-09-14T08:58:18.979Z</t>
  </si>
  <si>
    <t>2024-09-03T06:44:47.480Z</t>
  </si>
  <si>
    <t>Switzerland. Main countries of origin: CH|IR|SA</t>
  </si>
  <si>
    <t>Josef Schweizer;Carl Bader (1910/1997);Charles Walter;William Büttiker-Otto</t>
  </si>
  <si>
    <t>Formation period: 1891-ongoing</t>
  </si>
  <si>
    <t>9daf4b16-3dfe-4807-9e7b-78873b7d0d5d</t>
  </si>
  <si>
    <t>ZSS</t>
  </si>
  <si>
    <t>Herbarium - Sukkulenten-Sammlung Zürich</t>
  </si>
  <si>
    <r>
      <rPr>
        <u/>
        <sz val="10"/>
        <color indexed="8"/>
        <rFont val="Helvetica Neue"/>
        <family val="2"/>
      </rPr>
      <t>david.preiswerk@zuerich.ch</t>
    </r>
  </si>
  <si>
    <t>[41] 44 412 12 94 (direct);[41] 44 412 12 80</t>
  </si>
  <si>
    <r>
      <rPr>
        <u/>
        <sz val="10"/>
        <color indexed="8"/>
        <rFont val="Helvetica Neue"/>
        <family val="2"/>
      </rPr>
      <t>http://www.stadt-zuerich.ch/sukkulenten</t>
    </r>
  </si>
  <si>
    <t>Sukkulenten-Sammlung Zürich</t>
  </si>
  <si>
    <t>6b812cf9-6499-4d91-a5ff-c14c8d7d2600</t>
  </si>
  <si>
    <t>Mythenquai 88 Zürich CH-8002 Switzerland</t>
  </si>
  <si>
    <t>ih-sync</t>
  </si>
  <si>
    <t>2020-03-31T12:59:36.062Z</t>
  </si>
  <si>
    <t>2024-10-30T10:56:32.146Z</t>
  </si>
  <si>
    <t>gbif:ih:irn:126089</t>
  </si>
  <si>
    <r>
      <rPr>
        <sz val="10"/>
        <color indexed="8"/>
        <rFont val="Helvetica Neue"/>
        <family val="2"/>
      </rPr>
      <t xml:space="preserve">Urs Eggli </t>
    </r>
    <r>
      <rPr>
        <u/>
        <sz val="10"/>
        <color indexed="8"/>
        <rFont val="Helvetica Neue"/>
        <family val="2"/>
      </rPr>
      <t>urs.eggli@zuerich.ch</t>
    </r>
    <r>
      <rPr>
        <sz val="10"/>
        <color indexed="8"/>
        <rFont val="Helvetica Neue"/>
        <family val="2"/>
      </rPr>
      <t xml:space="preserve"> Botanist in Charge</t>
    </r>
  </si>
  <si>
    <r>
      <rPr>
        <u/>
        <sz val="10"/>
        <color indexed="8"/>
        <rFont val="Helvetica Neue"/>
        <family val="2"/>
      </rPr>
      <t>ih.gbif.org</t>
    </r>
    <r>
      <rPr>
        <sz val="10"/>
        <color indexed="8"/>
        <rFont val="Helvetica Neue"/>
        <family val="2"/>
      </rPr>
      <t>:importantCollectorsDescriptorGroupKey:1616</t>
    </r>
  </si>
  <si>
    <t>Succulent plants, especially Cactaceae, Crassulaceae, Aizoaceae, Asclepiadaceae, Euphorbiaceae, Portulacaceae, and Aloaceae</t>
  </si>
  <si>
    <t>Worldwide</t>
  </si>
  <si>
    <t>Updated Apr 2010.  No loans of spirit material or boxed specimens. Collection under protection of International Organization of Succulent Plant Study. ZSS is an IOS-affiliated Reserve Collection and Herbarium.</t>
  </si>
  <si>
    <t>IH</t>
  </si>
  <si>
    <t>3c6da15b-a16c-4228-9611-d2fc1bf8af97</t>
  </si>
  <si>
    <t>UNIBAS:HERBARIA-BASBG</t>
  </si>
  <si>
    <t>Herbarium of the Basel Botanical Society</t>
  </si>
  <si>
    <t>Estimated number of specimens (individual specimen): 403´218. Formation period: 1880-ongoing. Geologic period: Present. Estimated number of species: 21´500. Number of types: 400 (Holo- and Lectotypes: 200,  unreported number of Syntypes). SCSPS: 7 [Jurriaan de Vos, updated 2021-12-08]</t>
  </si>
  <si>
    <r>
      <rPr>
        <u/>
        <sz val="10"/>
        <color indexed="8"/>
        <rFont val="Helvetica Neue"/>
        <family val="2"/>
      </rPr>
      <t>herbarium@unibas.ch</t>
    </r>
  </si>
  <si>
    <t>[41] 61 207 58 46</t>
  </si>
  <si>
    <r>
      <rPr>
        <u/>
        <sz val="10"/>
        <color indexed="8"/>
        <rFont val="Helvetica Neue"/>
        <family val="2"/>
      </rPr>
      <t>https://herbarium.unibas.ch</t>
    </r>
  </si>
  <si>
    <t>Universität Basel, Herbarium</t>
  </si>
  <si>
    <t>UNIBAS:HERBARIA</t>
  </si>
  <si>
    <t>cc775ae7-70ec-4a4e-aeaa-2653708ca2ac</t>
  </si>
  <si>
    <t>Schönbeinstrasse 6 Basel CH-4056 Switzerland</t>
  </si>
  <si>
    <t>2020-03-31T12:58:25.953Z</t>
  </si>
  <si>
    <t>2024-09-04T06:37:41.256Z</t>
  </si>
  <si>
    <t>gbif:ih:irn:126476</t>
  </si>
  <si>
    <r>
      <rPr>
        <sz val="10"/>
        <color indexed="8"/>
        <rFont val="Helvetica Neue"/>
        <family val="2"/>
      </rPr>
      <t xml:space="preserve">Jurriaan Michiel de Vos </t>
    </r>
    <r>
      <rPr>
        <u/>
        <sz val="10"/>
        <color indexed="8"/>
        <rFont val="Helvetica Neue"/>
        <family val="2"/>
      </rPr>
      <t>jurriaan.devos@unibas.ch</t>
    </r>
    <r>
      <rPr>
        <sz val="10"/>
        <color indexed="8"/>
        <rFont val="Helvetica Neue"/>
        <family val="2"/>
      </rPr>
      <t xml:space="preserve"> Curator</t>
    </r>
  </si>
  <si>
    <t>World. Main countries of origin: CH|FR|TR|ES|IT|GR|DE</t>
  </si>
  <si>
    <t>The BASBG Herbarium of the Basler Botanical Society (BBG) is assembled from about 25 larger donations of private herbaria of members of the society, who mostly collected most specimens themselves, but also acquired material in exchange. Although the BBG was founded in the 1950s, many specimens are older.  Geographic foci include Central Europe, Turkey, Canary Islands, and the Medditeranean Region, but specimens from other areas are also present.</t>
  </si>
  <si>
    <t>W. Baumgartner;R. Bay;E. Berger;W. Blome;R. Engel;P. Güntert;M. Gyhr;R. Haller;F. Heinis;A.;Huber;A.;Huber-Morath;H. Hürlimann;E. Issler;R. Kunz-Anderegg;M. Nydegger;V. Rastetter;Reese;H.;J. Renz;L. Rieber;W. Rütimeyer;K. Schaub;M. Schmidt;C. Simon;E. Tschopp;H. Wirz;H. Zoller.</t>
  </si>
  <si>
    <t>836af357-06e8-4a4f-9511-c3d33155f2b5</t>
  </si>
  <si>
    <t>CJBG-G-PREL</t>
  </si>
  <si>
    <t>Herbier Prelinnean</t>
  </si>
  <si>
    <t>Estimated number of specimens (dried specimens mounted on sheets): 12´209. Formation period: 1650-1780. Geologic period: Present. Estimated number of species: 4´857. Number of types: 800. SCSPS: 5 (for type specimens SCSPS: 6) [Fred Stauffer, updated 2022-04-20]</t>
  </si>
  <si>
    <t>[41] 22 418 51 00</t>
  </si>
  <si>
    <t>Case postale 71 Chambésy/Genève CH-1292 Switzerland</t>
  </si>
  <si>
    <t>2020-03-31T12:49:08.235Z</t>
  </si>
  <si>
    <t>2024-10-16T08:29:25.530Z</t>
  </si>
  <si>
    <t>gbif:ih:irn:124334</t>
  </si>
  <si>
    <t>Worldwide, especially Mediterranean, Middle East, South America, Africa, Madacascar, and regional</t>
  </si>
  <si>
    <t>The Pre-Linnaean Herbarium (G-PREL) is a collection of ancient specimens including collections from the 17th and 18th centuries gathered mainly in Sri Lanka, India, the Cape of Good Hope, Japan and Indonesia.</t>
  </si>
  <si>
    <t>J.&amp; N. Burman &amp; M. Houttuyn</t>
  </si>
  <si>
    <t>Formation period: 1650-1780</t>
  </si>
  <si>
    <t>bdb3660d-2a20-4bad-8993-af16c5fbf502</t>
  </si>
  <si>
    <t>ETHZ-ZT</t>
  </si>
  <si>
    <t>Estimated number of specimens (individual specimens/ microscopic slides/ sample of several species): 2´348´000. Formation period: 1730-ongoing. Geologic period: Present. Estimated number of species: 131´082. Number of types: 11´712 (Holo- and Lectotypes: 500,  Syntypes: 1´312). SCSPS: 8 [Alessia Guggisberg, updated 2022-04-12]</t>
  </si>
  <si>
    <r>
      <rPr>
        <u/>
        <sz val="10"/>
        <color indexed="8"/>
        <rFont val="Helvetica Neue"/>
        <family val="2"/>
      </rPr>
      <t>alessia.guggisberg@usys.ethz.ch</t>
    </r>
  </si>
  <si>
    <r>
      <rPr>
        <u/>
        <sz val="10"/>
        <color indexed="8"/>
        <rFont val="Helvetica Neue"/>
        <family val="2"/>
      </rPr>
      <t>https://www.herbarien.uzh.ch/de.html</t>
    </r>
  </si>
  <si>
    <t>SampleSlideMount;SampleDried;SampleOther;StorageIndoors</t>
  </si>
  <si>
    <t>Eidgenössische Technische Hochschule Zürich</t>
  </si>
  <si>
    <t>ETHZ</t>
  </si>
  <si>
    <t>adee7883-8290-4050-b643-8e2816f92e9a</t>
  </si>
  <si>
    <t>Universitätstrasse 16 Zürich CH-8092 Switzerland</t>
  </si>
  <si>
    <t>Universitätsstrasse 16 Zürich CH-8092 Switzerland</t>
  </si>
  <si>
    <t>2020-03-31T12:44:31.759Z</t>
  </si>
  <si>
    <t>2024-09-03T07:52:21.549Z</t>
  </si>
  <si>
    <t>gbif:ih:irn:124464</t>
  </si>
  <si>
    <r>
      <rPr>
        <sz val="10"/>
        <color indexed="8"/>
        <rFont val="Helvetica Neue"/>
        <family val="2"/>
      </rPr>
      <t xml:space="preserve">Alessia Guggisberg [41] 44 632 74 10 </t>
    </r>
    <r>
      <rPr>
        <u/>
        <sz val="10"/>
        <color indexed="8"/>
        <rFont val="Helvetica Neue"/>
        <family val="2"/>
      </rPr>
      <t>alessia.guggisberg@env.ethz.ch</t>
    </r>
    <r>
      <rPr>
        <sz val="10"/>
        <color indexed="8"/>
        <rFont val="Helvetica Neue"/>
        <family val="2"/>
      </rPr>
      <t xml:space="preserve"> Curator of Phanerogams;Reinhard Berndt [41] 1/ 63 26113 </t>
    </r>
    <r>
      <rPr>
        <u/>
        <sz val="10"/>
        <color indexed="8"/>
        <rFont val="Helvetica Neue"/>
        <family val="2"/>
      </rPr>
      <t>reinhard.berndt@env.ethz.ch</t>
    </r>
    <r>
      <rPr>
        <sz val="10"/>
        <color indexed="8"/>
        <rFont val="Helvetica Neue"/>
        <family val="2"/>
      </rPr>
      <t xml:space="preserve"> Curator of Fungi and Lichens</t>
    </r>
  </si>
  <si>
    <t>Fungi; Protozoa; Plantae: Fungi; Stramenopiles; Amoebozoa; Tracheophyta; Plantae; Pteridophyta; Gymnospermae; Angiospermae; Algae</t>
  </si>
  <si>
    <r>
      <rPr>
        <sz val="10"/>
        <color indexed="8"/>
        <rFont val="Helvetica Neue"/>
        <family val="2"/>
      </rPr>
      <t xml:space="preserve">In 1990, the Herbarium of the Eidgenössische Technische Hochschule Zürich (ZT) and the Herbarium of the Universität Zürich (Z) were combined to work together as ""United Herbaria Z+ZT"". Requests for material to either Z or ZT will be considered as a request to both institutions.  Address given above concerns the fungi collections of Z+ZT. The address for the plant collections can be found under the entry for Z. URL of the institute is </t>
    </r>
    <r>
      <rPr>
        <u/>
        <sz val="10"/>
        <color indexed="8"/>
        <rFont val="Helvetica Neue"/>
        <family val="2"/>
      </rPr>
      <t>https://www.peg.ethz.ch/herbaria.html</t>
    </r>
    <r>
      <rPr>
        <sz val="10"/>
        <color indexed="8"/>
        <rFont val="Helvetica Neue"/>
        <family val="2"/>
      </rPr>
      <t>.</t>
    </r>
  </si>
  <si>
    <t>RUEB (130 000 specimens);BERN (fungi and lichens)</t>
  </si>
  <si>
    <t>Formation period: 1730-ongoing</t>
  </si>
  <si>
    <t>bd16437d-543a-4e3a-9fad-af8e9af71d26</t>
  </si>
  <si>
    <t>UNIBAS:HERBARIA-BAS</t>
  </si>
  <si>
    <t>Herbarium of the University of Basel</t>
  </si>
  <si>
    <t>Estimated number of specimens (individual specimen/ seed capsule): 349´350. Formation period: 1577-ongoing. Geologic period: Present. Estimated number of species: 55´569. Number of types: unknown. SCSPS: 6 [Jurriaan de Vos, updated 2021-12-08]</t>
  </si>
  <si>
    <t>[41] 61 29 35 00</t>
  </si>
  <si>
    <t>2020-03-31T12:43:54.284Z</t>
  </si>
  <si>
    <t>2024-09-04T06:37:42.736Z</t>
  </si>
  <si>
    <t>gbif:ih:irn:126477</t>
  </si>
  <si>
    <t>Plantae: Vascular plants, bryophytes, lichens</t>
  </si>
  <si>
    <t>The herbaria of the University of Basel were founded by Caspar Bauhin, who became the University's first Professor of Botany (and Anatomy) in 1589. In the eighteenth and nineteenth century, multiple personal herbaria were acquired that were finally integrated by August Binz in the early 20th century.  Binz kept everything prior to CF Hagenbach's collection (early 19th century) separate, and integrated the remainder in a main cryptogam and phanerogam collection.  The herbarium grew significantly until the 1930s, after which expansion occured modestly. The herbaria are thus important culturally, historically and scientifically.</t>
  </si>
  <si>
    <t>Caspar Bauhin;Jacob Hagenbach;Werner de Lachenal;Firtz Sarasin;Paul Sarasin;Balthasar Erhart;Johann Ludwig Buxtorf;Johann Rudolf Staehelin;Th. Engelmann;Claude Farron</t>
  </si>
  <si>
    <t>Formation period: 1577-ongoing</t>
  </si>
  <si>
    <t>322ce107-3156-4420-8a2b-7f17efeaa472</t>
  </si>
  <si>
    <t>UZH:Z-Z</t>
  </si>
  <si>
    <t>Estimated number of specimens (individual specimens): 2´282´000. Formation period: 1730-ongoing. Geologic period: Present. Estimated number of species: 134´682. Number of types: 19´638 (Holo- and Lectotypes: 4´207,  Syntypes: 10´931). SCSPS: 8 [Reto Nyffeler, updated 2022-04-12]</t>
  </si>
  <si>
    <r>
      <rPr>
        <u/>
        <sz val="10"/>
        <color indexed="8"/>
        <rFont val="Helvetica Neue"/>
        <family val="2"/>
      </rPr>
      <t>reto.nyffeler@systbot.uzh.ch</t>
    </r>
  </si>
  <si>
    <t>[41] 44 634 84 11</t>
  </si>
  <si>
    <t>SampleDried;SampleSlideMount</t>
  </si>
  <si>
    <t>Universität Zürich, Herbarium</t>
  </si>
  <si>
    <t>UZH:Z</t>
  </si>
  <si>
    <t>5b487a79-76ef-4615-93d9-f4ea25a40c33</t>
  </si>
  <si>
    <t>Zollikerstrasse 107 Zürich CH-8008 Switzerland</t>
  </si>
  <si>
    <t>2020-03-31T12:39:13.283Z</t>
  </si>
  <si>
    <t>2024-09-04T06:45:27.897Z</t>
  </si>
  <si>
    <t>gbif:ih:irn:126516</t>
  </si>
  <si>
    <r>
      <rPr>
        <sz val="10"/>
        <color indexed="8"/>
        <rFont val="Helvetica Neue"/>
        <family val="2"/>
      </rPr>
      <t xml:space="preserve">Reto Nyffeler [044] 634 84 42 </t>
    </r>
    <r>
      <rPr>
        <u/>
        <sz val="10"/>
        <color indexed="8"/>
        <rFont val="Helvetica Neue"/>
        <family val="2"/>
      </rPr>
      <t>reto.nyffeler@systbot.uzh.ch</t>
    </r>
    <r>
      <rPr>
        <sz val="10"/>
        <color indexed="8"/>
        <rFont val="Helvetica Neue"/>
        <family val="2"/>
      </rPr>
      <t xml:space="preserve"> Curator;Heike Hofmann </t>
    </r>
    <r>
      <rPr>
        <u/>
        <sz val="10"/>
        <color indexed="8"/>
        <rFont val="Helvetica Neue"/>
        <family val="2"/>
      </rPr>
      <t>heike.hofmann@systbot.uzh.ch</t>
    </r>
    <r>
      <rPr>
        <sz val="10"/>
        <color indexed="8"/>
        <rFont val="Helvetica Neue"/>
        <family val="2"/>
      </rPr>
      <t xml:space="preserve"> Curator of Bryophytes</t>
    </r>
  </si>
  <si>
    <t>Fungi; Stramenopiles; Amoebozoa; Tracheophyta; Pteridophyta; Gymnospermae; Algae</t>
  </si>
  <si>
    <t>Worldwide; especially Central Europe, southern Africa, New Caledonia</t>
  </si>
  <si>
    <r>
      <rPr>
        <sz val="10"/>
        <color indexed="8"/>
        <rFont val="Helvetica Neue"/>
        <family val="2"/>
      </rPr>
      <t xml:space="preserve">In 1990, the Herbarium of the Eidgenössische Technische Hochschule Zürich (ZT) and the Herbarium of the Universität Zürich (Z) were combined to work together as United Herbaria Zürich Z+ZT. Requests for material to either Z or ZT will be considered as a request to both institutions. Address given above concerns the plant collections of Z+ZT. The bryophyte collection of BERN is maintained separately.The address for the fungi and lichen collections can be found under the entry for ZT. URL of the herbarium is </t>
    </r>
    <r>
      <rPr>
        <u/>
        <sz val="10"/>
        <color indexed="8"/>
        <rFont val="Helvetica Neue"/>
        <family val="2"/>
      </rPr>
      <t>https://www.herbarien.uzh.ch</t>
    </r>
  </si>
  <si>
    <t>BERN (2008;bryophytes)</t>
  </si>
  <si>
    <t>f79eae86-4849-428b-88e3-8869e7fbf31c</t>
  </si>
  <si>
    <t>UNIBAS:HERBARIA-RENZ</t>
  </si>
  <si>
    <t>Orchid Herbarium Jany Renz</t>
  </si>
  <si>
    <t>Estimated number of specimens (individual specimen): 25´640. Formation period: 1924-1999. Geologic period: Present. Estimated number of species: 4´500. Number of types: 290 (Holo- and Lectotypes: 50,  unreported number of Syntypes). SCSPS: 7 [Jurriaan de Vos, updated 2021-12-08]</t>
  </si>
  <si>
    <r>
      <rPr>
        <u/>
        <sz val="10"/>
        <color indexed="8"/>
        <rFont val="Helvetica Neue"/>
        <family val="2"/>
      </rPr>
      <t>https://orchid.unibas.ch</t>
    </r>
  </si>
  <si>
    <t>2020-03-31T12:36:16.465Z</t>
  </si>
  <si>
    <t>2024-09-04T06:37:39.796Z</t>
  </si>
  <si>
    <t>gbif:ih:irn:126479</t>
  </si>
  <si>
    <r>
      <rPr>
        <sz val="10"/>
        <color indexed="8"/>
        <rFont val="Helvetica Neue"/>
        <family val="2"/>
      </rPr>
      <t xml:space="preserve">Lucienne de Witte </t>
    </r>
    <r>
      <rPr>
        <u/>
        <sz val="10"/>
        <color indexed="8"/>
        <rFont val="Helvetica Neue"/>
        <family val="2"/>
      </rPr>
      <t>orchid@unibas.ch</t>
    </r>
    <r>
      <rPr>
        <sz val="10"/>
        <color indexed="8"/>
        <rFont val="Helvetica Neue"/>
        <family val="2"/>
      </rPr>
      <t xml:space="preserve"> Curator;Jurriaan Michiel de Vos </t>
    </r>
    <r>
      <rPr>
        <u/>
        <sz val="10"/>
        <color indexed="8"/>
        <rFont val="Helvetica Neue"/>
        <family val="2"/>
      </rPr>
      <t>jurriaan.devos@unibas.ch</t>
    </r>
    <r>
      <rPr>
        <sz val="10"/>
        <color indexed="8"/>
        <rFont val="Helvetica Neue"/>
        <family val="2"/>
      </rPr>
      <t xml:space="preserve"> Curator</t>
    </r>
  </si>
  <si>
    <t>Orchidaceae</t>
  </si>
  <si>
    <t>World. Main countries of origin: VE|GR|CO|TR|CH|IT|IR|PG|ZA</t>
  </si>
  <si>
    <t>The Jany Renz Orchid herbarium was bequeathed to the University of Basel jointly with his outstanding library, that is also housed at the herbaria.  Jany Renz was a particularly meticulous orchid collector, resulting in exceptionally well-prepared specimens, often in association with preserved dissected flowers, granting him a global reputation. The herbarium contains for the most part his personal collections.</t>
  </si>
  <si>
    <t>Jany Renz</t>
  </si>
  <si>
    <t>Formation period: 1924-1999</t>
  </si>
  <si>
    <t>61e40853-6ed8-40b3-8a88-2040f92c6540</t>
  </si>
  <si>
    <t>NMSGL-HKGL</t>
  </si>
  <si>
    <t>Herbarium - Naturwissenschaftliche Sammlungen des Kantons Glarus</t>
  </si>
  <si>
    <t>Am Linthli 30 Näfels CH-8752 Switzerland</t>
  </si>
  <si>
    <t>Glarus Switzerland</t>
  </si>
  <si>
    <t>2020-03-31T12:28:22.905Z</t>
  </si>
  <si>
    <t>2024-09-17T10:07:34.171Z</t>
  </si>
  <si>
    <t>gbif:ih:irn:125506</t>
  </si>
  <si>
    <r>
      <rPr>
        <sz val="10"/>
        <color indexed="8"/>
        <rFont val="Helvetica Neue"/>
        <family val="2"/>
      </rPr>
      <t xml:space="preserve">Roland Müller </t>
    </r>
    <r>
      <rPr>
        <u/>
        <sz val="10"/>
        <color indexed="8"/>
        <rFont val="Helvetica Neue"/>
        <family val="2"/>
      </rPr>
      <t>praeparator@bluewin.ch</t>
    </r>
    <r>
      <rPr>
        <sz val="10"/>
        <color indexed="8"/>
        <rFont val="Helvetica Neue"/>
        <family val="2"/>
      </rPr>
      <t xml:space="preserve"> Konservator</t>
    </r>
  </si>
  <si>
    <t>Kanton Glarus.</t>
  </si>
  <si>
    <t>As of 2017, this record has not been updated in over 15 years.</t>
  </si>
  <si>
    <t>c2cbfe1c-6fef-453e-803a-514bc8adf085</t>
  </si>
  <si>
    <t>PAE</t>
  </si>
  <si>
    <t>Herbarium - Universität Basel, Herbarien Basel</t>
  </si>
  <si>
    <t>Basel Switzerland</t>
  </si>
  <si>
    <t>2020-03-31T12:25:32.791Z</t>
  </si>
  <si>
    <t>2024-03-06T10:42:18.051Z</t>
  </si>
  <si>
    <t>gbif:ih:irn:126478</t>
  </si>
  <si>
    <t>PAE (220 000 specimens) incorporated in G as G-PAE.</t>
  </si>
  <si>
    <t>384fff95-a16d-43e2-814f-4cd4762df1b1</t>
  </si>
  <si>
    <t>ETHZ-RUEB</t>
  </si>
  <si>
    <t>Herbarium - RUEB</t>
  </si>
  <si>
    <t>Zürich Switzerland</t>
  </si>
  <si>
    <t>2020-03-31T12:24:52.957Z</t>
  </si>
  <si>
    <t>2024-05-17T08:27:00.427Z</t>
  </si>
  <si>
    <t>gbif:ih:irn:124463</t>
  </si>
  <si>
    <t>RUEB transferred to ZT.</t>
  </si>
  <si>
    <t>c4d7fbcb-dcb6-4178-b43d-717184e69253</t>
  </si>
  <si>
    <t>ETHZ-EWS</t>
  </si>
  <si>
    <t>Erdwissenschaftliche Sammlungen</t>
  </si>
  <si>
    <t>Estimated number of specimens (individual specimens/ smear slides/ thin sections): 700´114. Formation period: 1830-ongoing. Geologic period: not reported. Estimated number of species: n/a. Number of types: n/a. SCSPS: 5 [Andrea Galli;Iwan Stössel, updated 2022-03-18]</t>
  </si>
  <si>
    <t>Minerals;Rocks;Meteorites</t>
  </si>
  <si>
    <r>
      <rPr>
        <u/>
        <sz val="10"/>
        <color indexed="8"/>
        <rFont val="Helvetica Neue"/>
        <family val="2"/>
      </rPr>
      <t>collections@erdw.ethz.ch</t>
    </r>
  </si>
  <si>
    <r>
      <rPr>
        <u/>
        <sz val="10"/>
        <color indexed="8"/>
        <rFont val="Helvetica Neue"/>
        <family val="2"/>
      </rPr>
      <t>https://collections.erdw.ethz.ch/</t>
    </r>
  </si>
  <si>
    <t>Sonneggstrasse 5, Gebäude NO Zürich 8092 Switzerland</t>
  </si>
  <si>
    <t>Sonneggstrasse 5 Zürich CH-8092 Switzerland</t>
  </si>
  <si>
    <t>2020-02-11T16:13:36.510Z</t>
  </si>
  <si>
    <t>2024-09-03T07:52:18.415Z</t>
  </si>
  <si>
    <r>
      <rPr>
        <sz val="10"/>
        <color indexed="8"/>
        <rFont val="Helvetica Neue"/>
        <family val="2"/>
      </rPr>
      <t xml:space="preserve">Andreas Mueller </t>
    </r>
    <r>
      <rPr>
        <u/>
        <sz val="10"/>
        <color indexed="8"/>
        <rFont val="Helvetica Neue"/>
        <family val="2"/>
      </rPr>
      <t>andreas.mueller@library.ethz.ch</t>
    </r>
  </si>
  <si>
    <t>Wiser;Taddei;Kern;Niggli;Sigismund;Feliciani;Pestalozzi-Bodmer;Weber;Bally;Wrba;Boriani;Ward;Krantz;Mayer-Eymar;Jeannet;Heim;Appert;Schneider;Heer;Agassiz;DeLoriol;Desor;Mösch;Rollier;Imhof;Senftleben;Monnier;Lugeon;Oberholzer;Mair;Gressly;Perron</t>
  </si>
  <si>
    <t>489ba4bd-178f-4f72-8873-46e31ede8268</t>
  </si>
  <si>
    <t>ETHZ-ENT</t>
  </si>
  <si>
    <t>Entomologische Sammlung</t>
  </si>
  <si>
    <t>Estimated number of specimens (whole specimen): 1´478´300. Formation period: 1820-ongoing. Geologic period: Present. Estimated number of species: not reported. Number of types: unknown. SCSPS: 6 [Michael Greeff, updated 2022-04-13]</t>
  </si>
  <si>
    <r>
      <rPr>
        <u/>
        <sz val="10"/>
        <color indexed="8"/>
        <rFont val="Helvetica Neue"/>
        <family val="2"/>
      </rPr>
      <t>michael.greeff@usys.ethz.ch</t>
    </r>
  </si>
  <si>
    <r>
      <rPr>
        <u/>
        <sz val="10"/>
        <color indexed="8"/>
        <rFont val="Helvetica Neue"/>
        <family val="2"/>
      </rPr>
      <t>https://biocommunication.ethz.ch/entomological-collection.html</t>
    </r>
  </si>
  <si>
    <t>Weinbergstrasse 56/58 Zürich Zürich 8092 Switzerland</t>
  </si>
  <si>
    <t>Eidgenössische Technische Hochschule Zürich, Rämistrasse 101 Zürich Zürich CH-8092 Switzerland</t>
  </si>
  <si>
    <t>2020-02-11T10:47:10.019Z</t>
  </si>
  <si>
    <t>2024-09-03T07:52:19.985Z</t>
  </si>
  <si>
    <r>
      <rPr>
        <sz val="10"/>
        <color indexed="8"/>
        <rFont val="Helvetica Neue"/>
        <family val="2"/>
      </rPr>
      <t xml:space="preserve">Michael Greeff </t>
    </r>
    <r>
      <rPr>
        <u/>
        <sz val="10"/>
        <color indexed="8"/>
        <rFont val="Helvetica Neue"/>
        <family val="2"/>
      </rPr>
      <t>michael.greeff@usys.ethz.ch</t>
    </r>
    <r>
      <rPr>
        <sz val="10"/>
        <color indexed="8"/>
        <rFont val="Helvetica Neue"/>
        <family val="2"/>
      </rPr>
      <t xml:space="preserve"> Curator</t>
    </r>
  </si>
  <si>
    <t>Collembola; Diplura; Insecta; Protura: Coleoptera; Diptera; Ephemeroptera; Heteroptera; Hymenoptera; Lepidoptera; Mantodea; Mecoptera; Neuroptera; Odonata; Orthoptera; Phasmoptera; Plecoptera; Sternorrhyncha; Trichoptera; Auchenorrhyncha; Collembola; Protura; Diplura; Thysanura</t>
  </si>
  <si>
    <t>Entomological collection of the Swiss Federal Institute of Technology in Zurich. With 2 million specimens mostly from Switzerland and Europe; the collection is the fourth largest entomological collection in Switzerland.</t>
  </si>
  <si>
    <r>
      <rPr>
        <sz val="10"/>
        <color indexed="8"/>
        <rFont val="Helvetica Neue"/>
        <family val="2"/>
      </rPr>
      <t xml:space="preserve">Paul Born-Moser (1859/1928) </t>
    </r>
    <r>
      <rPr>
        <u/>
        <sz val="10"/>
        <color indexed="8"/>
        <rFont val="Helvetica Neue"/>
        <family val="2"/>
      </rPr>
      <t>https://viaf.org/viaf/64454423;Max</t>
    </r>
    <r>
      <rPr>
        <sz val="10"/>
        <color indexed="8"/>
        <rFont val="Helvetica Neue"/>
        <family val="2"/>
      </rPr>
      <t xml:space="preserve"> Bänninger (1884/1964);Arthur Linder-Hebeisen (1901/1977) </t>
    </r>
    <r>
      <rPr>
        <u/>
        <sz val="10"/>
        <color indexed="8"/>
        <rFont val="Helvetica Neue"/>
        <family val="2"/>
      </rPr>
      <t>https://viaf.org/viaf/305927885;Gustav</t>
    </r>
    <r>
      <rPr>
        <sz val="10"/>
        <color indexed="8"/>
        <rFont val="Helvetica Neue"/>
        <family val="2"/>
      </rPr>
      <t xml:space="preserve"> Huguening;Georges Vodoz;Johann Jacob Bremi-Wolf;Anton von Schulthess Rechberg-Schindler;Maximilian Standfuss;Paul Weber (1881/1968) </t>
    </r>
    <r>
      <rPr>
        <u/>
        <sz val="10"/>
        <color indexed="8"/>
        <rFont val="Helvetica Neue"/>
        <family val="2"/>
      </rPr>
      <t>https://hls-dhs-dss.ch/de/articles/044923/2013-10-14;Peter</t>
    </r>
    <r>
      <rPr>
        <sz val="10"/>
        <color indexed="8"/>
        <rFont val="Helvetica Neue"/>
        <family val="2"/>
      </rPr>
      <t xml:space="preserve"> Hättenschwiler (1927/2021) </t>
    </r>
    <r>
      <rPr>
        <u/>
        <sz val="10"/>
        <color indexed="8"/>
        <rFont val="Helvetica Neue"/>
        <family val="2"/>
      </rPr>
      <t>https://www.wikidata.org/wiki/Q21077795;Fritz</t>
    </r>
    <r>
      <rPr>
        <sz val="10"/>
        <color indexed="8"/>
        <rFont val="Helvetica Neue"/>
        <family val="2"/>
      </rPr>
      <t xml:space="preserve"> Carpentier (1873/1968)</t>
    </r>
  </si>
  <si>
    <t>0b82ce80-8f0d-4536-bd51-8c9b07cb7daa</t>
  </si>
  <si>
    <t>MHNG-ARTO</t>
  </si>
  <si>
    <t>Other insects and all other arthropods Collection</t>
  </si>
  <si>
    <t>Estimated number of specimens (individual specimens): 12´448´000. Formation period: 1820-ongoing. Geologic period: Present. Estimated number of species: not reported. Number of types: unknown. SCSPS: not reported [Anonymous, updated 2022-01-20]</t>
  </si>
  <si>
    <t>GRBIO</t>
  </si>
  <si>
    <t>2013-04-23T22:28:00.000Z</t>
  </si>
  <si>
    <t>2024-09-04T06:10:05.733Z</t>
  </si>
  <si>
    <r>
      <rPr>
        <u/>
        <sz val="10"/>
        <color indexed="8"/>
        <rFont val="Helvetica Neue"/>
        <family val="2"/>
      </rPr>
      <t>http://grscicoll.org/institutional-collection/other-insects-and-all-other-arthropods-collection;http://grbio.org/institutional-collection/other-insects-and-all-other-arthropods-collection;4493</t>
    </r>
  </si>
  <si>
    <t>Arthropods ands insects NOT belonging to Coleoptera, Lepidoptera, hymenoptera, diptera.</t>
  </si>
  <si>
    <t>2233e3f3-b07b-4929-b1fc-ff7cccafa054</t>
  </si>
  <si>
    <t>MHNG-ERPI</t>
  </si>
  <si>
    <t>Fishes and Reptiles Collection</t>
  </si>
  <si>
    <t>Estimated number of specimens (individual specimens): 125´000. Formation period: 1820-ongoing. Geologic period: Present. Estimated number of species: not reported. Number of types: unknown. SCSPS: 8 [Anonymous, updated 2022-01-20]</t>
  </si>
  <si>
    <t>2024-09-04T06:10:01.240Z</t>
  </si>
  <si>
    <r>
      <rPr>
        <u/>
        <sz val="10"/>
        <color indexed="8"/>
        <rFont val="Helvetica Neue"/>
        <family val="2"/>
      </rPr>
      <t>http://grscicoll.org/institutional-collection/fishes-and-reptiles-collection;http://grbio.org/institutional-collection/fishes-and-reptiles-collection;4321</t>
    </r>
  </si>
  <si>
    <t>694fec0d-270a-4fab-bf43-b6feb472ece1</t>
  </si>
  <si>
    <t>MHNG-ENTO</t>
  </si>
  <si>
    <t>Coleoptera, Lepidoptera, Hymenoptera and Diptera Collection</t>
  </si>
  <si>
    <t>Estimated number of specimens (individual specimens): 2´500´000. Formation period: 1820-ongoing. Geologic period: Present. Estimated number of species: not reported. Number of types: unknown. SCSPS: not reported [Anonymous, updated 2022-01-20]</t>
  </si>
  <si>
    <t>2024-09-04T06:10:04.223Z</t>
  </si>
  <si>
    <r>
      <rPr>
        <u/>
        <sz val="10"/>
        <color indexed="8"/>
        <rFont val="Helvetica Neue"/>
        <family val="2"/>
      </rPr>
      <t>http://grscicoll.org/institutional-collection/coleoptera-lepidoptera-hymenoptera-diptera-collection;http://grbio.org/institutional-collection/coleoptera-lepidoptera-hymenoptera-diptera-collection;4252</t>
    </r>
  </si>
  <si>
    <t>82a61d54-c8a9-43e5-9e5a-fe5de7b76e43</t>
  </si>
  <si>
    <t>MHNG-GEPI</t>
  </si>
  <si>
    <t>Fossil Collection</t>
  </si>
  <si>
    <t>Estimated number of specimens (individual specimens): 11´000. Formation period: 1820-ongoing. Geologic period: not reported. Estimated number of species: not reported. Number of types: unknown. SCSPS: not reported [Anonymous, updated 2022-01-20]</t>
  </si>
  <si>
    <t>SampleOther;SampleSlideMount</t>
  </si>
  <si>
    <t>2024-09-04T06:09:58.261Z</t>
  </si>
  <si>
    <r>
      <rPr>
        <u/>
        <sz val="10"/>
        <color indexed="8"/>
        <rFont val="Helvetica Neue"/>
        <family val="2"/>
      </rPr>
      <t>http://grscicoll.org/institutional-collection/fossil-collection;http://grbio.org/institutional-collection/fossil-collection;4327</t>
    </r>
  </si>
  <si>
    <t>8b598c91-2a6a-4e50-b2d3-7194e0f69400</t>
  </si>
  <si>
    <t>MHNG-MAMO</t>
  </si>
  <si>
    <t>Mammals and Birds Collection</t>
  </si>
  <si>
    <t>Estimated number of specimens (individual specimens): 92´000. Formation period: 1820-ongoing. Geologic period: Present. Estimated number of species: not reported. Number of types: unknown. SCSPS: 8 [Anonymous, updated 2022-01-20]</t>
  </si>
  <si>
    <t>2024-09-04T06:09:59.736Z</t>
  </si>
  <si>
    <r>
      <rPr>
        <u/>
        <sz val="10"/>
        <color indexed="8"/>
        <rFont val="Helvetica Neue"/>
        <family val="2"/>
      </rPr>
      <t>http://grscicoll.org/institutional-collection/mammals-and-birds-collection;http://grbio.org/institutional-collection/mammals-and-birds-collection;4430</t>
    </r>
  </si>
  <si>
    <t>b7f7c4dd-953a-447a-b688-9f9e01ea686c</t>
  </si>
  <si>
    <t>MHNG-ARCO</t>
  </si>
  <si>
    <t>Archaeozoological Materials Collection</t>
  </si>
  <si>
    <t>Estimated number of specimens (individual specimens): 4´700. Formation period: 1820-ongoing. Geologic period: Present. Estimated number of species: not reported. Number of types: unknown. SCSPS: 8 [Anonymous, updated 2022-01-20]</t>
  </si>
  <si>
    <t>2024-09-04T06:09:55.220Z</t>
  </si>
  <si>
    <r>
      <rPr>
        <u/>
        <sz val="10"/>
        <color indexed="8"/>
        <rFont val="Helvetica Neue"/>
        <family val="2"/>
      </rPr>
      <t>http://grscicoll.org/institutional-collection/archaeozoological-materials-collection;http://grbio.org/institutional-collection/archaeozoological-materials-collection;4172</t>
    </r>
  </si>
  <si>
    <t>Samples of animal remains from archaeological sites</t>
  </si>
  <si>
    <t>d42eadcb-7e8c-4c89-85db-708fae35c6ec</t>
  </si>
  <si>
    <t>MHNG-INVE</t>
  </si>
  <si>
    <t>Invertebrate Collection</t>
  </si>
  <si>
    <t>Estimated number of specimens (jars/ individual specimens/ microscope slides): 190´802. Formation period: 1820-ongoing. Geologic period: Present. Estimated number of species: not reported. Number of types: unknown. SCSPS: 2; 9 [Anonymous, updated 2022-01-20]</t>
  </si>
  <si>
    <t>SampleFluidPreserved;SampleSlideMount;SampleDried</t>
  </si>
  <si>
    <t>2024-09-04T06:10:02.720Z</t>
  </si>
  <si>
    <r>
      <rPr>
        <u/>
        <sz val="10"/>
        <color indexed="8"/>
        <rFont val="Helvetica Neue"/>
        <family val="2"/>
      </rPr>
      <t>http://grscicoll.org/institutional-collection/invertebrate-collection;http://grbio.org/institutional-collection/invertebrate-collection;4389</t>
    </r>
  </si>
  <si>
    <t>76694a72-e0e2-484d-ac61-ecb1e3cb5bb8</t>
  </si>
  <si>
    <t>MJWC</t>
  </si>
  <si>
    <t>Research Collection of Matthew J.W. Cock</t>
  </si>
  <si>
    <r>
      <rPr>
        <sz val="10"/>
        <color indexed="8"/>
        <rFont val="Helvetica Neue"/>
        <family val="2"/>
      </rPr>
      <t xml:space="preserve">Lepidoptera, especially Trinidad &amp; Tobago all families, Kenya Hesperiidae. Alternate contact email: </t>
    </r>
    <r>
      <rPr>
        <u/>
        <sz val="10"/>
        <color indexed="8"/>
        <rFont val="Helvetica Neue"/>
        <family val="2"/>
      </rPr>
      <t>m.cock@cabi.org</t>
    </r>
  </si>
  <si>
    <t>Montmelon</t>
  </si>
  <si>
    <t>not applicable</t>
  </si>
  <si>
    <t>StorageOther</t>
  </si>
  <si>
    <t>c/o CABI, Rue des Grillons 1  Delemont not applicable CH-2800 Switzerland</t>
  </si>
  <si>
    <t>Les Malettes   Montmelon not applicable CH-2883 Switzerland</t>
  </si>
  <si>
    <t>gbif-collections</t>
  </si>
  <si>
    <t>2013-04-11T00:59:00.000Z</t>
  </si>
  <si>
    <t>2024-05-23T13:24:15.901Z</t>
  </si>
  <si>
    <r>
      <rPr>
        <u/>
        <sz val="10"/>
        <color indexed="8"/>
        <rFont val="Helvetica Neue"/>
        <family val="2"/>
      </rPr>
      <t>http://grscicoll.org/non-institutional-collection/research-collection-matthew-jw-cock;http://grbio.org/non-institutional-collection/research-collection-matthew-jw-cock;1422</t>
    </r>
  </si>
  <si>
    <t>57 collection units</t>
  </si>
  <si>
    <t>22 institutions</t>
  </si>
  <si>
    <t>https://www.ctms-jack.ch/swisscollnet.html</t>
  </si>
  <si>
    <t>Total Paleo and Geo</t>
  </si>
  <si>
    <t>Umfrage Tom</t>
  </si>
  <si>
    <t>keine Antwort</t>
  </si>
  <si>
    <t xml:space="preserve">keine Bedürfnisse für Aggregator </t>
  </si>
  <si>
    <t>nicht angefragt</t>
  </si>
  <si>
    <t>Aggregator oder Specify</t>
  </si>
  <si>
    <t>Verzicht aus Kapazitätsgründen</t>
  </si>
  <si>
    <t>Aggregator, im Moment konzentriert auf Specify</t>
  </si>
  <si>
    <t>Aggregator</t>
  </si>
  <si>
    <t>unklar</t>
  </si>
  <si>
    <t>einfacher und koordinierter Aggregator</t>
  </si>
  <si>
    <t>CMS</t>
  </si>
  <si>
    <t>Specify</t>
  </si>
  <si>
    <t>?</t>
  </si>
  <si>
    <t>Institution</t>
  </si>
  <si>
    <t>Abbreviation</t>
  </si>
  <si>
    <t>Nr of specimens</t>
  </si>
  <si>
    <t>Contact person</t>
  </si>
  <si>
    <t>Specify (?)</t>
  </si>
  <si>
    <t>marc.limat@bl.ch</t>
  </si>
  <si>
    <t>Total specimens</t>
  </si>
  <si>
    <t>Geological collections, paleontoloty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</si>
</sst>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u/>
      <sz val="10"/>
      <color theme="10"/>
      <name val="Helvetica Neue"/>
      <family val="2"/>
    </font>
    <font>
      <u/>
      <sz val="10"/>
      <color theme="1"/>
      <name val="Helvetica Neue"/>
      <family val="2"/>
    </font>
  </fonts>
  <fills count="9">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2"/>
        <bgColor indexed="64"/>
      </patternFill>
    </fill>
    <fill>
      <patternFill patternType="solid">
        <fgColor theme="0" tint="-4.9989318521683403E-2"/>
        <bgColor indexed="64"/>
      </patternFill>
    </fill>
  </fills>
  <borders count="4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1"/>
      </left>
      <right style="thin">
        <color indexed="10"/>
      </right>
      <top/>
      <bottom/>
      <diagonal/>
    </border>
    <border>
      <left style="thin">
        <color indexed="10"/>
      </left>
      <right/>
      <top/>
      <bottom/>
      <diagonal/>
    </border>
    <border>
      <left/>
      <right style="thin">
        <color indexed="10"/>
      </right>
      <top style="thin">
        <color indexed="10"/>
      </top>
      <bottom style="thin">
        <color indexed="10"/>
      </bottom>
      <diagonal/>
    </border>
    <border>
      <left/>
      <right style="medium">
        <color indexed="64"/>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dotted">
        <color indexed="64"/>
      </right>
      <top style="dotted">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dotted">
        <color indexed="64"/>
      </right>
      <top style="dotted">
        <color indexed="64"/>
      </top>
      <bottom style="thin">
        <color indexed="64"/>
      </bottom>
      <diagonal/>
    </border>
    <border>
      <left style="dotted">
        <color indexed="64"/>
      </left>
      <right style="medium">
        <color indexed="64"/>
      </right>
      <top style="dotted">
        <color indexed="64"/>
      </top>
      <bottom style="thin">
        <color indexed="64"/>
      </bottom>
      <diagonal/>
    </border>
    <border>
      <left style="medium">
        <color indexed="64"/>
      </left>
      <right/>
      <top/>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style="medium">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medium">
        <color indexed="64"/>
      </left>
      <right style="dotted">
        <color indexed="64"/>
      </right>
      <top/>
      <bottom/>
      <diagonal/>
    </border>
    <border>
      <left style="dotted">
        <color indexed="64"/>
      </left>
      <right style="dotted">
        <color indexed="64"/>
      </right>
      <top/>
      <bottom/>
      <diagonal/>
    </border>
    <border>
      <left style="dotted">
        <color indexed="64"/>
      </left>
      <right style="medium">
        <color indexed="64"/>
      </right>
      <top/>
      <bottom/>
      <diagonal/>
    </border>
    <border>
      <left/>
      <right style="thin">
        <color indexed="10"/>
      </right>
      <top style="thin">
        <color indexed="10"/>
      </top>
      <bottom style="thin">
        <color indexed="11"/>
      </bottom>
      <diagonal/>
    </border>
  </borders>
  <cellStyleXfs count="2">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cellStyleXfs>
  <cellXfs count="131">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xf numFmtId="3" fontId="2" fillId="0" borderId="0" xfId="0" applyNumberFormat="1" applyFont="1">
      <alignment vertical="top" wrapText="1"/>
    </xf>
    <xf numFmtId="49" fontId="2" fillId="0" borderId="8" xfId="0" applyNumberFormat="1" applyFont="1" applyFill="1" applyBorder="1" applyAlignment="1">
      <alignment vertical="top"/>
    </xf>
    <xf numFmtId="49" fontId="0" fillId="4" borderId="7" xfId="0" applyNumberFormat="1" applyFill="1" applyBorder="1" applyAlignment="1">
      <alignment vertical="top"/>
    </xf>
    <xf numFmtId="3" fontId="0" fillId="0" borderId="0" xfId="0" applyNumberFormat="1">
      <alignment vertical="top" wrapText="1"/>
    </xf>
    <xf numFmtId="49" fontId="2" fillId="0" borderId="5" xfId="0" applyNumberFormat="1" applyFont="1" applyFill="1" applyBorder="1" applyAlignment="1">
      <alignment vertical="top"/>
    </xf>
    <xf numFmtId="49" fontId="0" fillId="0" borderId="6" xfId="0" applyNumberFormat="1" applyFill="1" applyBorder="1" applyAlignment="1">
      <alignment vertical="top"/>
    </xf>
    <xf numFmtId="49" fontId="0" fillId="0" borderId="7" xfId="0" applyNumberFormat="1" applyFill="1" applyBorder="1" applyAlignment="1">
      <alignment vertical="top"/>
    </xf>
    <xf numFmtId="49" fontId="0" fillId="4" borderId="6" xfId="0" applyNumberFormat="1" applyFill="1" applyBorder="1" applyAlignment="1">
      <alignment vertical="top"/>
    </xf>
    <xf numFmtId="0" fontId="0" fillId="0" borderId="7" xfId="0" applyFill="1" applyBorder="1" applyAlignment="1">
      <alignment vertical="top"/>
    </xf>
    <xf numFmtId="0" fontId="0" fillId="0" borderId="0" xfId="0" applyFill="1">
      <alignment vertical="top" wrapText="1"/>
    </xf>
    <xf numFmtId="0" fontId="4" fillId="0" borderId="0" xfId="0" applyFont="1">
      <alignment vertical="top" wrapText="1"/>
    </xf>
    <xf numFmtId="0" fontId="0" fillId="5" borderId="0" xfId="0" applyFill="1">
      <alignment vertical="top" wrapText="1"/>
    </xf>
    <xf numFmtId="0" fontId="4" fillId="5" borderId="0" xfId="0" applyFont="1" applyFill="1">
      <alignment vertical="top" wrapText="1"/>
    </xf>
    <xf numFmtId="3" fontId="2" fillId="2" borderId="1" xfId="0" applyNumberFormat="1" applyFont="1" applyFill="1" applyBorder="1" applyAlignment="1">
      <alignment vertical="top"/>
    </xf>
    <xf numFmtId="3" fontId="0" fillId="0" borderId="7" xfId="0" applyNumberFormat="1" applyBorder="1" applyAlignment="1">
      <alignment vertical="top"/>
    </xf>
    <xf numFmtId="3" fontId="2" fillId="4" borderId="7" xfId="0" applyNumberFormat="1" applyFont="1" applyFill="1" applyBorder="1" applyAlignment="1">
      <alignment vertical="top"/>
    </xf>
    <xf numFmtId="3" fontId="2" fillId="4" borderId="0" xfId="0" applyNumberFormat="1" applyFont="1" applyFill="1">
      <alignment vertical="top" wrapText="1"/>
    </xf>
    <xf numFmtId="49" fontId="2" fillId="2" borderId="9" xfId="0" applyNumberFormat="1" applyFont="1" applyFill="1" applyBorder="1" applyAlignment="1">
      <alignment vertical="top"/>
    </xf>
    <xf numFmtId="0" fontId="4" fillId="6" borderId="0" xfId="0" applyFont="1" applyFill="1">
      <alignment vertical="top" wrapText="1"/>
    </xf>
    <xf numFmtId="0" fontId="2" fillId="0" borderId="0" xfId="0" applyFont="1">
      <alignment vertical="top" wrapText="1"/>
    </xf>
    <xf numFmtId="0" fontId="4" fillId="0" borderId="0" xfId="0" applyFont="1" applyFill="1">
      <alignment vertical="top" wrapText="1"/>
    </xf>
    <xf numFmtId="0" fontId="0" fillId="0" borderId="0" xfId="0" applyBorder="1">
      <alignment vertical="top" wrapText="1"/>
    </xf>
    <xf numFmtId="0" fontId="0" fillId="0" borderId="10" xfId="0" applyBorder="1" applyAlignment="1">
      <alignment vertical="top"/>
    </xf>
    <xf numFmtId="0" fontId="0" fillId="0" borderId="10" xfId="0" applyFill="1" applyBorder="1" applyAlignment="1">
      <alignment vertical="top"/>
    </xf>
    <xf numFmtId="0" fontId="4" fillId="7" borderId="12" xfId="0" applyFont="1" applyFill="1" applyBorder="1">
      <alignment vertical="top" wrapText="1"/>
    </xf>
    <xf numFmtId="0" fontId="4" fillId="7" borderId="13" xfId="0" applyFont="1" applyFill="1" applyBorder="1">
      <alignment vertical="top" wrapText="1"/>
    </xf>
    <xf numFmtId="3" fontId="4" fillId="7" borderId="14" xfId="0" applyNumberFormat="1" applyFont="1" applyFill="1" applyBorder="1">
      <alignment vertical="top" wrapText="1"/>
    </xf>
    <xf numFmtId="49" fontId="0" fillId="0" borderId="15" xfId="0" applyNumberFormat="1" applyBorder="1" applyAlignment="1">
      <alignment vertical="top"/>
    </xf>
    <xf numFmtId="49" fontId="0" fillId="0" borderId="16" xfId="0" applyNumberFormat="1" applyBorder="1" applyAlignment="1">
      <alignment vertical="top"/>
    </xf>
    <xf numFmtId="3" fontId="4" fillId="0" borderId="16" xfId="0" applyNumberFormat="1" applyFont="1" applyFill="1" applyBorder="1" applyAlignment="1">
      <alignment vertical="top"/>
    </xf>
    <xf numFmtId="0" fontId="4" fillId="0" borderId="16" xfId="0" applyFont="1" applyBorder="1">
      <alignment vertical="top" wrapText="1"/>
    </xf>
    <xf numFmtId="3" fontId="4" fillId="0" borderId="17" xfId="0" applyNumberFormat="1" applyFont="1" applyBorder="1">
      <alignment vertical="top" wrapText="1"/>
    </xf>
    <xf numFmtId="0" fontId="4" fillId="0" borderId="16" xfId="0" applyFont="1" applyFill="1" applyBorder="1">
      <alignment vertical="top" wrapText="1"/>
    </xf>
    <xf numFmtId="49" fontId="2" fillId="7" borderId="18" xfId="0" applyNumberFormat="1" applyFont="1" applyFill="1" applyBorder="1" applyAlignment="1">
      <alignment vertical="top"/>
    </xf>
    <xf numFmtId="0" fontId="0" fillId="7" borderId="19" xfId="0" applyFill="1" applyBorder="1">
      <alignment vertical="top" wrapText="1"/>
    </xf>
    <xf numFmtId="3" fontId="0" fillId="7" borderId="20" xfId="0" applyNumberFormat="1" applyFill="1" applyBorder="1">
      <alignment vertical="top" wrapText="1"/>
    </xf>
    <xf numFmtId="49" fontId="2" fillId="0" borderId="9" xfId="0" applyNumberFormat="1" applyFont="1" applyFill="1" applyBorder="1" applyAlignment="1">
      <alignment vertical="top"/>
    </xf>
    <xf numFmtId="49" fontId="2" fillId="0" borderId="1" xfId="0" applyNumberFormat="1" applyFont="1" applyFill="1" applyBorder="1" applyAlignment="1">
      <alignment vertical="top"/>
    </xf>
    <xf numFmtId="0" fontId="0" fillId="0" borderId="0" xfId="0" applyFill="1" applyBorder="1">
      <alignment vertical="top" wrapText="1"/>
    </xf>
    <xf numFmtId="49" fontId="2" fillId="0" borderId="0" xfId="0" applyNumberFormat="1" applyFont="1" applyFill="1" applyBorder="1" applyAlignment="1">
      <alignment vertical="top"/>
    </xf>
    <xf numFmtId="49" fontId="0" fillId="0" borderId="22" xfId="0" applyNumberFormat="1" applyBorder="1" applyAlignment="1">
      <alignment vertical="top"/>
    </xf>
    <xf numFmtId="3" fontId="0" fillId="0" borderId="22" xfId="0" applyNumberFormat="1" applyBorder="1" applyAlignment="1">
      <alignment vertical="top"/>
    </xf>
    <xf numFmtId="49" fontId="0" fillId="0" borderId="23" xfId="0" applyNumberFormat="1" applyBorder="1" applyAlignment="1">
      <alignment vertical="top"/>
    </xf>
    <xf numFmtId="3" fontId="0" fillId="0" borderId="23" xfId="0" applyNumberFormat="1" applyBorder="1" applyAlignment="1">
      <alignment vertical="top"/>
    </xf>
    <xf numFmtId="3" fontId="0" fillId="0" borderId="16" xfId="0" applyNumberFormat="1" applyBorder="1" applyAlignment="1">
      <alignment vertical="top"/>
    </xf>
    <xf numFmtId="49" fontId="0" fillId="0" borderId="27" xfId="0" applyNumberFormat="1" applyFill="1" applyBorder="1" applyAlignment="1">
      <alignment vertical="top"/>
    </xf>
    <xf numFmtId="49" fontId="0" fillId="0" borderId="28" xfId="0" applyNumberFormat="1" applyBorder="1" applyAlignment="1">
      <alignment vertical="top"/>
    </xf>
    <xf numFmtId="49" fontId="0" fillId="0" borderId="29" xfId="0" applyNumberFormat="1" applyBorder="1" applyAlignment="1">
      <alignment vertical="top"/>
    </xf>
    <xf numFmtId="49" fontId="0" fillId="0" borderId="30" xfId="0" applyNumberFormat="1" applyBorder="1" applyAlignment="1">
      <alignment vertical="top"/>
    </xf>
    <xf numFmtId="0" fontId="0" fillId="0" borderId="31" xfId="0" applyBorder="1">
      <alignment vertical="top" wrapText="1"/>
    </xf>
    <xf numFmtId="3" fontId="0" fillId="0" borderId="0" xfId="0" applyNumberFormat="1" applyBorder="1">
      <alignment vertical="top" wrapText="1"/>
    </xf>
    <xf numFmtId="0" fontId="0" fillId="0" borderId="11" xfId="0" applyBorder="1">
      <alignment vertical="top" wrapText="1"/>
    </xf>
    <xf numFmtId="49" fontId="0" fillId="0" borderId="32" xfId="0" applyNumberFormat="1" applyFill="1" applyBorder="1" applyAlignment="1">
      <alignment vertical="top"/>
    </xf>
    <xf numFmtId="49" fontId="0" fillId="0" borderId="17" xfId="0" applyNumberFormat="1" applyBorder="1" applyAlignment="1">
      <alignment vertical="top"/>
    </xf>
    <xf numFmtId="49" fontId="2" fillId="7" borderId="24" xfId="0" applyNumberFormat="1" applyFont="1" applyFill="1" applyBorder="1" applyAlignment="1">
      <alignment vertical="top"/>
    </xf>
    <xf numFmtId="49" fontId="2" fillId="7" borderId="25" xfId="0" applyNumberFormat="1" applyFont="1" applyFill="1" applyBorder="1" applyAlignment="1">
      <alignment vertical="top"/>
    </xf>
    <xf numFmtId="3" fontId="2" fillId="7" borderId="25" xfId="0" applyNumberFormat="1" applyFont="1" applyFill="1" applyBorder="1" applyAlignment="1">
      <alignment vertical="top"/>
    </xf>
    <xf numFmtId="49" fontId="2" fillId="7" borderId="26" xfId="0" applyNumberFormat="1" applyFont="1" applyFill="1" applyBorder="1" applyAlignment="1">
      <alignment vertical="top"/>
    </xf>
    <xf numFmtId="49" fontId="0" fillId="8" borderId="32" xfId="0" applyNumberFormat="1" applyFill="1" applyBorder="1" applyAlignment="1">
      <alignment vertical="top"/>
    </xf>
    <xf numFmtId="49" fontId="0" fillId="8" borderId="21" xfId="0" applyNumberFormat="1" applyFill="1" applyBorder="1" applyAlignment="1">
      <alignment vertical="top"/>
    </xf>
    <xf numFmtId="3" fontId="0" fillId="8" borderId="21" xfId="0" applyNumberFormat="1" applyFill="1" applyBorder="1" applyAlignment="1">
      <alignment vertical="top"/>
    </xf>
    <xf numFmtId="49" fontId="0" fillId="8" borderId="33" xfId="0" applyNumberFormat="1" applyFill="1" applyBorder="1" applyAlignment="1">
      <alignment vertical="top"/>
    </xf>
    <xf numFmtId="49" fontId="4" fillId="8" borderId="32" xfId="0" applyNumberFormat="1" applyFont="1" applyFill="1" applyBorder="1" applyAlignment="1">
      <alignment vertical="top"/>
    </xf>
    <xf numFmtId="49" fontId="0" fillId="8" borderId="27" xfId="0" applyNumberFormat="1" applyFill="1" applyBorder="1" applyAlignment="1">
      <alignment vertical="top"/>
    </xf>
    <xf numFmtId="49" fontId="0" fillId="8" borderId="22" xfId="0" applyNumberFormat="1" applyFill="1" applyBorder="1" applyAlignment="1">
      <alignment vertical="top"/>
    </xf>
    <xf numFmtId="3" fontId="0" fillId="8" borderId="22" xfId="0" applyNumberFormat="1" applyFill="1" applyBorder="1" applyAlignment="1">
      <alignment vertical="top"/>
    </xf>
    <xf numFmtId="49" fontId="0" fillId="8" borderId="28" xfId="0" applyNumberFormat="1" applyFill="1" applyBorder="1" applyAlignment="1">
      <alignment vertical="top"/>
    </xf>
    <xf numFmtId="49" fontId="0" fillId="8" borderId="15" xfId="0" applyNumberFormat="1" applyFill="1" applyBorder="1" applyAlignment="1">
      <alignment vertical="top"/>
    </xf>
    <xf numFmtId="49" fontId="0" fillId="8" borderId="16" xfId="0" applyNumberFormat="1" applyFill="1" applyBorder="1" applyAlignment="1">
      <alignment vertical="top"/>
    </xf>
    <xf numFmtId="3" fontId="0" fillId="8" borderId="16" xfId="0" applyNumberFormat="1" applyFill="1" applyBorder="1" applyAlignment="1">
      <alignment vertical="top"/>
    </xf>
    <xf numFmtId="0" fontId="0" fillId="8" borderId="16" xfId="0" applyFill="1" applyBorder="1">
      <alignment vertical="top" wrapText="1"/>
    </xf>
    <xf numFmtId="49" fontId="0" fillId="8" borderId="17" xfId="0" applyNumberFormat="1" applyFill="1" applyBorder="1" applyAlignment="1">
      <alignment vertical="top"/>
    </xf>
    <xf numFmtId="49" fontId="0" fillId="8" borderId="29" xfId="0" applyNumberFormat="1" applyFill="1" applyBorder="1" applyAlignment="1">
      <alignment vertical="top"/>
    </xf>
    <xf numFmtId="49" fontId="0" fillId="8" borderId="23" xfId="0" applyNumberFormat="1" applyFill="1" applyBorder="1" applyAlignment="1">
      <alignment vertical="top"/>
    </xf>
    <xf numFmtId="3" fontId="0" fillId="8" borderId="23" xfId="0" applyNumberFormat="1" applyFill="1" applyBorder="1" applyAlignment="1">
      <alignment vertical="top"/>
    </xf>
    <xf numFmtId="49" fontId="0" fillId="8" borderId="30" xfId="0" applyNumberFormat="1" applyFill="1" applyBorder="1" applyAlignment="1">
      <alignment vertical="top"/>
    </xf>
    <xf numFmtId="49" fontId="0" fillId="0" borderId="0" xfId="0" applyNumberFormat="1" applyFill="1" applyBorder="1" applyAlignment="1">
      <alignment vertical="top"/>
    </xf>
    <xf numFmtId="3" fontId="2" fillId="0" borderId="0" xfId="0" applyNumberFormat="1" applyFont="1" applyFill="1" applyBorder="1" applyAlignment="1">
      <alignment vertical="top"/>
    </xf>
    <xf numFmtId="3" fontId="0" fillId="0" borderId="0" xfId="0" applyNumberFormat="1" applyFill="1" applyBorder="1" applyAlignment="1">
      <alignment vertical="top"/>
    </xf>
    <xf numFmtId="0" fontId="0" fillId="0" borderId="0" xfId="0" applyFill="1" applyBorder="1" applyAlignment="1">
      <alignment vertical="top"/>
    </xf>
    <xf numFmtId="3" fontId="0" fillId="0" borderId="0" xfId="0" applyNumberFormat="1" applyFill="1" applyBorder="1">
      <alignment vertical="top" wrapText="1"/>
    </xf>
    <xf numFmtId="49" fontId="4" fillId="0" borderId="0" xfId="0" applyNumberFormat="1" applyFont="1" applyFill="1" applyBorder="1" applyAlignment="1">
      <alignment vertical="top"/>
    </xf>
    <xf numFmtId="49" fontId="4" fillId="8" borderId="16" xfId="0" applyNumberFormat="1" applyFont="1" applyFill="1" applyBorder="1" applyAlignment="1">
      <alignment vertical="top"/>
    </xf>
    <xf numFmtId="3" fontId="4" fillId="8" borderId="17" xfId="0" applyNumberFormat="1" applyFont="1" applyFill="1" applyBorder="1">
      <alignment vertical="top" wrapText="1"/>
    </xf>
    <xf numFmtId="0" fontId="4" fillId="8" borderId="16" xfId="0" applyFont="1" applyFill="1" applyBorder="1">
      <alignment vertical="top" wrapText="1"/>
    </xf>
    <xf numFmtId="3" fontId="0" fillId="0" borderId="16" xfId="0" applyNumberFormat="1" applyFill="1" applyBorder="1" applyAlignment="1">
      <alignment vertical="top"/>
    </xf>
    <xf numFmtId="3" fontId="2" fillId="7" borderId="19" xfId="0" applyNumberFormat="1" applyFont="1" applyFill="1" applyBorder="1" applyAlignment="1">
      <alignment horizontal="right" vertical="top" wrapText="1"/>
    </xf>
    <xf numFmtId="49" fontId="0" fillId="0" borderId="37" xfId="0" applyNumberFormat="1" applyBorder="1" applyAlignment="1">
      <alignment vertical="top"/>
    </xf>
    <xf numFmtId="49" fontId="0" fillId="0" borderId="38" xfId="0" applyNumberFormat="1" applyBorder="1" applyAlignment="1">
      <alignment vertical="top"/>
    </xf>
    <xf numFmtId="3" fontId="0" fillId="0" borderId="38" xfId="0" applyNumberFormat="1" applyBorder="1" applyAlignment="1">
      <alignment vertical="top"/>
    </xf>
    <xf numFmtId="49" fontId="0" fillId="0" borderId="39" xfId="0" applyNumberFormat="1" applyBorder="1" applyAlignment="1">
      <alignment vertical="top"/>
    </xf>
    <xf numFmtId="49" fontId="2" fillId="0" borderId="40" xfId="0" applyNumberFormat="1" applyFont="1" applyFill="1" applyBorder="1" applyAlignment="1">
      <alignment vertical="top"/>
    </xf>
    <xf numFmtId="0" fontId="0" fillId="8" borderId="30" xfId="0" applyFill="1" applyBorder="1" applyAlignment="1">
      <alignment vertical="top"/>
    </xf>
    <xf numFmtId="49" fontId="0" fillId="0" borderId="22" xfId="0" applyNumberFormat="1" applyFill="1" applyBorder="1" applyAlignment="1">
      <alignment vertical="top"/>
    </xf>
    <xf numFmtId="3" fontId="0" fillId="0" borderId="22" xfId="0" applyNumberFormat="1" applyFill="1" applyBorder="1" applyAlignment="1">
      <alignment vertical="top"/>
    </xf>
    <xf numFmtId="49" fontId="0" fillId="0" borderId="28" xfId="0" applyNumberFormat="1" applyFill="1" applyBorder="1" applyAlignment="1">
      <alignment vertical="top"/>
    </xf>
    <xf numFmtId="49" fontId="0" fillId="0" borderId="15" xfId="0" applyNumberFormat="1" applyFill="1" applyBorder="1" applyAlignment="1">
      <alignment vertical="top"/>
    </xf>
    <xf numFmtId="49" fontId="0" fillId="0" borderId="16" xfId="0" applyNumberFormat="1" applyFill="1" applyBorder="1" applyAlignment="1">
      <alignment vertical="top"/>
    </xf>
    <xf numFmtId="49" fontId="0" fillId="0" borderId="17" xfId="0" applyNumberFormat="1" applyFill="1" applyBorder="1" applyAlignment="1">
      <alignment vertical="top"/>
    </xf>
    <xf numFmtId="49" fontId="0" fillId="0" borderId="29" xfId="0" applyNumberFormat="1" applyFill="1" applyBorder="1" applyAlignment="1">
      <alignment vertical="top"/>
    </xf>
    <xf numFmtId="49" fontId="0" fillId="0" borderId="23" xfId="0" applyNumberFormat="1" applyFill="1" applyBorder="1" applyAlignment="1">
      <alignment vertical="top"/>
    </xf>
    <xf numFmtId="3" fontId="0" fillId="0" borderId="23" xfId="0" applyNumberFormat="1" applyFill="1" applyBorder="1" applyAlignment="1">
      <alignment vertical="top"/>
    </xf>
    <xf numFmtId="49" fontId="0" fillId="0" borderId="30" xfId="0" applyNumberFormat="1" applyFill="1" applyBorder="1" applyAlignment="1">
      <alignment vertical="top"/>
    </xf>
    <xf numFmtId="0" fontId="0" fillId="8" borderId="33" xfId="0" applyFill="1" applyBorder="1" applyAlignment="1">
      <alignment vertical="top"/>
    </xf>
    <xf numFmtId="49" fontId="0" fillId="0" borderId="21" xfId="0" applyNumberFormat="1" applyFill="1" applyBorder="1" applyAlignment="1">
      <alignment vertical="top"/>
    </xf>
    <xf numFmtId="3" fontId="0" fillId="0" borderId="21" xfId="0" applyNumberFormat="1" applyFill="1" applyBorder="1" applyAlignment="1">
      <alignment vertical="top"/>
    </xf>
    <xf numFmtId="49" fontId="0" fillId="0" borderId="33" xfId="0" applyNumberFormat="1" applyFill="1" applyBorder="1" applyAlignment="1">
      <alignment vertical="top"/>
    </xf>
    <xf numFmtId="49" fontId="0" fillId="0" borderId="34" xfId="0" applyNumberFormat="1" applyFill="1" applyBorder="1" applyAlignment="1">
      <alignment vertical="top"/>
    </xf>
    <xf numFmtId="49" fontId="0" fillId="0" borderId="35" xfId="0" applyNumberFormat="1" applyFill="1" applyBorder="1" applyAlignment="1">
      <alignment vertical="top"/>
    </xf>
    <xf numFmtId="3" fontId="0" fillId="0" borderId="35" xfId="0" applyNumberFormat="1" applyFill="1" applyBorder="1" applyAlignment="1">
      <alignment vertical="top"/>
    </xf>
    <xf numFmtId="49" fontId="0" fillId="0" borderId="36" xfId="0" applyNumberFormat="1" applyFill="1" applyBorder="1" applyAlignment="1">
      <alignment vertical="top"/>
    </xf>
    <xf numFmtId="0" fontId="0" fillId="0" borderId="16" xfId="0" applyFill="1" applyBorder="1">
      <alignment vertical="top" wrapText="1"/>
    </xf>
    <xf numFmtId="3" fontId="4" fillId="0" borderId="17" xfId="0" applyNumberFormat="1" applyFont="1" applyFill="1" applyBorder="1">
      <alignment vertical="top" wrapText="1"/>
    </xf>
    <xf numFmtId="3" fontId="0" fillId="0" borderId="16" xfId="0" applyNumberFormat="1" applyFill="1" applyBorder="1">
      <alignment vertical="top" wrapText="1"/>
    </xf>
    <xf numFmtId="49" fontId="6" fillId="0" borderId="16" xfId="1" applyNumberFormat="1" applyFont="1" applyFill="1" applyBorder="1" applyAlignment="1">
      <alignment vertical="top"/>
    </xf>
    <xf numFmtId="3" fontId="0" fillId="0" borderId="17" xfId="0" applyNumberFormat="1" applyFill="1" applyBorder="1">
      <alignment vertical="top" wrapText="1"/>
    </xf>
    <xf numFmtId="49" fontId="0" fillId="8" borderId="7" xfId="0" applyNumberFormat="1" applyFill="1" applyBorder="1" applyAlignment="1">
      <alignment vertical="top"/>
    </xf>
    <xf numFmtId="0" fontId="1" fillId="0" borderId="0" xfId="0" applyFont="1" applyAlignment="1">
      <alignment horizontal="center" vertical="center"/>
    </xf>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useum-neuchatel.ch/collections/" TargetMode="External"/><Relationship Id="rId671" Type="http://schemas.openxmlformats.org/officeDocument/2006/relationships/hyperlink" Target="mailto:michael.knappertsbusch@bs.ch" TargetMode="External"/><Relationship Id="rId21" Type="http://schemas.openxmlformats.org/officeDocument/2006/relationships/hyperlink" Target="mailto:martina.schenkel@zm.uzh.ch" TargetMode="External"/><Relationship Id="rId324" Type="http://schemas.openxmlformats.org/officeDocument/2006/relationships/hyperlink" Target="mailto:ole.seehausen@eawag.ch" TargetMode="External"/><Relationship Id="rId531" Type="http://schemas.openxmlformats.org/officeDocument/2006/relationships/hyperlink" Target="https://hls-dhs-dss.ch/fr/articles/029095/2005-08-16" TargetMode="External"/><Relationship Id="rId629" Type="http://schemas.openxmlformats.org/officeDocument/2006/relationships/hyperlink" Target="mailto:eduard.stoeckli@bs.ch" TargetMode="External"/><Relationship Id="rId170" Type="http://schemas.openxmlformats.org/officeDocument/2006/relationships/hyperlink" Target="mailto:tamara.emmenegger@lu.ch" TargetMode="External"/><Relationship Id="rId268" Type="http://schemas.openxmlformats.org/officeDocument/2006/relationships/hyperlink" Target="mailto:marco.bernasconi@lu.ch" TargetMode="External"/><Relationship Id="rId475" Type="http://schemas.openxmlformats.org/officeDocument/2006/relationships/hyperlink" Target="mailto:sophie.giriens@fr.ch" TargetMode="External"/><Relationship Id="rId682" Type="http://schemas.openxmlformats.org/officeDocument/2006/relationships/hyperlink" Target="mailto:walter.etter@bs.ch" TargetMode="External"/><Relationship Id="rId32" Type="http://schemas.openxmlformats.org/officeDocument/2006/relationships/hyperlink" Target="https://www.aim.uzh.ch/de/collection.html" TargetMode="External"/><Relationship Id="rId128" Type="http://schemas.openxmlformats.org/officeDocument/2006/relationships/hyperlink" Target="https://hls-dhs-dss.ch/fr/articles/029095/2005-08-16;Louis" TargetMode="External"/><Relationship Id="rId335" Type="http://schemas.openxmlformats.org/officeDocument/2006/relationships/hyperlink" Target="mailto:karin.urfer@naturmuseumsg.ch" TargetMode="External"/><Relationship Id="rId542" Type="http://schemas.openxmlformats.org/officeDocument/2006/relationships/hyperlink" Target="mailto:ursula.menkveld@nmbe.ch" TargetMode="External"/><Relationship Id="rId181" Type="http://schemas.openxmlformats.org/officeDocument/2006/relationships/hyperlink" Target="mailto:tamara.emmenegger@lu.ch" TargetMode="External"/><Relationship Id="rId402" Type="http://schemas.openxmlformats.org/officeDocument/2006/relationships/hyperlink" Target="mailto:nicolas.meisser@unil.ch" TargetMode="External"/><Relationship Id="rId279" Type="http://schemas.openxmlformats.org/officeDocument/2006/relationships/hyperlink" Target="mailto:thierry.malvesy@ne.ch" TargetMode="External"/><Relationship Id="rId486" Type="http://schemas.openxmlformats.org/officeDocument/2006/relationships/hyperlink" Target="mailto:christian.puentener@fr.ch" TargetMode="External"/><Relationship Id="rId693" Type="http://schemas.openxmlformats.org/officeDocument/2006/relationships/hyperlink" Target="mailto:walter.etter@bs.ch" TargetMode="External"/><Relationship Id="rId707" Type="http://schemas.openxmlformats.org/officeDocument/2006/relationships/hyperlink" Target="http://www.stadt-zuerich.ch/sukkulenten" TargetMode="External"/><Relationship Id="rId43" Type="http://schemas.openxmlformats.org/officeDocument/2006/relationships/hyperlink" Target="mailto:collection@aim.uzh.ch" TargetMode="External"/><Relationship Id="rId139" Type="http://schemas.openxmlformats.org/officeDocument/2006/relationships/hyperlink" Target="https://www.museum-neuchatel.ch/collections/" TargetMode="External"/><Relationship Id="rId346" Type="http://schemas.openxmlformats.org/officeDocument/2006/relationships/hyperlink" Target="https://viaf.org/viaf/76692655" TargetMode="External"/><Relationship Id="rId553" Type="http://schemas.openxmlformats.org/officeDocument/2006/relationships/hyperlink" Target="mailto:sandra.scherrer@win.ch" TargetMode="External"/><Relationship Id="rId192" Type="http://schemas.openxmlformats.org/officeDocument/2006/relationships/hyperlink" Target="mailto:benedict.hotz@lu.ch" TargetMode="External"/><Relationship Id="rId206" Type="http://schemas.openxmlformats.org/officeDocument/2006/relationships/hyperlink" Target="mailto:benedict.hotz@lu.ch" TargetMode="External"/><Relationship Id="rId413" Type="http://schemas.openxmlformats.org/officeDocument/2006/relationships/hyperlink" Target="mailto:patrice.descombes@vd.ch" TargetMode="External"/><Relationship Id="rId497" Type="http://schemas.openxmlformats.org/officeDocument/2006/relationships/hyperlink" Target="mailto:christian.puentener@fr.ch" TargetMode="External"/><Relationship Id="rId620" Type="http://schemas.openxmlformats.org/officeDocument/2006/relationships/hyperlink" Target="mailto:seraina.klopfstein@bs.ch" TargetMode="External"/><Relationship Id="rId718" Type="http://schemas.openxmlformats.org/officeDocument/2006/relationships/hyperlink" Target="mailto:alessia.guggisberg@env.ethz.ch" TargetMode="External"/><Relationship Id="rId357" Type="http://schemas.openxmlformats.org/officeDocument/2006/relationships/hyperlink" Target="mailto:silvan.thuering@solothurn.ch" TargetMode="External"/><Relationship Id="rId54" Type="http://schemas.openxmlformats.org/officeDocument/2006/relationships/hyperlink" Target="mailto:martin.haeusler@iem.uzh.ch" TargetMode="External"/><Relationship Id="rId217" Type="http://schemas.openxmlformats.org/officeDocument/2006/relationships/hyperlink" Target="mailto:reto.jagher@unibas.ch" TargetMode="External"/><Relationship Id="rId564" Type="http://schemas.openxmlformats.org/officeDocument/2006/relationships/hyperlink" Target="mailto:barbara.richner@tg.ch" TargetMode="External"/><Relationship Id="rId424" Type="http://schemas.openxmlformats.org/officeDocument/2006/relationships/hyperlink" Target="mailto:christian.sprecher@naturama.ch" TargetMode="External"/><Relationship Id="rId631" Type="http://schemas.openxmlformats.org/officeDocument/2006/relationships/hyperlink" Target="mailto:seraina.klopfstein@bs.ch" TargetMode="External"/><Relationship Id="rId729" Type="http://schemas.openxmlformats.org/officeDocument/2006/relationships/hyperlink" Target="mailto:orchid@unibas.ch" TargetMode="External"/><Relationship Id="rId270" Type="http://schemas.openxmlformats.org/officeDocument/2006/relationships/hyperlink" Target="https://viaf.org/viaf/22669656" TargetMode="External"/><Relationship Id="rId65" Type="http://schemas.openxmlformats.org/officeDocument/2006/relationships/hyperlink" Target="https://www.iem.uzh.ch/en/museum_collections/humanremains.html" TargetMode="External"/><Relationship Id="rId130" Type="http://schemas.openxmlformats.org/officeDocument/2006/relationships/hyperlink" Target="https://www.museum-neuchatel.ch/collections/" TargetMode="External"/><Relationship Id="rId368" Type="http://schemas.openxmlformats.org/officeDocument/2006/relationships/hyperlink" Target="https://www.olten.ch/_docn/996524/Prufbericht_NMO.pdf" TargetMode="External"/><Relationship Id="rId575" Type="http://schemas.openxmlformats.org/officeDocument/2006/relationships/hyperlink" Target="mailto:barbara.richner@tg.ch" TargetMode="External"/><Relationship Id="rId228" Type="http://schemas.openxmlformats.org/officeDocument/2006/relationships/hyperlink" Target="mailto:marco.bernasconi@lu.ch" TargetMode="External"/><Relationship Id="rId435" Type="http://schemas.openxmlformats.org/officeDocument/2006/relationships/hyperlink" Target="mailto:christian.sprecher@naturama.ch" TargetMode="External"/><Relationship Id="rId642" Type="http://schemas.openxmlformats.org/officeDocument/2006/relationships/hyperlink" Target="https://viaf.org/viaf/64167248;Albert" TargetMode="External"/><Relationship Id="rId281" Type="http://schemas.openxmlformats.org/officeDocument/2006/relationships/hyperlink" Target="mailto:thierry.malvesy@ne.ch" TargetMode="External"/><Relationship Id="rId502" Type="http://schemas.openxmlformats.org/officeDocument/2006/relationships/hyperlink" Target="mailto:christian.puentener@fr.ch" TargetMode="External"/><Relationship Id="rId76" Type="http://schemas.openxmlformats.org/officeDocument/2006/relationships/hyperlink" Target="mailto:fabrizia.ronco@unibas.ch" TargetMode="External"/><Relationship Id="rId141" Type="http://schemas.openxmlformats.org/officeDocument/2006/relationships/hyperlink" Target="mailto:celia.bueno@ne.ch" TargetMode="External"/><Relationship Id="rId379" Type="http://schemas.openxmlformats.org/officeDocument/2006/relationships/hyperlink" Target="mailto:anne.freitag@vd.ch" TargetMode="External"/><Relationship Id="rId586" Type="http://schemas.openxmlformats.org/officeDocument/2006/relationships/hyperlink" Target="mailto:helene.gabioud-duinat@admin.vs.ch" TargetMode="External"/><Relationship Id="rId7" Type="http://schemas.openxmlformats.org/officeDocument/2006/relationships/hyperlink" Target="http://taxodros.unizh.ch/" TargetMode="External"/><Relationship Id="rId239" Type="http://schemas.openxmlformats.org/officeDocument/2006/relationships/hyperlink" Target="mailto:marco.bernasconi@lu.ch" TargetMode="External"/><Relationship Id="rId446" Type="http://schemas.openxmlformats.org/officeDocument/2006/relationships/hyperlink" Target="mailto:gregor.kozlowski@unifr.ch" TargetMode="External"/><Relationship Id="rId653" Type="http://schemas.openxmlformats.org/officeDocument/2006/relationships/hyperlink" Target="mailto:david.marques@bs.ch" TargetMode="External"/><Relationship Id="rId292" Type="http://schemas.openxmlformats.org/officeDocument/2006/relationships/hyperlink" Target="https://www.museum-neuchatel.ch/collections/" TargetMode="External"/><Relationship Id="rId306" Type="http://schemas.openxmlformats.org/officeDocument/2006/relationships/hyperlink" Target="https://www.amphipod.ch/" TargetMode="External"/><Relationship Id="rId87" Type="http://schemas.openxmlformats.org/officeDocument/2006/relationships/hyperlink" Target="mailto:herb-phanero.cjb@ville-ge.ch" TargetMode="External"/><Relationship Id="rId513" Type="http://schemas.openxmlformats.org/officeDocument/2006/relationships/hyperlink" Target="mailto:katja.rembold@boga.unibe.ch" TargetMode="External"/><Relationship Id="rId597" Type="http://schemas.openxmlformats.org/officeDocument/2006/relationships/hyperlink" Target="mailto:holger.frick@bs.ch" TargetMode="External"/><Relationship Id="rId720" Type="http://schemas.openxmlformats.org/officeDocument/2006/relationships/hyperlink" Target="mailto:herbarium@unibas.ch" TargetMode="External"/><Relationship Id="rId152" Type="http://schemas.openxmlformats.org/officeDocument/2006/relationships/hyperlink" Target="mailto:elisabeth.danner@lu.ch" TargetMode="External"/><Relationship Id="rId457" Type="http://schemas.openxmlformats.org/officeDocument/2006/relationships/hyperlink" Target="mailto:kozlowskig@fr.ch" TargetMode="External"/><Relationship Id="rId664" Type="http://schemas.openxmlformats.org/officeDocument/2006/relationships/hyperlink" Target="https://www.nmbs.ch/home/museum/sammlungen/geowissenschaftlich/palaeontologie-wirbeltiere/ausgestorbene-saeugetiere-der-schweiz.html" TargetMode="External"/><Relationship Id="rId14" Type="http://schemas.openxmlformats.org/officeDocument/2006/relationships/hyperlink" Target="https://www.aim.uzh.ch/de/collection.html" TargetMode="External"/><Relationship Id="rId317" Type="http://schemas.openxmlformats.org/officeDocument/2006/relationships/hyperlink" Target="https://www.amphipod.ch/" TargetMode="External"/><Relationship Id="rId524" Type="http://schemas.openxmlformats.org/officeDocument/2006/relationships/hyperlink" Target="mailto:celia.bueno@ne.ch" TargetMode="External"/><Relationship Id="rId731" Type="http://schemas.openxmlformats.org/officeDocument/2006/relationships/hyperlink" Target="mailto:collections@erdw.ethz.ch" TargetMode="External"/><Relationship Id="rId98" Type="http://schemas.openxmlformats.org/officeDocument/2006/relationships/hyperlink" Target="mailto:info@muzoo.ch" TargetMode="External"/><Relationship Id="rId163" Type="http://schemas.openxmlformats.org/officeDocument/2006/relationships/hyperlink" Target="mailto:elisabeth.danner@lu.ch" TargetMode="External"/><Relationship Id="rId370" Type="http://schemas.openxmlformats.org/officeDocument/2006/relationships/hyperlink" Target="https://www.olten.ch/_docn/996524/Prufbericht_NMO.pdf" TargetMode="External"/><Relationship Id="rId230" Type="http://schemas.openxmlformats.org/officeDocument/2006/relationships/hyperlink" Target="mailto:marco.bernasconi@lu.ch" TargetMode="External"/><Relationship Id="rId468" Type="http://schemas.openxmlformats.org/officeDocument/2006/relationships/hyperlink" Target="mailto:gregor.kozlowski@unifr.ch" TargetMode="External"/><Relationship Id="rId675" Type="http://schemas.openxmlformats.org/officeDocument/2006/relationships/hyperlink" Target="https://www.nmbs.ch/home/museum/sammlungen/geowissenschaftlich/palaeontologie-wirbellose-und-pflanzen/typen-und-Belegsammlungen.html" TargetMode="External"/><Relationship Id="rId25" Type="http://schemas.openxmlformats.org/officeDocument/2006/relationships/hyperlink" Target="mailto:martina.schenkel@zm.uzh.ch" TargetMode="External"/><Relationship Id="rId328" Type="http://schemas.openxmlformats.org/officeDocument/2006/relationships/hyperlink" Target="mailto:stephan.liersch@bnm.gr.ch" TargetMode="External"/><Relationship Id="rId535" Type="http://schemas.openxmlformats.org/officeDocument/2006/relationships/hyperlink" Target="mailto:christian.kropf@nmbe.ch" TargetMode="External"/><Relationship Id="rId742" Type="http://schemas.openxmlformats.org/officeDocument/2006/relationships/hyperlink" Target="http://grscicoll.org/institutional-collection/mammals-and-birds-collection;http:/grbio.org/institutional-collection/mammals-and-birds-collection;4430" TargetMode="External"/><Relationship Id="rId174" Type="http://schemas.openxmlformats.org/officeDocument/2006/relationships/hyperlink" Target="mailto:tamara.emmenegger@lu.ch" TargetMode="External"/><Relationship Id="rId381" Type="http://schemas.openxmlformats.org/officeDocument/2006/relationships/hyperlink" Target="mailto:anne.freitag@vd.ch" TargetMode="External"/><Relationship Id="rId602" Type="http://schemas.openxmlformats.org/officeDocument/2006/relationships/hyperlink" Target="https://www.nmbs.ch/home/museum/sammlungen/biowissenschaftlich/insekten/kaefer.html" TargetMode="External"/><Relationship Id="rId241" Type="http://schemas.openxmlformats.org/officeDocument/2006/relationships/hyperlink" Target="mailto:marco.bernasconi@lu.ch" TargetMode="External"/><Relationship Id="rId479" Type="http://schemas.openxmlformats.org/officeDocument/2006/relationships/hyperlink" Target="mailto:sophie.giriens@fr.ch" TargetMode="External"/><Relationship Id="rId686" Type="http://schemas.openxmlformats.org/officeDocument/2006/relationships/hyperlink" Target="mailto:walter.etter@bs.ch" TargetMode="External"/><Relationship Id="rId36" Type="http://schemas.openxmlformats.org/officeDocument/2006/relationships/hyperlink" Target="https://www.aim.uzh.ch/de/collection.html" TargetMode="External"/><Relationship Id="rId339" Type="http://schemas.openxmlformats.org/officeDocument/2006/relationships/hyperlink" Target="mailto:karin.urfer@naturmuseumsg.ch" TargetMode="External"/><Relationship Id="rId546" Type="http://schemas.openxmlformats.org/officeDocument/2006/relationships/hyperlink" Target="mailto:sabrina.schnurrenberger@win.ch" TargetMode="External"/><Relationship Id="rId101" Type="http://schemas.openxmlformats.org/officeDocument/2006/relationships/hyperlink" Target="https://www.museum-neuchatel.ch/collections/" TargetMode="External"/><Relationship Id="rId185" Type="http://schemas.openxmlformats.org/officeDocument/2006/relationships/hyperlink" Target="mailto:benedict.hotz@lu.ch" TargetMode="External"/><Relationship Id="rId406" Type="http://schemas.openxmlformats.org/officeDocument/2006/relationships/hyperlink" Target="mailto:patrice.descombes@vd.ch" TargetMode="External"/><Relationship Id="rId392" Type="http://schemas.openxmlformats.org/officeDocument/2006/relationships/hyperlink" Target="mailto:antoine.pictet@unil.ch" TargetMode="External"/><Relationship Id="rId613" Type="http://schemas.openxmlformats.org/officeDocument/2006/relationships/hyperlink" Target="mailto:christoph.germann@bs.ch" TargetMode="External"/><Relationship Id="rId697" Type="http://schemas.openxmlformats.org/officeDocument/2006/relationships/hyperlink" Target="https://stadt.winterthur.ch/naturmuseum/sammlungen" TargetMode="External"/><Relationship Id="rId252" Type="http://schemas.openxmlformats.org/officeDocument/2006/relationships/hyperlink" Target="mailto:marco.bernasconi@lu.ch" TargetMode="External"/><Relationship Id="rId47" Type="http://schemas.openxmlformats.org/officeDocument/2006/relationships/hyperlink" Target="mailto:daniel.rigling@wsl.ch" TargetMode="External"/><Relationship Id="rId112" Type="http://schemas.openxmlformats.org/officeDocument/2006/relationships/hyperlink" Target="mailto:info@muzoo.ch" TargetMode="External"/><Relationship Id="rId557" Type="http://schemas.openxmlformats.org/officeDocument/2006/relationships/hyperlink" Target="mailto:barbara.richner@tg.ch" TargetMode="External"/><Relationship Id="rId196" Type="http://schemas.openxmlformats.org/officeDocument/2006/relationships/hyperlink" Target="mailto:benedict.hotz@lu.ch" TargetMode="External"/><Relationship Id="rId417" Type="http://schemas.openxmlformats.org/officeDocument/2006/relationships/hyperlink" Target="mailto:patrice.descombes@vd.ch" TargetMode="External"/><Relationship Id="rId624" Type="http://schemas.openxmlformats.org/officeDocument/2006/relationships/hyperlink" Target="https://www.nmbs.ch/home/museum/sammlungen/biowissenschaftlich/uebrige-wirbellose-Tiere/weitere-Gruppen-wirbelloser-Tiere.html" TargetMode="External"/><Relationship Id="rId263" Type="http://schemas.openxmlformats.org/officeDocument/2006/relationships/hyperlink" Target="mailto:marco.bernasconi@lu.ch" TargetMode="External"/><Relationship Id="rId470" Type="http://schemas.openxmlformats.org/officeDocument/2006/relationships/hyperlink" Target="mailto:gregor.kozlowski@unifr.ch" TargetMode="External"/><Relationship Id="rId58" Type="http://schemas.openxmlformats.org/officeDocument/2006/relationships/hyperlink" Target="mailto:martin.haeusler@iem.uzh.ch" TargetMode="External"/><Relationship Id="rId123" Type="http://schemas.openxmlformats.org/officeDocument/2006/relationships/hyperlink" Target="mailto:marc.limat@bl.ch" TargetMode="External"/><Relationship Id="rId330" Type="http://schemas.openxmlformats.org/officeDocument/2006/relationships/hyperlink" Target="mailto:alfred.bruelisauer@naturmuseumsg.ch" TargetMode="External"/><Relationship Id="rId568" Type="http://schemas.openxmlformats.org/officeDocument/2006/relationships/hyperlink" Target="mailto:barbara.richner@tg.ch" TargetMode="External"/><Relationship Id="rId428" Type="http://schemas.openxmlformats.org/officeDocument/2006/relationships/hyperlink" Target="mailto:christian.sprecher@naturama.ch" TargetMode="External"/><Relationship Id="rId635" Type="http://schemas.openxmlformats.org/officeDocument/2006/relationships/hyperlink" Target="mailto:holger.frick@bs.ch" TargetMode="External"/><Relationship Id="rId274" Type="http://schemas.openxmlformats.org/officeDocument/2006/relationships/hyperlink" Target="mailto:marco.bernasconi@lu.ch" TargetMode="External"/><Relationship Id="rId481" Type="http://schemas.openxmlformats.org/officeDocument/2006/relationships/hyperlink" Target="mailto:sophie.giriens@fr.ch" TargetMode="External"/><Relationship Id="rId702" Type="http://schemas.openxmlformats.org/officeDocument/2006/relationships/hyperlink" Target="https://hls-dhs-dss.ch/fr/articles/023361/2013-11-26;Theodor" TargetMode="External"/><Relationship Id="rId69" Type="http://schemas.openxmlformats.org/officeDocument/2006/relationships/hyperlink" Target="https://www.iem.uzh.ch/en/museum_collections/humanremains.html" TargetMode="External"/><Relationship Id="rId134" Type="http://schemas.openxmlformats.org/officeDocument/2006/relationships/hyperlink" Target="https://viaf.org/viaf/8185896;Philippe" TargetMode="External"/><Relationship Id="rId579" Type="http://schemas.openxmlformats.org/officeDocument/2006/relationships/hyperlink" Target="https://www.musees-valais.ch/musee-de-la-nature/collections.html" TargetMode="External"/><Relationship Id="rId341" Type="http://schemas.openxmlformats.org/officeDocument/2006/relationships/hyperlink" Target="mailto:martina.pacher@naturmuseumsg.ch" TargetMode="External"/><Relationship Id="rId439" Type="http://schemas.openxmlformats.org/officeDocument/2006/relationships/hyperlink" Target="mailto:christian.sprecher@naturama.ch" TargetMode="External"/><Relationship Id="rId646" Type="http://schemas.openxmlformats.org/officeDocument/2006/relationships/hyperlink" Target="https://viaf.org/viaf/64167248;Alfred" TargetMode="External"/><Relationship Id="rId201" Type="http://schemas.openxmlformats.org/officeDocument/2006/relationships/hyperlink" Target="mailto:benedict.hotz@lu.ch" TargetMode="External"/><Relationship Id="rId285" Type="http://schemas.openxmlformats.org/officeDocument/2006/relationships/hyperlink" Target="https://viaf.org/viaf/310654525;Louis" TargetMode="External"/><Relationship Id="rId506" Type="http://schemas.openxmlformats.org/officeDocument/2006/relationships/hyperlink" Target="mailto:christian.puentener@fr.ch" TargetMode="External"/><Relationship Id="rId492" Type="http://schemas.openxmlformats.org/officeDocument/2006/relationships/hyperlink" Target="mailto:christian.puentener@fr.ch" TargetMode="External"/><Relationship Id="rId713" Type="http://schemas.openxmlformats.org/officeDocument/2006/relationships/hyperlink" Target="mailto:herb-phanero.cjb@ville-ge.ch" TargetMode="External"/><Relationship Id="rId145" Type="http://schemas.openxmlformats.org/officeDocument/2006/relationships/hyperlink" Target="mailto:filippo.rampazzi@ti.ch" TargetMode="External"/><Relationship Id="rId352" Type="http://schemas.openxmlformats.org/officeDocument/2006/relationships/hyperlink" Target="https://www.researchgate.net/profile/Charles_Huber4;Axel" TargetMode="External"/><Relationship Id="rId212" Type="http://schemas.openxmlformats.org/officeDocument/2006/relationships/hyperlink" Target="mailto:jason.grant@unine.ch" TargetMode="External"/><Relationship Id="rId657" Type="http://schemas.openxmlformats.org/officeDocument/2006/relationships/hyperlink" Target="mailto:david.marques@bs.ch" TargetMode="External"/><Relationship Id="rId296" Type="http://schemas.openxmlformats.org/officeDocument/2006/relationships/hyperlink" Target="https://www.amphipod.ch/" TargetMode="External"/><Relationship Id="rId517" Type="http://schemas.openxmlformats.org/officeDocument/2006/relationships/hyperlink" Target="mailto:katja.rembold@boga.unibe.ch" TargetMode="External"/><Relationship Id="rId724" Type="http://schemas.openxmlformats.org/officeDocument/2006/relationships/hyperlink" Target="https://www.herbarien.uzh.ch/de.html" TargetMode="External"/><Relationship Id="rId60" Type="http://schemas.openxmlformats.org/officeDocument/2006/relationships/hyperlink" Target="mailto:martin.haeusler@iem.uzh.ch" TargetMode="External"/><Relationship Id="rId156" Type="http://schemas.openxmlformats.org/officeDocument/2006/relationships/hyperlink" Target="mailto:elisabeth.danner@lu.ch" TargetMode="External"/><Relationship Id="rId363" Type="http://schemas.openxmlformats.org/officeDocument/2006/relationships/hyperlink" Target="mailto:urs.weibel@stsh.ch" TargetMode="External"/><Relationship Id="rId570" Type="http://schemas.openxmlformats.org/officeDocument/2006/relationships/hyperlink" Target="mailto:barbara.richner@tg.ch" TargetMode="External"/><Relationship Id="rId223" Type="http://schemas.openxmlformats.org/officeDocument/2006/relationships/hyperlink" Target="https://hls-dhs-dss.ch/fr/articles/032000/2010-04-16;Hans" TargetMode="External"/><Relationship Id="rId430" Type="http://schemas.openxmlformats.org/officeDocument/2006/relationships/hyperlink" Target="mailto:christian.sprecher@naturama.ch" TargetMode="External"/><Relationship Id="rId668" Type="http://schemas.openxmlformats.org/officeDocument/2006/relationships/hyperlink" Target="https://www.nmbs.ch/home/museum/sammlungen/geowissenschaftlich/palaeontologie-wirbellose-und-pflanzen/pflanzensammlungen.html" TargetMode="External"/><Relationship Id="rId18" Type="http://schemas.openxmlformats.org/officeDocument/2006/relationships/hyperlink" Target="https://www.aim.uzh.ch/de/collection.html" TargetMode="External"/><Relationship Id="rId528" Type="http://schemas.openxmlformats.org/officeDocument/2006/relationships/hyperlink" Target="mailto:jessica.litman@ne.ch" TargetMode="External"/><Relationship Id="rId735" Type="http://schemas.openxmlformats.org/officeDocument/2006/relationships/hyperlink" Target="https://biocommunication.ethz.ch/entomological-collection.html" TargetMode="External"/><Relationship Id="rId167" Type="http://schemas.openxmlformats.org/officeDocument/2006/relationships/hyperlink" Target="mailto:marco.bernasconi@lu.ch" TargetMode="External"/><Relationship Id="rId374" Type="http://schemas.openxmlformats.org/officeDocument/2006/relationships/hyperlink" Target="mailto:anne.freitag@vd.ch" TargetMode="External"/><Relationship Id="rId581" Type="http://schemas.openxmlformats.org/officeDocument/2006/relationships/hyperlink" Target="mailto:helene.gabioud-duinat@admin.vs.ch" TargetMode="External"/><Relationship Id="rId71" Type="http://schemas.openxmlformats.org/officeDocument/2006/relationships/hyperlink" Target="https://www.iem.uzh.ch/en/museum_collections/humanremains.html" TargetMode="External"/><Relationship Id="rId234" Type="http://schemas.openxmlformats.org/officeDocument/2006/relationships/hyperlink" Target="mailto:marco.bernasconi@lu.ch" TargetMode="External"/><Relationship Id="rId679" Type="http://schemas.openxmlformats.org/officeDocument/2006/relationships/hyperlink" Target="https://www.nmbs.ch/home/museum/sammlungen/geowissenschaftlich/palaeontologie-wirbellose-und-pflanzen/systematische-Sammlung.html" TargetMode="External"/><Relationship Id="rId2" Type="http://schemas.openxmlformats.org/officeDocument/2006/relationships/hyperlink" Target="https://www.unifr.ch/jardin-botanique/fr/assets/public/images/galleries/secteurs/systeme.jpg" TargetMode="External"/><Relationship Id="rId29" Type="http://schemas.openxmlformats.org/officeDocument/2006/relationships/hyperlink" Target="mailto:gabriel.aguirre@pim.uzh.ch" TargetMode="External"/><Relationship Id="rId441" Type="http://schemas.openxmlformats.org/officeDocument/2006/relationships/hyperlink" Target="mailto:gregor.kozlowski@unifr.ch" TargetMode="External"/><Relationship Id="rId539" Type="http://schemas.openxmlformats.org/officeDocument/2006/relationships/hyperlink" Target="mailto:stefan.hertwig@nmbe.ch" TargetMode="External"/><Relationship Id="rId746" Type="http://schemas.openxmlformats.org/officeDocument/2006/relationships/hyperlink" Target="http://grscicoll.org/non-institutional-collection/research-collection-matthew-jw-cock;http:/grbio.org/non-institutional-collection/research-collection-matthew-jw-cock;1422" TargetMode="External"/><Relationship Id="rId178" Type="http://schemas.openxmlformats.org/officeDocument/2006/relationships/hyperlink" Target="mailto:tamara.emmenegger@lu.ch" TargetMode="External"/><Relationship Id="rId301" Type="http://schemas.openxmlformats.org/officeDocument/2006/relationships/hyperlink" Target="mailto:olivier.maridet@jurassica.ch" TargetMode="External"/><Relationship Id="rId82" Type="http://schemas.openxmlformats.org/officeDocument/2006/relationships/hyperlink" Target="https://www.cjbg.ch/fr/collections/herbiers" TargetMode="External"/><Relationship Id="rId385" Type="http://schemas.openxmlformats.org/officeDocument/2006/relationships/hyperlink" Target="mailto:anne.freitag@vd.ch" TargetMode="External"/><Relationship Id="rId592" Type="http://schemas.openxmlformats.org/officeDocument/2006/relationships/hyperlink" Target="mailto:helene.gabioud-duinat@admin.vs.ch" TargetMode="External"/><Relationship Id="rId606" Type="http://schemas.openxmlformats.org/officeDocument/2006/relationships/hyperlink" Target="https://www.nmbs.ch/home/museum/sammlungen/biowissenschaftlich/typenkataloge" TargetMode="External"/><Relationship Id="rId245" Type="http://schemas.openxmlformats.org/officeDocument/2006/relationships/hyperlink" Target="mailto:marco.bernasconi@lu.ch" TargetMode="External"/><Relationship Id="rId452" Type="http://schemas.openxmlformats.org/officeDocument/2006/relationships/hyperlink" Target="mailto:gregor.kozlowski@unifr.ch" TargetMode="External"/><Relationship Id="rId105" Type="http://schemas.openxmlformats.org/officeDocument/2006/relationships/hyperlink" Target="https://www.museum-neuchatel.ch/collections/" TargetMode="External"/><Relationship Id="rId312" Type="http://schemas.openxmlformats.org/officeDocument/2006/relationships/hyperlink" Target="https://www.amphipod.ch/" TargetMode="External"/><Relationship Id="rId93" Type="http://schemas.openxmlformats.org/officeDocument/2006/relationships/hyperlink" Target="https://www.museum-neuchatel.ch/collections/" TargetMode="External"/><Relationship Id="rId189" Type="http://schemas.openxmlformats.org/officeDocument/2006/relationships/hyperlink" Target="mailto:benedict.hotz@lu.ch" TargetMode="External"/><Relationship Id="rId396" Type="http://schemas.openxmlformats.org/officeDocument/2006/relationships/hyperlink" Target="mailto:nicolas.meisser@unil.ch" TargetMode="External"/><Relationship Id="rId617" Type="http://schemas.openxmlformats.org/officeDocument/2006/relationships/hyperlink" Target="mailto:seraina.klopfstein@bs.ch" TargetMode="External"/><Relationship Id="rId256" Type="http://schemas.openxmlformats.org/officeDocument/2006/relationships/hyperlink" Target="mailto:marco.bernasconi@lu.ch" TargetMode="External"/><Relationship Id="rId463" Type="http://schemas.openxmlformats.org/officeDocument/2006/relationships/hyperlink" Target="mailto:gregor.kozlowski@unifr.ch" TargetMode="External"/><Relationship Id="rId670" Type="http://schemas.openxmlformats.org/officeDocument/2006/relationships/hyperlink" Target="https://www.wikidata.org/wiki/Q2077023;Johann" TargetMode="External"/><Relationship Id="rId116" Type="http://schemas.openxmlformats.org/officeDocument/2006/relationships/hyperlink" Target="mailto:info@muzoo.ch" TargetMode="External"/><Relationship Id="rId323" Type="http://schemas.openxmlformats.org/officeDocument/2006/relationships/hyperlink" Target="https://www.amphipod.ch/" TargetMode="External"/><Relationship Id="rId530" Type="http://schemas.openxmlformats.org/officeDocument/2006/relationships/hyperlink" Target="mailto:jessica.litman@unine.ch" TargetMode="External"/><Relationship Id="rId20" Type="http://schemas.openxmlformats.org/officeDocument/2006/relationships/hyperlink" Target="https://www.aim.uzh.ch/de/collection.html" TargetMode="External"/><Relationship Id="rId62" Type="http://schemas.openxmlformats.org/officeDocument/2006/relationships/hyperlink" Target="mailto:martin.haeusler@iem.uzh.ch" TargetMode="External"/><Relationship Id="rId365" Type="http://schemas.openxmlformats.org/officeDocument/2006/relationships/hyperlink" Target="mailto:urs.weibel@stsh.ch" TargetMode="External"/><Relationship Id="rId572" Type="http://schemas.openxmlformats.org/officeDocument/2006/relationships/hyperlink" Target="mailto:barbara.richner@tg.ch" TargetMode="External"/><Relationship Id="rId628" Type="http://schemas.openxmlformats.org/officeDocument/2006/relationships/hyperlink" Target="https://www.nmbs.ch/home/museum/sammlungen/biowissenschaftlich/uebrige-wirbellose-Tiere/weitere-Gruppen-wirbelloser-Tiere.html" TargetMode="External"/><Relationship Id="rId225" Type="http://schemas.openxmlformats.org/officeDocument/2006/relationships/hyperlink" Target="mailto:marco.bernasconi@lu.ch" TargetMode="External"/><Relationship Id="rId267" Type="http://schemas.openxmlformats.org/officeDocument/2006/relationships/hyperlink" Target="mailto:marco.bernasconi@lu.ch" TargetMode="External"/><Relationship Id="rId432" Type="http://schemas.openxmlformats.org/officeDocument/2006/relationships/hyperlink" Target="mailto:christian.sprecher@naturama.ch" TargetMode="External"/><Relationship Id="rId474" Type="http://schemas.openxmlformats.org/officeDocument/2006/relationships/hyperlink" Target="mailto:sophie.giriens@fr.ch" TargetMode="External"/><Relationship Id="rId127" Type="http://schemas.openxmlformats.org/officeDocument/2006/relationships/hyperlink" Target="https://www.museum-neuchatel.ch/collections/" TargetMode="External"/><Relationship Id="rId681" Type="http://schemas.openxmlformats.org/officeDocument/2006/relationships/hyperlink" Target="https://www.wikidata.org/wiki/Q2077023;Mathieu" TargetMode="External"/><Relationship Id="rId737" Type="http://schemas.openxmlformats.org/officeDocument/2006/relationships/hyperlink" Target="https://viaf.org/viaf/64454423;Max" TargetMode="External"/><Relationship Id="rId31" Type="http://schemas.openxmlformats.org/officeDocument/2006/relationships/hyperlink" Target="mailto:gabriel.aguirre@pim.uzh.ch" TargetMode="External"/><Relationship Id="rId73" Type="http://schemas.openxmlformats.org/officeDocument/2006/relationships/hyperlink" Target="https://www.iem.uzh.ch/en/museum_collections/humanremains.html" TargetMode="External"/><Relationship Id="rId169" Type="http://schemas.openxmlformats.org/officeDocument/2006/relationships/hyperlink" Target="mailto:tamara.emmenegger@lu.ch" TargetMode="External"/><Relationship Id="rId334" Type="http://schemas.openxmlformats.org/officeDocument/2006/relationships/hyperlink" Target="mailto:madeleine.geiger@naturmuseumsg.ch" TargetMode="External"/><Relationship Id="rId376" Type="http://schemas.openxmlformats.org/officeDocument/2006/relationships/hyperlink" Target="mailto:anne.freitag@vd.ch" TargetMode="External"/><Relationship Id="rId541" Type="http://schemas.openxmlformats.org/officeDocument/2006/relationships/hyperlink" Target="mailto:ursula.menkveld@nmbe.ch" TargetMode="External"/><Relationship Id="rId583" Type="http://schemas.openxmlformats.org/officeDocument/2006/relationships/hyperlink" Target="mailto:helene.gabioud-duinat@admin.vs.ch" TargetMode="External"/><Relationship Id="rId639" Type="http://schemas.openxmlformats.org/officeDocument/2006/relationships/hyperlink" Target="mailto:david.marques@bs.ch" TargetMode="External"/><Relationship Id="rId4" Type="http://schemas.openxmlformats.org/officeDocument/2006/relationships/hyperlink" Target="https://www.pim.uzh.ch/sammlung/" TargetMode="External"/><Relationship Id="rId180" Type="http://schemas.openxmlformats.org/officeDocument/2006/relationships/hyperlink" Target="mailto:tamara.emmenegger@lu.ch" TargetMode="External"/><Relationship Id="rId236" Type="http://schemas.openxmlformats.org/officeDocument/2006/relationships/hyperlink" Target="mailto:marco.bernasconi@lu.ch" TargetMode="External"/><Relationship Id="rId278" Type="http://schemas.openxmlformats.org/officeDocument/2006/relationships/hyperlink" Target="https://www.museum-neuchatel.ch/collections/" TargetMode="External"/><Relationship Id="rId401" Type="http://schemas.openxmlformats.org/officeDocument/2006/relationships/hyperlink" Target="https://www.unil.ch/mcg/home/menuinst/le-musee/patrimoine/collections/geologie-de-letranger.html" TargetMode="External"/><Relationship Id="rId443" Type="http://schemas.openxmlformats.org/officeDocument/2006/relationships/hyperlink" Target="mailto:gregor.kozlowski@unifr.ch" TargetMode="External"/><Relationship Id="rId650" Type="http://schemas.openxmlformats.org/officeDocument/2006/relationships/hyperlink" Target="https://viaf.org/viaf/64167248;Jean" TargetMode="External"/><Relationship Id="rId303" Type="http://schemas.openxmlformats.org/officeDocument/2006/relationships/hyperlink" Target="mailto:olivier.maridet@jurassica.ch" TargetMode="External"/><Relationship Id="rId485" Type="http://schemas.openxmlformats.org/officeDocument/2006/relationships/hyperlink" Target="mailto:christian.puentener@fr.ch" TargetMode="External"/><Relationship Id="rId692" Type="http://schemas.openxmlformats.org/officeDocument/2006/relationships/hyperlink" Target="https://viaf.org/viaf/64167248;Paul" TargetMode="External"/><Relationship Id="rId706" Type="http://schemas.openxmlformats.org/officeDocument/2006/relationships/hyperlink" Target="mailto:david.preiswerk@zuerich.ch" TargetMode="External"/><Relationship Id="rId42" Type="http://schemas.openxmlformats.org/officeDocument/2006/relationships/hyperlink" Target="https://www.aim.uzh.ch/de/collection.html" TargetMode="External"/><Relationship Id="rId84" Type="http://schemas.openxmlformats.org/officeDocument/2006/relationships/hyperlink" Target="mailto:herb-phanero.cjb@ville-ge.ch" TargetMode="External"/><Relationship Id="rId138" Type="http://schemas.openxmlformats.org/officeDocument/2006/relationships/hyperlink" Target="mailto:celia.bueno@ne.ch" TargetMode="External"/><Relationship Id="rId345" Type="http://schemas.openxmlformats.org/officeDocument/2006/relationships/hyperlink" Target="mailto:madeleine.geiger@naturmuseumsg.ch" TargetMode="External"/><Relationship Id="rId387" Type="http://schemas.openxmlformats.org/officeDocument/2006/relationships/hyperlink" Target="mailto:jean-luc.gattolliat@vd.ch" TargetMode="External"/><Relationship Id="rId510" Type="http://schemas.openxmlformats.org/officeDocument/2006/relationships/hyperlink" Target="https://www.kulturama.ch/ueber-uns/" TargetMode="External"/><Relationship Id="rId552" Type="http://schemas.openxmlformats.org/officeDocument/2006/relationships/hyperlink" Target="mailto:sandra.scherrer@win.ch" TargetMode="External"/><Relationship Id="rId594" Type="http://schemas.openxmlformats.org/officeDocument/2006/relationships/hyperlink" Target="mailto:helene.gabioud-duinat@admin.vs.ch" TargetMode="External"/><Relationship Id="rId608" Type="http://schemas.openxmlformats.org/officeDocument/2006/relationships/hyperlink" Target="https://viaf.org/viaf/64167248;Alfred" TargetMode="External"/><Relationship Id="rId191" Type="http://schemas.openxmlformats.org/officeDocument/2006/relationships/hyperlink" Target="mailto:benedict.hotz@lu.ch" TargetMode="External"/><Relationship Id="rId205" Type="http://schemas.openxmlformats.org/officeDocument/2006/relationships/hyperlink" Target="mailto:benedict.hotz@lu.ch" TargetMode="External"/><Relationship Id="rId247" Type="http://schemas.openxmlformats.org/officeDocument/2006/relationships/hyperlink" Target="mailto:marco.bernasconi@lu.ch" TargetMode="External"/><Relationship Id="rId412" Type="http://schemas.openxmlformats.org/officeDocument/2006/relationships/hyperlink" Target="https://viaf.org/viaf/109945420;Pierre" TargetMode="External"/><Relationship Id="rId107" Type="http://schemas.openxmlformats.org/officeDocument/2006/relationships/hyperlink" Target="https://www.museum-neuchatel.ch/collections/" TargetMode="External"/><Relationship Id="rId289" Type="http://schemas.openxmlformats.org/officeDocument/2006/relationships/hyperlink" Target="mailto:thierry.malvesy@ne.ch" TargetMode="External"/><Relationship Id="rId454" Type="http://schemas.openxmlformats.org/officeDocument/2006/relationships/hyperlink" Target="mailto:gregor.kozlowski@unifr.ch" TargetMode="External"/><Relationship Id="rId496" Type="http://schemas.openxmlformats.org/officeDocument/2006/relationships/hyperlink" Target="mailto:christian.puentener@fr.ch" TargetMode="External"/><Relationship Id="rId661" Type="http://schemas.openxmlformats.org/officeDocument/2006/relationships/hyperlink" Target="mailto:florian.dammeyer@bs.ch" TargetMode="External"/><Relationship Id="rId717" Type="http://schemas.openxmlformats.org/officeDocument/2006/relationships/hyperlink" Target="https://www.herbarien.uzh.ch/de.html" TargetMode="External"/><Relationship Id="rId11" Type="http://schemas.openxmlformats.org/officeDocument/2006/relationships/hyperlink" Target="mailto:martina.schenkel@zm.uzh.ch" TargetMode="External"/><Relationship Id="rId53" Type="http://schemas.openxmlformats.org/officeDocument/2006/relationships/hyperlink" Target="https://www.iem.uzh.ch/en/museum_collections/humanremains.html" TargetMode="External"/><Relationship Id="rId149" Type="http://schemas.openxmlformats.org/officeDocument/2006/relationships/hyperlink" Target="mailto:elisabeth.danner@lu.ch" TargetMode="External"/><Relationship Id="rId314" Type="http://schemas.openxmlformats.org/officeDocument/2006/relationships/hyperlink" Target="https://www.amphipod.ch/" TargetMode="External"/><Relationship Id="rId356" Type="http://schemas.openxmlformats.org/officeDocument/2006/relationships/hyperlink" Target="https://www.naturmuseum-so.ch/" TargetMode="External"/><Relationship Id="rId398" Type="http://schemas.openxmlformats.org/officeDocument/2006/relationships/hyperlink" Target="mailto:nicolas.meisser@unil.ch" TargetMode="External"/><Relationship Id="rId521" Type="http://schemas.openxmlformats.org/officeDocument/2006/relationships/hyperlink" Target="mailto:katja.rembold@boga.unibe.ch" TargetMode="External"/><Relationship Id="rId563" Type="http://schemas.openxmlformats.org/officeDocument/2006/relationships/hyperlink" Target="https://viaf.org/viaf/27865157;Walter" TargetMode="External"/><Relationship Id="rId619" Type="http://schemas.openxmlformats.org/officeDocument/2006/relationships/hyperlink" Target="mailto:seraina.klopfstein@bs.ch" TargetMode="External"/><Relationship Id="rId95" Type="http://schemas.openxmlformats.org/officeDocument/2006/relationships/hyperlink" Target="https://www.museum-neuchatel.ch/collections/" TargetMode="External"/><Relationship Id="rId160" Type="http://schemas.openxmlformats.org/officeDocument/2006/relationships/hyperlink" Target="mailto:elisabeth.danner@lu.ch" TargetMode="External"/><Relationship Id="rId216" Type="http://schemas.openxmlformats.org/officeDocument/2006/relationships/hyperlink" Target="mailto:sabine.deschler@unibas.ch" TargetMode="External"/><Relationship Id="rId423" Type="http://schemas.openxmlformats.org/officeDocument/2006/relationships/hyperlink" Target="mailto:christian.sprecher@naturama.ch" TargetMode="External"/><Relationship Id="rId258" Type="http://schemas.openxmlformats.org/officeDocument/2006/relationships/hyperlink" Target="mailto:marco.bernasconi@lu.ch" TargetMode="External"/><Relationship Id="rId465" Type="http://schemas.openxmlformats.org/officeDocument/2006/relationships/hyperlink" Target="mailto:gregor.kozlowski@unifr.ch" TargetMode="External"/><Relationship Id="rId630" Type="http://schemas.openxmlformats.org/officeDocument/2006/relationships/hyperlink" Target="https://viaf.org/viaf/64167248;Jean" TargetMode="External"/><Relationship Id="rId672" Type="http://schemas.openxmlformats.org/officeDocument/2006/relationships/hyperlink" Target="https://micropal-basel.unibas.ch/Colls_NMB/MPCOLNMB.HTML" TargetMode="External"/><Relationship Id="rId728" Type="http://schemas.openxmlformats.org/officeDocument/2006/relationships/hyperlink" Target="https://orchid.unibas.ch/" TargetMode="External"/><Relationship Id="rId22" Type="http://schemas.openxmlformats.org/officeDocument/2006/relationships/hyperlink" Target="https://www.aim.uzh.ch/de/collection.html" TargetMode="External"/><Relationship Id="rId64" Type="http://schemas.openxmlformats.org/officeDocument/2006/relationships/hyperlink" Target="mailto:martin.haeusler@iem.uzh.ch" TargetMode="External"/><Relationship Id="rId118" Type="http://schemas.openxmlformats.org/officeDocument/2006/relationships/hyperlink" Target="mailto:info@muzoo.ch" TargetMode="External"/><Relationship Id="rId325" Type="http://schemas.openxmlformats.org/officeDocument/2006/relationships/hyperlink" Target="mailto:ole.seehausen@eawag.ch" TargetMode="External"/><Relationship Id="rId367" Type="http://schemas.openxmlformats.org/officeDocument/2006/relationships/hyperlink" Target="mailto:pia.geiger@olten.ch" TargetMode="External"/><Relationship Id="rId532" Type="http://schemas.openxmlformats.org/officeDocument/2006/relationships/hyperlink" Target="mailto:celia.bueno@ne.ch" TargetMode="External"/><Relationship Id="rId574" Type="http://schemas.openxmlformats.org/officeDocument/2006/relationships/hyperlink" Target="mailto:barbara.richner@tg.ch" TargetMode="External"/><Relationship Id="rId171" Type="http://schemas.openxmlformats.org/officeDocument/2006/relationships/hyperlink" Target="mailto:tamara.emmenegger@lu.ch" TargetMode="External"/><Relationship Id="rId227" Type="http://schemas.openxmlformats.org/officeDocument/2006/relationships/hyperlink" Target="mailto:marco.bernasconi@lu.ch" TargetMode="External"/><Relationship Id="rId269" Type="http://schemas.openxmlformats.org/officeDocument/2006/relationships/hyperlink" Target="mailto:marco.bernasconi@lu.ch" TargetMode="External"/><Relationship Id="rId434" Type="http://schemas.openxmlformats.org/officeDocument/2006/relationships/hyperlink" Target="mailto:christian.sprecher@naturama.ch" TargetMode="External"/><Relationship Id="rId476" Type="http://schemas.openxmlformats.org/officeDocument/2006/relationships/hyperlink" Target="mailto:sophie.giriens@fr.ch" TargetMode="External"/><Relationship Id="rId641" Type="http://schemas.openxmlformats.org/officeDocument/2006/relationships/hyperlink" Target="mailto:david.marques@bs.ch" TargetMode="External"/><Relationship Id="rId683" Type="http://schemas.openxmlformats.org/officeDocument/2006/relationships/hyperlink" Target="https://www.nmbs.ch/home/museum/sammlungen/geowissenschaftlich/palaeontologie-wirbellose-und-pflanzen/systematische-Sammlung.html" TargetMode="External"/><Relationship Id="rId739" Type="http://schemas.openxmlformats.org/officeDocument/2006/relationships/hyperlink" Target="http://grscicoll.org/institutional-collection/fishes-and-reptiles-collection;http:/grbio.org/institutional-collection/fishes-and-reptiles-collection;4321" TargetMode="External"/><Relationship Id="rId33" Type="http://schemas.openxmlformats.org/officeDocument/2006/relationships/hyperlink" Target="mailto:gabriel.aguirre@pim.uzh.ch" TargetMode="External"/><Relationship Id="rId129" Type="http://schemas.openxmlformats.org/officeDocument/2006/relationships/hyperlink" Target="mailto:celia.bueno@ne.ch" TargetMode="External"/><Relationship Id="rId280" Type="http://schemas.openxmlformats.org/officeDocument/2006/relationships/hyperlink" Target="https://www.museum-neuchatel.ch/collections/" TargetMode="External"/><Relationship Id="rId336" Type="http://schemas.openxmlformats.org/officeDocument/2006/relationships/hyperlink" Target="mailto:madeleine.geiger@naturmuseumsg.ch" TargetMode="External"/><Relationship Id="rId501" Type="http://schemas.openxmlformats.org/officeDocument/2006/relationships/hyperlink" Target="https://viaf.org/viaf/42606656" TargetMode="External"/><Relationship Id="rId543" Type="http://schemas.openxmlformats.org/officeDocument/2006/relationships/hyperlink" Target="mailto:beda.hofmann@nmbe.ch" TargetMode="External"/><Relationship Id="rId75" Type="http://schemas.openxmlformats.org/officeDocument/2006/relationships/hyperlink" Target="https://www.unibas.ch/de/Universitaet/Administration-Services/Generalsekretariat/Archive-Sammlungen/Wissenschaftliche-Sammlungen/Alphabetisch-sortiert/Buntbarsch-Sammlung.html" TargetMode="External"/><Relationship Id="rId140" Type="http://schemas.openxmlformats.org/officeDocument/2006/relationships/hyperlink" Target="https://viaf.org/viaf/8185896;Philippe" TargetMode="External"/><Relationship Id="rId182" Type="http://schemas.openxmlformats.org/officeDocument/2006/relationships/hyperlink" Target="mailto:tamara.emmenegger@lu.ch" TargetMode="External"/><Relationship Id="rId378" Type="http://schemas.openxmlformats.org/officeDocument/2006/relationships/hyperlink" Target="mailto:jean-luc.gattolliat@vd.ch" TargetMode="External"/><Relationship Id="rId403" Type="http://schemas.openxmlformats.org/officeDocument/2006/relationships/hyperlink" Target="https://www.unil.ch/mcg/home/menuinst/le-musee/patrimoine/collections/mineralogie.html" TargetMode="External"/><Relationship Id="rId585" Type="http://schemas.openxmlformats.org/officeDocument/2006/relationships/hyperlink" Target="mailto:helene.gabioud-duinat@admin.vs.ch" TargetMode="External"/><Relationship Id="rId6" Type="http://schemas.openxmlformats.org/officeDocument/2006/relationships/hyperlink" Target="https://www.botmuseum.uzh.ch/" TargetMode="External"/><Relationship Id="rId238" Type="http://schemas.openxmlformats.org/officeDocument/2006/relationships/hyperlink" Target="mailto:marco.bernasconi@lu.ch" TargetMode="External"/><Relationship Id="rId445" Type="http://schemas.openxmlformats.org/officeDocument/2006/relationships/hyperlink" Target="mailto:gregor.kozlowski@unifr.ch" TargetMode="External"/><Relationship Id="rId487" Type="http://schemas.openxmlformats.org/officeDocument/2006/relationships/hyperlink" Target="mailto:christian.puentener@fr.ch" TargetMode="External"/><Relationship Id="rId610" Type="http://schemas.openxmlformats.org/officeDocument/2006/relationships/hyperlink" Target="https://www.nmbs.ch/home/museum/sammlungen/biowissenschaftlich/insekten/kaefersammlung-Frey.html" TargetMode="External"/><Relationship Id="rId652" Type="http://schemas.openxmlformats.org/officeDocument/2006/relationships/hyperlink" Target="https://www.nmbs.ch/home/museum/sammlungen/biowissenschaftlich/wirbeltiere/fische.html" TargetMode="External"/><Relationship Id="rId694" Type="http://schemas.openxmlformats.org/officeDocument/2006/relationships/hyperlink" Target="mailto:andre.puschnig@bs.ch" TargetMode="External"/><Relationship Id="rId708" Type="http://schemas.openxmlformats.org/officeDocument/2006/relationships/hyperlink" Target="mailto:urs.eggli@zuerich.ch" TargetMode="External"/><Relationship Id="rId291" Type="http://schemas.openxmlformats.org/officeDocument/2006/relationships/hyperlink" Target="mailto:thierry.malvesy@ne.ch" TargetMode="External"/><Relationship Id="rId305" Type="http://schemas.openxmlformats.org/officeDocument/2006/relationships/hyperlink" Target="mailto:olivier.maridet@jurassica.ch" TargetMode="External"/><Relationship Id="rId347" Type="http://schemas.openxmlformats.org/officeDocument/2006/relationships/hyperlink" Target="mailto:madeleine.geiger@naturmuseumsg.ch" TargetMode="External"/><Relationship Id="rId512" Type="http://schemas.openxmlformats.org/officeDocument/2006/relationships/hyperlink" Target="mailto:stephan.liersch@bnm.gr.ch" TargetMode="External"/><Relationship Id="rId44" Type="http://schemas.openxmlformats.org/officeDocument/2006/relationships/hyperlink" Target="https://www.aim.uzh.ch/de/collection.html" TargetMode="External"/><Relationship Id="rId86" Type="http://schemas.openxmlformats.org/officeDocument/2006/relationships/hyperlink" Target="mailto:louis.nusbaumer@geneve.ch" TargetMode="External"/><Relationship Id="rId151" Type="http://schemas.openxmlformats.org/officeDocument/2006/relationships/hyperlink" Target="mailto:elisabeth.danner@lu.ch" TargetMode="External"/><Relationship Id="rId389" Type="http://schemas.openxmlformats.org/officeDocument/2006/relationships/hyperlink" Target="mailto:olivier.glaizot@vd.ch" TargetMode="External"/><Relationship Id="rId554" Type="http://schemas.openxmlformats.org/officeDocument/2006/relationships/hyperlink" Target="https://viaf.org/viaf/317147511;Emil" TargetMode="External"/><Relationship Id="rId596" Type="http://schemas.openxmlformats.org/officeDocument/2006/relationships/hyperlink" Target="mailto:helene.gabioud-duinat@admin.vs.ch" TargetMode="External"/><Relationship Id="rId193" Type="http://schemas.openxmlformats.org/officeDocument/2006/relationships/hyperlink" Target="mailto:benedict.hotz@lu.ch" TargetMode="External"/><Relationship Id="rId207" Type="http://schemas.openxmlformats.org/officeDocument/2006/relationships/hyperlink" Target="mailto:tamara.emmenegger@lu.ch" TargetMode="External"/><Relationship Id="rId249" Type="http://schemas.openxmlformats.org/officeDocument/2006/relationships/hyperlink" Target="mailto:marco.bernasconi@lu.ch" TargetMode="External"/><Relationship Id="rId414" Type="http://schemas.openxmlformats.org/officeDocument/2006/relationships/hyperlink" Target="https://viaf.org/viaf/109945420;J" TargetMode="External"/><Relationship Id="rId456" Type="http://schemas.openxmlformats.org/officeDocument/2006/relationships/hyperlink" Target="http://www.fr.ch/mhn/" TargetMode="External"/><Relationship Id="rId498" Type="http://schemas.openxmlformats.org/officeDocument/2006/relationships/hyperlink" Target="mailto:christian.puentener@fr.ch" TargetMode="External"/><Relationship Id="rId621" Type="http://schemas.openxmlformats.org/officeDocument/2006/relationships/hyperlink" Target="https://www.nmbs.ch/home/museum/sammlungen/biowissenschaftlich/uebrige-wirbellose-Tiere/weitere-Gruppen-wirbelloser-Tiere.html" TargetMode="External"/><Relationship Id="rId663" Type="http://schemas.openxmlformats.org/officeDocument/2006/relationships/hyperlink" Target="mailto:loic.costeur@bs.ch" TargetMode="External"/><Relationship Id="rId13" Type="http://schemas.openxmlformats.org/officeDocument/2006/relationships/hyperlink" Target="mailto:martina.schenkel@zm.uzh.ch" TargetMode="External"/><Relationship Id="rId109" Type="http://schemas.openxmlformats.org/officeDocument/2006/relationships/hyperlink" Target="https://www.museum-neuchatel.ch/collections/" TargetMode="External"/><Relationship Id="rId260" Type="http://schemas.openxmlformats.org/officeDocument/2006/relationships/hyperlink" Target="https://viaf.org/viaf/22669656" TargetMode="External"/><Relationship Id="rId316" Type="http://schemas.openxmlformats.org/officeDocument/2006/relationships/hyperlink" Target="mailto:olivier.maridet@jurassica.ch" TargetMode="External"/><Relationship Id="rId523" Type="http://schemas.openxmlformats.org/officeDocument/2006/relationships/hyperlink" Target="mailto:katja.rembold@boga.unibe.ch" TargetMode="External"/><Relationship Id="rId719" Type="http://schemas.openxmlformats.org/officeDocument/2006/relationships/hyperlink" Target="https://www.peg.ethz.ch/herbaria.html" TargetMode="External"/><Relationship Id="rId55" Type="http://schemas.openxmlformats.org/officeDocument/2006/relationships/hyperlink" Target="https://www.iem.uzh.ch/en/museum_collections/humanremains.html" TargetMode="External"/><Relationship Id="rId97" Type="http://schemas.openxmlformats.org/officeDocument/2006/relationships/hyperlink" Target="https://www.museum-neuchatel.ch/collections/" TargetMode="External"/><Relationship Id="rId120" Type="http://schemas.openxmlformats.org/officeDocument/2006/relationships/hyperlink" Target="mailto:info@muzoo.ch" TargetMode="External"/><Relationship Id="rId358" Type="http://schemas.openxmlformats.org/officeDocument/2006/relationships/hyperlink" Target="https://www.naturmuseum-so.ch/" TargetMode="External"/><Relationship Id="rId565" Type="http://schemas.openxmlformats.org/officeDocument/2006/relationships/hyperlink" Target="mailto:barbara.richner@tg.ch" TargetMode="External"/><Relationship Id="rId730" Type="http://schemas.openxmlformats.org/officeDocument/2006/relationships/hyperlink" Target="mailto:praeparator@bluewin.ch" TargetMode="External"/><Relationship Id="rId162" Type="http://schemas.openxmlformats.org/officeDocument/2006/relationships/hyperlink" Target="mailto:elisabeth.danner@lu.ch" TargetMode="External"/><Relationship Id="rId218" Type="http://schemas.openxmlformats.org/officeDocument/2006/relationships/hyperlink" Target="mailto:oerni.akeret@unibas.ch" TargetMode="External"/><Relationship Id="rId425" Type="http://schemas.openxmlformats.org/officeDocument/2006/relationships/hyperlink" Target="mailto:christian.sprecher@naturama.ch" TargetMode="External"/><Relationship Id="rId467" Type="http://schemas.openxmlformats.org/officeDocument/2006/relationships/hyperlink" Target="mailto:gregor.kozlowski@unifr.ch" TargetMode="External"/><Relationship Id="rId632" Type="http://schemas.openxmlformats.org/officeDocument/2006/relationships/hyperlink" Target="https://www.nmbs.ch/home/museum/sammlungen/biowissenschaftlich/wirbeltiere/amphibien-und-reptilien.html" TargetMode="External"/><Relationship Id="rId271" Type="http://schemas.openxmlformats.org/officeDocument/2006/relationships/hyperlink" Target="mailto:marco.bernasconi@lu.ch" TargetMode="External"/><Relationship Id="rId674" Type="http://schemas.openxmlformats.org/officeDocument/2006/relationships/hyperlink" Target="mailto:walter.etter@bs.ch" TargetMode="External"/><Relationship Id="rId24" Type="http://schemas.openxmlformats.org/officeDocument/2006/relationships/hyperlink" Target="https://www.aim.uzh.ch/de/collection.html" TargetMode="External"/><Relationship Id="rId66" Type="http://schemas.openxmlformats.org/officeDocument/2006/relationships/hyperlink" Target="mailto:martin.haeusler@iem.uzh.ch" TargetMode="External"/><Relationship Id="rId131" Type="http://schemas.openxmlformats.org/officeDocument/2006/relationships/hyperlink" Target="https://hls-dhs-dss.ch/fr/articles/029095/2005-08-16;Louis" TargetMode="External"/><Relationship Id="rId327" Type="http://schemas.openxmlformats.org/officeDocument/2006/relationships/hyperlink" Target="https://hls-dhs-dss.ch/fr/articles/044916/2004-05-06;Robert" TargetMode="External"/><Relationship Id="rId369" Type="http://schemas.openxmlformats.org/officeDocument/2006/relationships/hyperlink" Target="mailto:pia.geiger@olten.ch" TargetMode="External"/><Relationship Id="rId534" Type="http://schemas.openxmlformats.org/officeDocument/2006/relationships/hyperlink" Target="mailto:celia.bueno@unine.ch" TargetMode="External"/><Relationship Id="rId576" Type="http://schemas.openxmlformats.org/officeDocument/2006/relationships/hyperlink" Target="mailto:helene.gabioud-duinat@admin.vs.ch" TargetMode="External"/><Relationship Id="rId741" Type="http://schemas.openxmlformats.org/officeDocument/2006/relationships/hyperlink" Target="http://grscicoll.org/institutional-collection/fossil-collection;http:/grbio.org/institutional-collection/fossil-collection;4327" TargetMode="External"/><Relationship Id="rId173" Type="http://schemas.openxmlformats.org/officeDocument/2006/relationships/hyperlink" Target="mailto:tamara.emmenegger@lu.ch" TargetMode="External"/><Relationship Id="rId229" Type="http://schemas.openxmlformats.org/officeDocument/2006/relationships/hyperlink" Target="mailto:marco.bernasconi@lu.ch" TargetMode="External"/><Relationship Id="rId380" Type="http://schemas.openxmlformats.org/officeDocument/2006/relationships/hyperlink" Target="mailto:anne.freitag@vd.ch" TargetMode="External"/><Relationship Id="rId436" Type="http://schemas.openxmlformats.org/officeDocument/2006/relationships/hyperlink" Target="mailto:christian.sprecher@naturama.ch" TargetMode="External"/><Relationship Id="rId601" Type="http://schemas.openxmlformats.org/officeDocument/2006/relationships/hyperlink" Target="mailto:matthias.borer@bs.ch" TargetMode="External"/><Relationship Id="rId643" Type="http://schemas.openxmlformats.org/officeDocument/2006/relationships/hyperlink" Target="mailto:david.marques@bs.ch" TargetMode="External"/><Relationship Id="rId240" Type="http://schemas.openxmlformats.org/officeDocument/2006/relationships/hyperlink" Target="mailto:marco.bernasconi@lu.ch" TargetMode="External"/><Relationship Id="rId478" Type="http://schemas.openxmlformats.org/officeDocument/2006/relationships/hyperlink" Target="mailto:sophie.giriens@fr.ch" TargetMode="External"/><Relationship Id="rId685" Type="http://schemas.openxmlformats.org/officeDocument/2006/relationships/hyperlink" Target="https://www.wikidata.org/wiki/Q2077023;Johann" TargetMode="External"/><Relationship Id="rId35" Type="http://schemas.openxmlformats.org/officeDocument/2006/relationships/hyperlink" Target="mailto:gabriel.aguirre@pim.uzh.ch" TargetMode="External"/><Relationship Id="rId77" Type="http://schemas.openxmlformats.org/officeDocument/2006/relationships/hyperlink" Target="https://www.unibas.ch/de/Universitaet/Administration-Services/Generalsekretariat/Archive-Sammlungen/Wissenschaftliche-Sammlungen/Alphabetisch-sortiert/Buntbarsch-Sammlung.html" TargetMode="External"/><Relationship Id="rId100" Type="http://schemas.openxmlformats.org/officeDocument/2006/relationships/hyperlink" Target="mailto:info@muzoo.ch" TargetMode="External"/><Relationship Id="rId282" Type="http://schemas.openxmlformats.org/officeDocument/2006/relationships/hyperlink" Target="https://www.museum-neuchatel.ch/collections/" TargetMode="External"/><Relationship Id="rId338" Type="http://schemas.openxmlformats.org/officeDocument/2006/relationships/hyperlink" Target="mailto:madeleine.geiger@naturmuseumsg.ch" TargetMode="External"/><Relationship Id="rId503" Type="http://schemas.openxmlformats.org/officeDocument/2006/relationships/hyperlink" Target="mailto:christian.puentener@fr.ch" TargetMode="External"/><Relationship Id="rId545" Type="http://schemas.openxmlformats.org/officeDocument/2006/relationships/hyperlink" Target="mailto:sabrina.schnurrenberger@win.ch" TargetMode="External"/><Relationship Id="rId587" Type="http://schemas.openxmlformats.org/officeDocument/2006/relationships/hyperlink" Target="mailto:helene.gabioud-duinat@admin.vs.ch" TargetMode="External"/><Relationship Id="rId710" Type="http://schemas.openxmlformats.org/officeDocument/2006/relationships/hyperlink" Target="mailto:herbarium@unibas.ch" TargetMode="External"/><Relationship Id="rId8" Type="http://schemas.openxmlformats.org/officeDocument/2006/relationships/hyperlink" Target="mailto:gerhard.baechli@bluewin.ch" TargetMode="External"/><Relationship Id="rId142" Type="http://schemas.openxmlformats.org/officeDocument/2006/relationships/hyperlink" Target="https://www.museum-neuchatel.ch/collections/" TargetMode="External"/><Relationship Id="rId184" Type="http://schemas.openxmlformats.org/officeDocument/2006/relationships/hyperlink" Target="mailto:tamara.emmenegger@lu.ch" TargetMode="External"/><Relationship Id="rId391" Type="http://schemas.openxmlformats.org/officeDocument/2006/relationships/hyperlink" Target="https://www.unil.ch/mcg/home/menuinst/le-musee/patrimoine/collections/paleonto-systematique.html" TargetMode="External"/><Relationship Id="rId405" Type="http://schemas.openxmlformats.org/officeDocument/2006/relationships/hyperlink" Target="https://www.unil.ch/mcg/home/menuinst/le-musee/patrimoine/collections/geologie-appliquee.html" TargetMode="External"/><Relationship Id="rId447" Type="http://schemas.openxmlformats.org/officeDocument/2006/relationships/hyperlink" Target="mailto:gregor.kozlowski@unifr.ch" TargetMode="External"/><Relationship Id="rId612" Type="http://schemas.openxmlformats.org/officeDocument/2006/relationships/hyperlink" Target="https://hls-dhs-dss.ch/fr/articles/044917/2007-11-27;William" TargetMode="External"/><Relationship Id="rId251" Type="http://schemas.openxmlformats.org/officeDocument/2006/relationships/hyperlink" Target="mailto:marco.bernasconi@lu.ch" TargetMode="External"/><Relationship Id="rId489" Type="http://schemas.openxmlformats.org/officeDocument/2006/relationships/hyperlink" Target="mailto:christian.puentener@fr.ch" TargetMode="External"/><Relationship Id="rId654" Type="http://schemas.openxmlformats.org/officeDocument/2006/relationships/hyperlink" Target="https://viaf.org/viaf/110897029;Ernst" TargetMode="External"/><Relationship Id="rId696" Type="http://schemas.openxmlformats.org/officeDocument/2006/relationships/hyperlink" Target="mailto:sandra.scherrer@win.ch" TargetMode="External"/><Relationship Id="rId46" Type="http://schemas.openxmlformats.org/officeDocument/2006/relationships/hyperlink" Target="https://www.botmuseum.uzh.ch/" TargetMode="External"/><Relationship Id="rId293" Type="http://schemas.openxmlformats.org/officeDocument/2006/relationships/hyperlink" Target="mailto:olivier.maridet@jurassica.ch" TargetMode="External"/><Relationship Id="rId307" Type="http://schemas.openxmlformats.org/officeDocument/2006/relationships/hyperlink" Target="mailto:olivier.maridet@jurassica.ch" TargetMode="External"/><Relationship Id="rId349" Type="http://schemas.openxmlformats.org/officeDocument/2006/relationships/hyperlink" Target="mailto:matthias.meier@naturmuseumsg.ch" TargetMode="External"/><Relationship Id="rId514" Type="http://schemas.openxmlformats.org/officeDocument/2006/relationships/hyperlink" Target="mailto:katja.rembold@boga.unibe.ch" TargetMode="External"/><Relationship Id="rId556" Type="http://schemas.openxmlformats.org/officeDocument/2006/relationships/hyperlink" Target="mailto:sandra.scherrer@win.ch" TargetMode="External"/><Relationship Id="rId721" Type="http://schemas.openxmlformats.org/officeDocument/2006/relationships/hyperlink" Target="https://herbarium.unibas.ch/" TargetMode="External"/><Relationship Id="rId88" Type="http://schemas.openxmlformats.org/officeDocument/2006/relationships/hyperlink" Target="https://www.cjbg.ch/fr/collections/herbiers" TargetMode="External"/><Relationship Id="rId111" Type="http://schemas.openxmlformats.org/officeDocument/2006/relationships/hyperlink" Target="https://www.museum-neuchatel.ch/collections/" TargetMode="External"/><Relationship Id="rId153" Type="http://schemas.openxmlformats.org/officeDocument/2006/relationships/hyperlink" Target="mailto:elisabeth.danner@lu.ch" TargetMode="External"/><Relationship Id="rId195" Type="http://schemas.openxmlformats.org/officeDocument/2006/relationships/hyperlink" Target="mailto:benedict.hotz@lu.ch" TargetMode="External"/><Relationship Id="rId209" Type="http://schemas.openxmlformats.org/officeDocument/2006/relationships/hyperlink" Target="mailto:tamara.emmenegger@lu.ch" TargetMode="External"/><Relationship Id="rId360" Type="http://schemas.openxmlformats.org/officeDocument/2006/relationships/hyperlink" Target="https://www.researchgate.net/scientific-contributions/2136918060_Felix_Amiet;Paul" TargetMode="External"/><Relationship Id="rId416" Type="http://schemas.openxmlformats.org/officeDocument/2006/relationships/hyperlink" Target="http://www.botanique.vd.ch/musee-et-jardins-botaniques-cantonaux/" TargetMode="External"/><Relationship Id="rId598" Type="http://schemas.openxmlformats.org/officeDocument/2006/relationships/hyperlink" Target="https://www.nmbs.ch/home/museum/sammlungen/biowissenschaftlich/uebrige-wirbellose-Tiere/spinnen.html" TargetMode="External"/><Relationship Id="rId220" Type="http://schemas.openxmlformats.org/officeDocument/2006/relationships/hyperlink" Target="mailto:casparina.aschwanden@kmsu.ch" TargetMode="External"/><Relationship Id="rId458" Type="http://schemas.openxmlformats.org/officeDocument/2006/relationships/hyperlink" Target="mailto:gregor.kozlowski@unifr.ch" TargetMode="External"/><Relationship Id="rId623" Type="http://schemas.openxmlformats.org/officeDocument/2006/relationships/hyperlink" Target="mailto:seraina.klopfstein@bs.ch" TargetMode="External"/><Relationship Id="rId665" Type="http://schemas.openxmlformats.org/officeDocument/2006/relationships/hyperlink" Target="mailto:florian.dammeyer@bs.ch" TargetMode="External"/><Relationship Id="rId15" Type="http://schemas.openxmlformats.org/officeDocument/2006/relationships/hyperlink" Target="mailto:martina.schenkel@zm.uzh.ch" TargetMode="External"/><Relationship Id="rId57" Type="http://schemas.openxmlformats.org/officeDocument/2006/relationships/hyperlink" Target="https://www.iem.uzh.ch/en/museum_collections/humanremains.html" TargetMode="External"/><Relationship Id="rId262" Type="http://schemas.openxmlformats.org/officeDocument/2006/relationships/hyperlink" Target="mailto:marco.bernasconi@lu.ch" TargetMode="External"/><Relationship Id="rId318" Type="http://schemas.openxmlformats.org/officeDocument/2006/relationships/hyperlink" Target="mailto:olivier.maridet@jurassica.ch" TargetMode="External"/><Relationship Id="rId525" Type="http://schemas.openxmlformats.org/officeDocument/2006/relationships/hyperlink" Target="https://www.museum-neuchatel.ch/collections/" TargetMode="External"/><Relationship Id="rId567" Type="http://schemas.openxmlformats.org/officeDocument/2006/relationships/hyperlink" Target="mailto:barbara.richner@tg.ch" TargetMode="External"/><Relationship Id="rId732" Type="http://schemas.openxmlformats.org/officeDocument/2006/relationships/hyperlink" Target="https://collections.erdw.ethz.ch/" TargetMode="External"/><Relationship Id="rId99" Type="http://schemas.openxmlformats.org/officeDocument/2006/relationships/hyperlink" Target="https://www.museum-neuchatel.ch/collections/" TargetMode="External"/><Relationship Id="rId122" Type="http://schemas.openxmlformats.org/officeDocument/2006/relationships/hyperlink" Target="https://viaf.org/viaf/8185896" TargetMode="External"/><Relationship Id="rId164" Type="http://schemas.openxmlformats.org/officeDocument/2006/relationships/hyperlink" Target="mailto:marco.bernasconi@lu.ch" TargetMode="External"/><Relationship Id="rId371" Type="http://schemas.openxmlformats.org/officeDocument/2006/relationships/hyperlink" Target="mailto:jean-luc.gattolliat@vd.ch" TargetMode="External"/><Relationship Id="rId427" Type="http://schemas.openxmlformats.org/officeDocument/2006/relationships/hyperlink" Target="mailto:christian.sprecher@naturama.ch" TargetMode="External"/><Relationship Id="rId469" Type="http://schemas.openxmlformats.org/officeDocument/2006/relationships/hyperlink" Target="mailto:gregor.kozlowski@unifr.ch" TargetMode="External"/><Relationship Id="rId634" Type="http://schemas.openxmlformats.org/officeDocument/2006/relationships/hyperlink" Target="https://hls-dhs-dss.ch/de/articles/029911/2010-11-05;Ludwig" TargetMode="External"/><Relationship Id="rId676" Type="http://schemas.openxmlformats.org/officeDocument/2006/relationships/hyperlink" Target="mailto:walter.etter@bs.ch" TargetMode="External"/><Relationship Id="rId26" Type="http://schemas.openxmlformats.org/officeDocument/2006/relationships/hyperlink" Target="https://www.aim.uzh.ch/de/collection.html" TargetMode="External"/><Relationship Id="rId231" Type="http://schemas.openxmlformats.org/officeDocument/2006/relationships/hyperlink" Target="mailto:marco.bernasconi@lu.ch" TargetMode="External"/><Relationship Id="rId273" Type="http://schemas.openxmlformats.org/officeDocument/2006/relationships/hyperlink" Target="mailto:marco.bernasconi@lu.ch" TargetMode="External"/><Relationship Id="rId329" Type="http://schemas.openxmlformats.org/officeDocument/2006/relationships/hyperlink" Target="https://hls-dhs-dss.ch/fr/articles/014271/2001-07-10;Rudolf" TargetMode="External"/><Relationship Id="rId480" Type="http://schemas.openxmlformats.org/officeDocument/2006/relationships/hyperlink" Target="mailto:sophie.giriens@fr.ch" TargetMode="External"/><Relationship Id="rId536" Type="http://schemas.openxmlformats.org/officeDocument/2006/relationships/hyperlink" Target="mailto:christian.kropf@nmbe.ch" TargetMode="External"/><Relationship Id="rId701" Type="http://schemas.openxmlformats.org/officeDocument/2006/relationships/hyperlink" Target="mailto:sabrina.schnurrenberger@win.ch" TargetMode="External"/><Relationship Id="rId68" Type="http://schemas.openxmlformats.org/officeDocument/2006/relationships/hyperlink" Target="mailto:martin.haeusler@iem.uzh.ch" TargetMode="External"/><Relationship Id="rId133" Type="http://schemas.openxmlformats.org/officeDocument/2006/relationships/hyperlink" Target="https://www.museum-neuchatel.ch/collections/" TargetMode="External"/><Relationship Id="rId175" Type="http://schemas.openxmlformats.org/officeDocument/2006/relationships/hyperlink" Target="mailto:tamara.emmenegger@lu.ch" TargetMode="External"/><Relationship Id="rId340" Type="http://schemas.openxmlformats.org/officeDocument/2006/relationships/hyperlink" Target="mailto:madeleine.geiger@naturmuseumsg.ch" TargetMode="External"/><Relationship Id="rId578" Type="http://schemas.openxmlformats.org/officeDocument/2006/relationships/hyperlink" Target="mailto:helene.gabioud-duinat@admin.vs.ch" TargetMode="External"/><Relationship Id="rId743" Type="http://schemas.openxmlformats.org/officeDocument/2006/relationships/hyperlink" Target="http://grscicoll.org/institutional-collection/archaeozoological-materials-collection;http:/grbio.org/institutional-collection/archaeozoological-materials-collection;4172" TargetMode="External"/><Relationship Id="rId200" Type="http://schemas.openxmlformats.org/officeDocument/2006/relationships/hyperlink" Target="mailto:benedict.hotz@lu.ch" TargetMode="External"/><Relationship Id="rId382" Type="http://schemas.openxmlformats.org/officeDocument/2006/relationships/hyperlink" Target="mailto:anne.freitag@vd.ch" TargetMode="External"/><Relationship Id="rId438" Type="http://schemas.openxmlformats.org/officeDocument/2006/relationships/hyperlink" Target="mailto:christian.sprecher@naturama.ch" TargetMode="External"/><Relationship Id="rId603" Type="http://schemas.openxmlformats.org/officeDocument/2006/relationships/hyperlink" Target="mailto:matthias.borer@bs.ch" TargetMode="External"/><Relationship Id="rId645" Type="http://schemas.openxmlformats.org/officeDocument/2006/relationships/hyperlink" Target="mailto:david.marques@bs.ch" TargetMode="External"/><Relationship Id="rId687" Type="http://schemas.openxmlformats.org/officeDocument/2006/relationships/hyperlink" Target="https://www.nmbs.ch/home/museum/sammlungen/geowissenschaftlich/palaeontologie-wirbellose-und-pflanzen/lehr-und-Demosammlung.html" TargetMode="External"/><Relationship Id="rId242" Type="http://schemas.openxmlformats.org/officeDocument/2006/relationships/hyperlink" Target="https://viaf.org/viaf/22669656" TargetMode="External"/><Relationship Id="rId284" Type="http://schemas.openxmlformats.org/officeDocument/2006/relationships/hyperlink" Target="https://www.museum-neuchatel.ch/collections/" TargetMode="External"/><Relationship Id="rId491" Type="http://schemas.openxmlformats.org/officeDocument/2006/relationships/hyperlink" Target="mailto:christian.puentener@fr.ch" TargetMode="External"/><Relationship Id="rId505" Type="http://schemas.openxmlformats.org/officeDocument/2006/relationships/hyperlink" Target="mailto:christian.puentener@fr.ch" TargetMode="External"/><Relationship Id="rId712" Type="http://schemas.openxmlformats.org/officeDocument/2006/relationships/hyperlink" Target="mailto:jurriaan.devos@unibas.ch" TargetMode="External"/><Relationship Id="rId37" Type="http://schemas.openxmlformats.org/officeDocument/2006/relationships/hyperlink" Target="mailto:gabriel.aguirre@pim.uzh.ch" TargetMode="External"/><Relationship Id="rId79" Type="http://schemas.openxmlformats.org/officeDocument/2006/relationships/hyperlink" Target="https://www.cjbg.ch/fr/collections/herbiers" TargetMode="External"/><Relationship Id="rId102" Type="http://schemas.openxmlformats.org/officeDocument/2006/relationships/hyperlink" Target="mailto:info@muzoo.ch" TargetMode="External"/><Relationship Id="rId144" Type="http://schemas.openxmlformats.org/officeDocument/2006/relationships/hyperlink" Target="mailto:chiara.pradella@ti.ch" TargetMode="External"/><Relationship Id="rId547" Type="http://schemas.openxmlformats.org/officeDocument/2006/relationships/hyperlink" Target="https://hls-dhs-dss.ch/fr/articles/025147/2006-11-23;Heinrich" TargetMode="External"/><Relationship Id="rId589" Type="http://schemas.openxmlformats.org/officeDocument/2006/relationships/hyperlink" Target="mailto:helene.gabioud-duinat@admin.vs.ch" TargetMode="External"/><Relationship Id="rId90" Type="http://schemas.openxmlformats.org/officeDocument/2006/relationships/hyperlink" Target="mailto:roland.mueller@gl.ch" TargetMode="External"/><Relationship Id="rId186" Type="http://schemas.openxmlformats.org/officeDocument/2006/relationships/hyperlink" Target="mailto:benedict.hotz@lu.ch" TargetMode="External"/><Relationship Id="rId351" Type="http://schemas.openxmlformats.org/officeDocument/2006/relationships/hyperlink" Target="mailto:andreas.schaefer@solothurn.ch" TargetMode="External"/><Relationship Id="rId393" Type="http://schemas.openxmlformats.org/officeDocument/2006/relationships/hyperlink" Target="https://www.unil.ch/mcg/home/menuinst/le-musee/patrimoine/collections/paleonto-stratigraphique.html" TargetMode="External"/><Relationship Id="rId407" Type="http://schemas.openxmlformats.org/officeDocument/2006/relationships/hyperlink" Target="mailto:patrice.descombes@vd.ch" TargetMode="External"/><Relationship Id="rId449" Type="http://schemas.openxmlformats.org/officeDocument/2006/relationships/hyperlink" Target="mailto:gregor.kozlowski@unifr.ch" TargetMode="External"/><Relationship Id="rId614" Type="http://schemas.openxmlformats.org/officeDocument/2006/relationships/hyperlink" Target="https://www.nmbs.ch/home/museum/sammlungen/biowissenschaftlich/insekten/kaefersammlung-Frey.html" TargetMode="External"/><Relationship Id="rId656" Type="http://schemas.openxmlformats.org/officeDocument/2006/relationships/hyperlink" Target="https://www.nmbs.ch/home/museum/sammlungen/biowissenschaftlich/wirbeltiere/amphibien-und-reptilien.html" TargetMode="External"/><Relationship Id="rId211" Type="http://schemas.openxmlformats.org/officeDocument/2006/relationships/hyperlink" Target="mailto:jason.grant@unine.ch" TargetMode="External"/><Relationship Id="rId253" Type="http://schemas.openxmlformats.org/officeDocument/2006/relationships/hyperlink" Target="mailto:marco.bernasconi@lu.ch" TargetMode="External"/><Relationship Id="rId295" Type="http://schemas.openxmlformats.org/officeDocument/2006/relationships/hyperlink" Target="mailto:olivier.maridet@jurassica.ch" TargetMode="External"/><Relationship Id="rId309" Type="http://schemas.openxmlformats.org/officeDocument/2006/relationships/hyperlink" Target="mailto:olivier.maridet@jurassica.ch" TargetMode="External"/><Relationship Id="rId460" Type="http://schemas.openxmlformats.org/officeDocument/2006/relationships/hyperlink" Target="mailto:gregor.kozlowski@unifr.ch" TargetMode="External"/><Relationship Id="rId516" Type="http://schemas.openxmlformats.org/officeDocument/2006/relationships/hyperlink" Target="mailto:katja.rembold@boga.unibe.ch" TargetMode="External"/><Relationship Id="rId698" Type="http://schemas.openxmlformats.org/officeDocument/2006/relationships/hyperlink" Target="mailto:sandra.scherrer@win.ch" TargetMode="External"/><Relationship Id="rId48" Type="http://schemas.openxmlformats.org/officeDocument/2006/relationships/hyperlink" Target="mailto:daniel.rigling@wsl.ch" TargetMode="External"/><Relationship Id="rId113" Type="http://schemas.openxmlformats.org/officeDocument/2006/relationships/hyperlink" Target="https://www.museum-neuchatel.ch/collections/" TargetMode="External"/><Relationship Id="rId320" Type="http://schemas.openxmlformats.org/officeDocument/2006/relationships/hyperlink" Target="mailto:olivier.maridet@jurassica.ch" TargetMode="External"/><Relationship Id="rId558" Type="http://schemas.openxmlformats.org/officeDocument/2006/relationships/hyperlink" Target="mailto:barbara.richner@tg.ch" TargetMode="External"/><Relationship Id="rId723" Type="http://schemas.openxmlformats.org/officeDocument/2006/relationships/hyperlink" Target="mailto:reto.nyffeler@systbot.uzh.ch" TargetMode="External"/><Relationship Id="rId155" Type="http://schemas.openxmlformats.org/officeDocument/2006/relationships/hyperlink" Target="mailto:elisabeth.danner@lu.ch" TargetMode="External"/><Relationship Id="rId197" Type="http://schemas.openxmlformats.org/officeDocument/2006/relationships/hyperlink" Target="mailto:benedict.hotz@lu.ch" TargetMode="External"/><Relationship Id="rId362" Type="http://schemas.openxmlformats.org/officeDocument/2006/relationships/hyperlink" Target="http://www.allerheiligen.ch/" TargetMode="External"/><Relationship Id="rId418" Type="http://schemas.openxmlformats.org/officeDocument/2006/relationships/hyperlink" Target="mailto:patrice.descombes@vd.ch" TargetMode="External"/><Relationship Id="rId625" Type="http://schemas.openxmlformats.org/officeDocument/2006/relationships/hyperlink" Target="mailto:seraina.klopfstein@bs.ch" TargetMode="External"/><Relationship Id="rId222" Type="http://schemas.openxmlformats.org/officeDocument/2006/relationships/hyperlink" Target="mailto:urs.weibel@stsh.ch" TargetMode="External"/><Relationship Id="rId264" Type="http://schemas.openxmlformats.org/officeDocument/2006/relationships/hyperlink" Target="https://viaf.org/viaf/22669656" TargetMode="External"/><Relationship Id="rId471" Type="http://schemas.openxmlformats.org/officeDocument/2006/relationships/hyperlink" Target="mailto:christian.puentener@fr.ch" TargetMode="External"/><Relationship Id="rId667" Type="http://schemas.openxmlformats.org/officeDocument/2006/relationships/hyperlink" Target="mailto:walter.etter@bs.ch" TargetMode="External"/><Relationship Id="rId17" Type="http://schemas.openxmlformats.org/officeDocument/2006/relationships/hyperlink" Target="mailto:martina.schenkel@zm.uzh.ch" TargetMode="External"/><Relationship Id="rId59" Type="http://schemas.openxmlformats.org/officeDocument/2006/relationships/hyperlink" Target="https://www.iem.uzh.ch/en/museum_collections/humanremains.html" TargetMode="External"/><Relationship Id="rId124" Type="http://schemas.openxmlformats.org/officeDocument/2006/relationships/hyperlink" Target="https://www.museum-neuchatel.ch/collections/" TargetMode="External"/><Relationship Id="rId527" Type="http://schemas.openxmlformats.org/officeDocument/2006/relationships/hyperlink" Target="https://viaf.org/viaf/15547084;Carl" TargetMode="External"/><Relationship Id="rId569" Type="http://schemas.openxmlformats.org/officeDocument/2006/relationships/hyperlink" Target="mailto:barbara.richner@tg.ch" TargetMode="External"/><Relationship Id="rId734" Type="http://schemas.openxmlformats.org/officeDocument/2006/relationships/hyperlink" Target="mailto:michael.greeff@usys.ethz.ch" TargetMode="External"/><Relationship Id="rId70" Type="http://schemas.openxmlformats.org/officeDocument/2006/relationships/hyperlink" Target="mailto:frank.ruehli@iem.uzh.ch" TargetMode="External"/><Relationship Id="rId166" Type="http://schemas.openxmlformats.org/officeDocument/2006/relationships/hyperlink" Target="mailto:marco.bernasconi@lu.ch" TargetMode="External"/><Relationship Id="rId331" Type="http://schemas.openxmlformats.org/officeDocument/2006/relationships/hyperlink" Target="https://naturmuseumsg.ch/museum/sammlungen/" TargetMode="External"/><Relationship Id="rId373" Type="http://schemas.openxmlformats.org/officeDocument/2006/relationships/hyperlink" Target="mailto:jean-luc.gattolliat@vd.ch" TargetMode="External"/><Relationship Id="rId429" Type="http://schemas.openxmlformats.org/officeDocument/2006/relationships/hyperlink" Target="mailto:christian.sprecher@naturama.ch" TargetMode="External"/><Relationship Id="rId580" Type="http://schemas.openxmlformats.org/officeDocument/2006/relationships/hyperlink" Target="mailto:helene.gabioud-duinat@admin.vs.ch" TargetMode="External"/><Relationship Id="rId636" Type="http://schemas.openxmlformats.org/officeDocument/2006/relationships/hyperlink" Target="https://www.nmbs.ch/home/museum/sammlungen/biowissenschaftlich/wirbeltiere/amphibien-und-reptilien.html" TargetMode="External"/><Relationship Id="rId1" Type="http://schemas.openxmlformats.org/officeDocument/2006/relationships/hyperlink" Target="https://www.unifr.ch/jardin-botanique/fr/visite/secteurs/systeme.html" TargetMode="External"/><Relationship Id="rId233" Type="http://schemas.openxmlformats.org/officeDocument/2006/relationships/hyperlink" Target="https://viaf.org/viaf/22669656" TargetMode="External"/><Relationship Id="rId440" Type="http://schemas.openxmlformats.org/officeDocument/2006/relationships/hyperlink" Target="mailto:gregor.kozlowski@unifr.ch" TargetMode="External"/><Relationship Id="rId678" Type="http://schemas.openxmlformats.org/officeDocument/2006/relationships/hyperlink" Target="mailto:walter.etter@bs.ch" TargetMode="External"/><Relationship Id="rId28" Type="http://schemas.openxmlformats.org/officeDocument/2006/relationships/hyperlink" Target="https://www.aim.uzh.ch/de/collection.html" TargetMode="External"/><Relationship Id="rId275" Type="http://schemas.openxmlformats.org/officeDocument/2006/relationships/hyperlink" Target="mailto:saskia.klaassen@bl.ch" TargetMode="External"/><Relationship Id="rId300" Type="http://schemas.openxmlformats.org/officeDocument/2006/relationships/hyperlink" Target="https://www.amphipod.ch/" TargetMode="External"/><Relationship Id="rId482" Type="http://schemas.openxmlformats.org/officeDocument/2006/relationships/hyperlink" Target="mailto:christian.puentener@fr.ch" TargetMode="External"/><Relationship Id="rId538" Type="http://schemas.openxmlformats.org/officeDocument/2006/relationships/hyperlink" Target="mailto:hannes.baur@nmbe.ch" TargetMode="External"/><Relationship Id="rId703" Type="http://schemas.openxmlformats.org/officeDocument/2006/relationships/hyperlink" Target="mailto:holger.frick@bs.ch" TargetMode="External"/><Relationship Id="rId745" Type="http://schemas.openxmlformats.org/officeDocument/2006/relationships/hyperlink" Target="mailto:m.cock@cabi.org" TargetMode="External"/><Relationship Id="rId81" Type="http://schemas.openxmlformats.org/officeDocument/2006/relationships/hyperlink" Target="mailto:herb-phanero.cjb@ville-ge.ch" TargetMode="External"/><Relationship Id="rId135" Type="http://schemas.openxmlformats.org/officeDocument/2006/relationships/hyperlink" Target="mailto:celia.bueno@ne.ch" TargetMode="External"/><Relationship Id="rId177" Type="http://schemas.openxmlformats.org/officeDocument/2006/relationships/hyperlink" Target="mailto:tamara.emmenegger@lu.ch" TargetMode="External"/><Relationship Id="rId342" Type="http://schemas.openxmlformats.org/officeDocument/2006/relationships/hyperlink" Target="mailto:madeleine.geiger@naturmuseumsg.ch" TargetMode="External"/><Relationship Id="rId384" Type="http://schemas.openxmlformats.org/officeDocument/2006/relationships/hyperlink" Target="mailto:jean-luc.gattolliat@vd.ch" TargetMode="External"/><Relationship Id="rId591" Type="http://schemas.openxmlformats.org/officeDocument/2006/relationships/hyperlink" Target="mailto:helene.gabioud-duinat@admin.vs.ch" TargetMode="External"/><Relationship Id="rId605" Type="http://schemas.openxmlformats.org/officeDocument/2006/relationships/hyperlink" Target="mailto:eduard.stoeckli@bs.ch" TargetMode="External"/><Relationship Id="rId202" Type="http://schemas.openxmlformats.org/officeDocument/2006/relationships/hyperlink" Target="mailto:benedict.hotz@lu.ch" TargetMode="External"/><Relationship Id="rId244" Type="http://schemas.openxmlformats.org/officeDocument/2006/relationships/hyperlink" Target="mailto:marco.bernasconi@lu.ch" TargetMode="External"/><Relationship Id="rId647" Type="http://schemas.openxmlformats.org/officeDocument/2006/relationships/hyperlink" Target="mailto:david.marques@bs.ch" TargetMode="External"/><Relationship Id="rId689" Type="http://schemas.openxmlformats.org/officeDocument/2006/relationships/hyperlink" Target="mailto:gerhard.hotz@bs.ch" TargetMode="External"/><Relationship Id="rId39" Type="http://schemas.openxmlformats.org/officeDocument/2006/relationships/hyperlink" Target="mailto:gabriel.aguirre@pim.uzh.ch" TargetMode="External"/><Relationship Id="rId286" Type="http://schemas.openxmlformats.org/officeDocument/2006/relationships/hyperlink" Target="mailto:thierry.malvesy@ne.ch" TargetMode="External"/><Relationship Id="rId451" Type="http://schemas.openxmlformats.org/officeDocument/2006/relationships/hyperlink" Target="mailto:gregor.kozlowski@unifr.ch" TargetMode="External"/><Relationship Id="rId493" Type="http://schemas.openxmlformats.org/officeDocument/2006/relationships/hyperlink" Target="https://viaf.org/viaf/42606656;M" TargetMode="External"/><Relationship Id="rId507" Type="http://schemas.openxmlformats.org/officeDocument/2006/relationships/hyperlink" Target="mailto:thomas.bolliger@kulturama.ch" TargetMode="External"/><Relationship Id="rId549" Type="http://schemas.openxmlformats.org/officeDocument/2006/relationships/hyperlink" Target="mailto:sabrina.schnurrenberger@win.ch" TargetMode="External"/><Relationship Id="rId714" Type="http://schemas.openxmlformats.org/officeDocument/2006/relationships/hyperlink" Target="https://www.cjbg.ch/fr/collections/herbiers" TargetMode="External"/><Relationship Id="rId50" Type="http://schemas.openxmlformats.org/officeDocument/2006/relationships/hyperlink" Target="mailto:martin.obrist@wsl.ch" TargetMode="External"/><Relationship Id="rId104" Type="http://schemas.openxmlformats.org/officeDocument/2006/relationships/hyperlink" Target="mailto:info@muzoo.ch" TargetMode="External"/><Relationship Id="rId146" Type="http://schemas.openxmlformats.org/officeDocument/2006/relationships/hyperlink" Target="mailto:elisabeth.danner@lu.ch" TargetMode="External"/><Relationship Id="rId188" Type="http://schemas.openxmlformats.org/officeDocument/2006/relationships/hyperlink" Target="mailto:benedict.hotz@lu.ch" TargetMode="External"/><Relationship Id="rId311" Type="http://schemas.openxmlformats.org/officeDocument/2006/relationships/hyperlink" Target="mailto:olivier.maridet@jurassica.ch" TargetMode="External"/><Relationship Id="rId353" Type="http://schemas.openxmlformats.org/officeDocument/2006/relationships/hyperlink" Target="mailto:silvan.thuering@solothurn.ch" TargetMode="External"/><Relationship Id="rId395" Type="http://schemas.openxmlformats.org/officeDocument/2006/relationships/hyperlink" Target="https://www.unil.ch/mcg/home/menuinst/le-musee/patrimoine/collections/geologie-regionale.html" TargetMode="External"/><Relationship Id="rId409" Type="http://schemas.openxmlformats.org/officeDocument/2006/relationships/hyperlink" Target="mailto:patrice.descombes@vd.ch" TargetMode="External"/><Relationship Id="rId560" Type="http://schemas.openxmlformats.org/officeDocument/2006/relationships/hyperlink" Target="mailto:barbara.richner@tg.ch" TargetMode="External"/><Relationship Id="rId92" Type="http://schemas.openxmlformats.org/officeDocument/2006/relationships/hyperlink" Target="mailto:info@muzoo.ch" TargetMode="External"/><Relationship Id="rId213" Type="http://schemas.openxmlformats.org/officeDocument/2006/relationships/hyperlink" Target="mailto:jason.grant@unine.ch" TargetMode="External"/><Relationship Id="rId420" Type="http://schemas.openxmlformats.org/officeDocument/2006/relationships/hyperlink" Target="mailto:patrice.descombes@vd.ch" TargetMode="External"/><Relationship Id="rId616" Type="http://schemas.openxmlformats.org/officeDocument/2006/relationships/hyperlink" Target="https://viaf.org/viaf/160032011" TargetMode="External"/><Relationship Id="rId658" Type="http://schemas.openxmlformats.org/officeDocument/2006/relationships/hyperlink" Target="https://viaf.org/viaf/64167248;Jean" TargetMode="External"/><Relationship Id="rId255" Type="http://schemas.openxmlformats.org/officeDocument/2006/relationships/hyperlink" Target="https://viaf.org/viaf/22669656" TargetMode="External"/><Relationship Id="rId297" Type="http://schemas.openxmlformats.org/officeDocument/2006/relationships/hyperlink" Target="mailto:olivier.maridet@jurassica.ch" TargetMode="External"/><Relationship Id="rId462" Type="http://schemas.openxmlformats.org/officeDocument/2006/relationships/hyperlink" Target="mailto:gregor.kozlowski@unifr.ch" TargetMode="External"/><Relationship Id="rId518" Type="http://schemas.openxmlformats.org/officeDocument/2006/relationships/hyperlink" Target="mailto:katja.rembold@boga.unibe.ch" TargetMode="External"/><Relationship Id="rId725" Type="http://schemas.openxmlformats.org/officeDocument/2006/relationships/hyperlink" Target="mailto:reto.nyffeler@systbot.uzh.ch" TargetMode="External"/><Relationship Id="rId115" Type="http://schemas.openxmlformats.org/officeDocument/2006/relationships/hyperlink" Target="https://www.museum-neuchatel.ch/collections/" TargetMode="External"/><Relationship Id="rId157" Type="http://schemas.openxmlformats.org/officeDocument/2006/relationships/hyperlink" Target="mailto:elisabeth.danner@lu.ch" TargetMode="External"/><Relationship Id="rId322" Type="http://schemas.openxmlformats.org/officeDocument/2006/relationships/hyperlink" Target="mailto:florian.altermatt@ieu.uzh.ch" TargetMode="External"/><Relationship Id="rId364" Type="http://schemas.openxmlformats.org/officeDocument/2006/relationships/hyperlink" Target="mailto:urs.weibel@stsh.ch" TargetMode="External"/><Relationship Id="rId61" Type="http://schemas.openxmlformats.org/officeDocument/2006/relationships/hyperlink" Target="https://www.iem.uzh.ch/en/museum_collections/humanremains.html" TargetMode="External"/><Relationship Id="rId199" Type="http://schemas.openxmlformats.org/officeDocument/2006/relationships/hyperlink" Target="mailto:benedict.hotz@lu.ch" TargetMode="External"/><Relationship Id="rId571" Type="http://schemas.openxmlformats.org/officeDocument/2006/relationships/hyperlink" Target="mailto:barbara.richner@tg.ch" TargetMode="External"/><Relationship Id="rId627" Type="http://schemas.openxmlformats.org/officeDocument/2006/relationships/hyperlink" Target="mailto:eduard.stoeckli@bs.ch" TargetMode="External"/><Relationship Id="rId669" Type="http://schemas.openxmlformats.org/officeDocument/2006/relationships/hyperlink" Target="mailto:janine.mazenauer@bs.ch" TargetMode="External"/><Relationship Id="rId19" Type="http://schemas.openxmlformats.org/officeDocument/2006/relationships/hyperlink" Target="mailto:martina.schenkel@zm.uzh.ch" TargetMode="External"/><Relationship Id="rId224" Type="http://schemas.openxmlformats.org/officeDocument/2006/relationships/hyperlink" Target="mailto:marco.bernasconi@lu.ch" TargetMode="External"/><Relationship Id="rId266" Type="http://schemas.openxmlformats.org/officeDocument/2006/relationships/hyperlink" Target="mailto:marco.bernasconi@lu.ch" TargetMode="External"/><Relationship Id="rId431" Type="http://schemas.openxmlformats.org/officeDocument/2006/relationships/hyperlink" Target="mailto:christian.sprecher@naturama.ch" TargetMode="External"/><Relationship Id="rId473" Type="http://schemas.openxmlformats.org/officeDocument/2006/relationships/hyperlink" Target="mailto:christian.puentener@fr.ch" TargetMode="External"/><Relationship Id="rId529" Type="http://schemas.openxmlformats.org/officeDocument/2006/relationships/hyperlink" Target="https://www.museum-neuchatel.ch/collections/" TargetMode="External"/><Relationship Id="rId680" Type="http://schemas.openxmlformats.org/officeDocument/2006/relationships/hyperlink" Target="mailto:walter.etter@bs.ch" TargetMode="External"/><Relationship Id="rId736" Type="http://schemas.openxmlformats.org/officeDocument/2006/relationships/hyperlink" Target="mailto:michael.greeff@usys.ethz.ch" TargetMode="External"/><Relationship Id="rId30" Type="http://schemas.openxmlformats.org/officeDocument/2006/relationships/hyperlink" Target="https://www.aim.uzh.ch/de/collection.html" TargetMode="External"/><Relationship Id="rId126" Type="http://schemas.openxmlformats.org/officeDocument/2006/relationships/hyperlink" Target="mailto:celia.bueno@ne.ch" TargetMode="External"/><Relationship Id="rId168" Type="http://schemas.openxmlformats.org/officeDocument/2006/relationships/hyperlink" Target="mailto:tamara.emmenegger@lu.ch" TargetMode="External"/><Relationship Id="rId333" Type="http://schemas.openxmlformats.org/officeDocument/2006/relationships/hyperlink" Target="mailto:karin.urfer@naturmuseumsg.ch" TargetMode="External"/><Relationship Id="rId540" Type="http://schemas.openxmlformats.org/officeDocument/2006/relationships/hyperlink" Target="mailto:lukas.ruber@nmbe.ch" TargetMode="External"/><Relationship Id="rId72" Type="http://schemas.openxmlformats.org/officeDocument/2006/relationships/hyperlink" Target="mailto:martin.haeusler@iem.uzh.ch" TargetMode="External"/><Relationship Id="rId375" Type="http://schemas.openxmlformats.org/officeDocument/2006/relationships/hyperlink" Target="mailto:jean-luc.gattolliat@vd.ch" TargetMode="External"/><Relationship Id="rId582" Type="http://schemas.openxmlformats.org/officeDocument/2006/relationships/hyperlink" Target="mailto:helene.gabioud-duinat@admin.vs.ch" TargetMode="External"/><Relationship Id="rId638" Type="http://schemas.openxmlformats.org/officeDocument/2006/relationships/hyperlink" Target="https://viaf.org/viaf/64167248" TargetMode="External"/><Relationship Id="rId3" Type="http://schemas.openxmlformats.org/officeDocument/2006/relationships/hyperlink" Target="mailto:chklug@pim.uzh.ch" TargetMode="External"/><Relationship Id="rId235" Type="http://schemas.openxmlformats.org/officeDocument/2006/relationships/hyperlink" Target="mailto:marco.bernasconi@lu.ch" TargetMode="External"/><Relationship Id="rId277" Type="http://schemas.openxmlformats.org/officeDocument/2006/relationships/hyperlink" Target="mailto:thierry.malvesy@ne.ch" TargetMode="External"/><Relationship Id="rId400" Type="http://schemas.openxmlformats.org/officeDocument/2006/relationships/hyperlink" Target="mailto:robin.marchant@unil.ch" TargetMode="External"/><Relationship Id="rId442" Type="http://schemas.openxmlformats.org/officeDocument/2006/relationships/hyperlink" Target="mailto:gregor.kozlowski@unifr.ch" TargetMode="External"/><Relationship Id="rId484" Type="http://schemas.openxmlformats.org/officeDocument/2006/relationships/hyperlink" Target="mailto:christian.puentener@fr.ch" TargetMode="External"/><Relationship Id="rId705" Type="http://schemas.openxmlformats.org/officeDocument/2006/relationships/hyperlink" Target="mailto:holger.frick@bs.ch" TargetMode="External"/><Relationship Id="rId137" Type="http://schemas.openxmlformats.org/officeDocument/2006/relationships/hyperlink" Target="https://hls-dhs-dss.ch/fr/articles/029095/2005-08-16;Jean-Jacques" TargetMode="External"/><Relationship Id="rId302" Type="http://schemas.openxmlformats.org/officeDocument/2006/relationships/hyperlink" Target="https://www.amphipod.ch/" TargetMode="External"/><Relationship Id="rId344" Type="http://schemas.openxmlformats.org/officeDocument/2006/relationships/hyperlink" Target="mailto:martina.pacher@naturmuseumsg.ch" TargetMode="External"/><Relationship Id="rId691" Type="http://schemas.openxmlformats.org/officeDocument/2006/relationships/hyperlink" Target="mailto:gerhard.hotz@bs.ch" TargetMode="External"/><Relationship Id="rId41" Type="http://schemas.openxmlformats.org/officeDocument/2006/relationships/hyperlink" Target="mailto:gabriel.aguirre@pim.uzh.ch" TargetMode="External"/><Relationship Id="rId83" Type="http://schemas.openxmlformats.org/officeDocument/2006/relationships/hyperlink" Target="mailto:louis.nusbaumer@geneve.ch" TargetMode="External"/><Relationship Id="rId179" Type="http://schemas.openxmlformats.org/officeDocument/2006/relationships/hyperlink" Target="https://viaf.org/viaf/22669656" TargetMode="External"/><Relationship Id="rId386" Type="http://schemas.openxmlformats.org/officeDocument/2006/relationships/hyperlink" Target="mailto:anne.freitag@vd.ch" TargetMode="External"/><Relationship Id="rId551" Type="http://schemas.openxmlformats.org/officeDocument/2006/relationships/hyperlink" Target="mailto:sabrina.schnurrenberger@win.ch" TargetMode="External"/><Relationship Id="rId593" Type="http://schemas.openxmlformats.org/officeDocument/2006/relationships/hyperlink" Target="mailto:helene.gabioud-duinat@admin.vs.ch" TargetMode="External"/><Relationship Id="rId607" Type="http://schemas.openxmlformats.org/officeDocument/2006/relationships/hyperlink" Target="mailto:eduard.stoeckli@bs.ch" TargetMode="External"/><Relationship Id="rId649" Type="http://schemas.openxmlformats.org/officeDocument/2006/relationships/hyperlink" Target="mailto:david.marques@bs.ch" TargetMode="External"/><Relationship Id="rId190" Type="http://schemas.openxmlformats.org/officeDocument/2006/relationships/hyperlink" Target="mailto:benedict.hotz@lu.ch" TargetMode="External"/><Relationship Id="rId204" Type="http://schemas.openxmlformats.org/officeDocument/2006/relationships/hyperlink" Target="mailto:benedict.hotz@lu.ch" TargetMode="External"/><Relationship Id="rId246" Type="http://schemas.openxmlformats.org/officeDocument/2006/relationships/hyperlink" Target="mailto:marco.bernasconi@lu.ch" TargetMode="External"/><Relationship Id="rId288" Type="http://schemas.openxmlformats.org/officeDocument/2006/relationships/hyperlink" Target="https://viaf.org/viaf/42606656;Ayer" TargetMode="External"/><Relationship Id="rId411" Type="http://schemas.openxmlformats.org/officeDocument/2006/relationships/hyperlink" Target="mailto:patrice.descombes@vd.ch" TargetMode="External"/><Relationship Id="rId453" Type="http://schemas.openxmlformats.org/officeDocument/2006/relationships/hyperlink" Target="mailto:gregor.kozlowski@unifr.ch" TargetMode="External"/><Relationship Id="rId509" Type="http://schemas.openxmlformats.org/officeDocument/2006/relationships/hyperlink" Target="mailto:thomas.bolliger@kulturama.ch" TargetMode="External"/><Relationship Id="rId660" Type="http://schemas.openxmlformats.org/officeDocument/2006/relationships/hyperlink" Target="https://www.nmbs.ch/home/museum/sammlungen/geowissenschaftlich/palaeontologie-wirbeltiere/rezente-saeugetiere.html" TargetMode="External"/><Relationship Id="rId106" Type="http://schemas.openxmlformats.org/officeDocument/2006/relationships/hyperlink" Target="mailto:info@muzoo.ch" TargetMode="External"/><Relationship Id="rId313" Type="http://schemas.openxmlformats.org/officeDocument/2006/relationships/hyperlink" Target="mailto:olivier.maridet@jurassica.ch" TargetMode="External"/><Relationship Id="rId495" Type="http://schemas.openxmlformats.org/officeDocument/2006/relationships/hyperlink" Target="mailto:christian.puentener@fr.ch" TargetMode="External"/><Relationship Id="rId716" Type="http://schemas.openxmlformats.org/officeDocument/2006/relationships/hyperlink" Target="mailto:alessia.guggisberg@usys.ethz.ch" TargetMode="External"/><Relationship Id="rId10" Type="http://schemas.openxmlformats.org/officeDocument/2006/relationships/hyperlink" Target="http://taxodros.unizh.ch/" TargetMode="External"/><Relationship Id="rId52" Type="http://schemas.openxmlformats.org/officeDocument/2006/relationships/hyperlink" Target="mailto:martin.haeusler@iem.uzh.ch" TargetMode="External"/><Relationship Id="rId94" Type="http://schemas.openxmlformats.org/officeDocument/2006/relationships/hyperlink" Target="mailto:info@muzoo.ch" TargetMode="External"/><Relationship Id="rId148" Type="http://schemas.openxmlformats.org/officeDocument/2006/relationships/hyperlink" Target="mailto:elisabeth.danner@lu.ch" TargetMode="External"/><Relationship Id="rId355" Type="http://schemas.openxmlformats.org/officeDocument/2006/relationships/hyperlink" Target="mailto:silvan.thuering@solothurn.ch" TargetMode="External"/><Relationship Id="rId397" Type="http://schemas.openxmlformats.org/officeDocument/2006/relationships/hyperlink" Target="https://www.unil.ch/mcg/home/menuinst/le-musee/patrimoine/collections/mineralogie.html" TargetMode="External"/><Relationship Id="rId520" Type="http://schemas.openxmlformats.org/officeDocument/2006/relationships/hyperlink" Target="https://www.boga.unibe.ch/wissenschaft/herbarium/" TargetMode="External"/><Relationship Id="rId562" Type="http://schemas.openxmlformats.org/officeDocument/2006/relationships/hyperlink" Target="mailto:barbara.richner@tg.ch" TargetMode="External"/><Relationship Id="rId618" Type="http://schemas.openxmlformats.org/officeDocument/2006/relationships/hyperlink" Target="https://www.nmbs.ch/home/museum/sammlungen/biowissenschaftlich/uebrige-wirbellose-Tiere/weitere-Gruppen-wirbelloser-Tiere.html" TargetMode="External"/><Relationship Id="rId215" Type="http://schemas.openxmlformats.org/officeDocument/2006/relationships/hyperlink" Target="mailto:philippe.rentzel@unibas.ch" TargetMode="External"/><Relationship Id="rId257" Type="http://schemas.openxmlformats.org/officeDocument/2006/relationships/hyperlink" Target="https://viaf.org/viaf/22669656" TargetMode="External"/><Relationship Id="rId422" Type="http://schemas.openxmlformats.org/officeDocument/2006/relationships/hyperlink" Target="mailto:patrice.descombes@vd.ch" TargetMode="External"/><Relationship Id="rId464" Type="http://schemas.openxmlformats.org/officeDocument/2006/relationships/hyperlink" Target="mailto:gregor.kozlowski@unifr.ch" TargetMode="External"/><Relationship Id="rId299" Type="http://schemas.openxmlformats.org/officeDocument/2006/relationships/hyperlink" Target="mailto:olivier.maridet@jurassica.ch" TargetMode="External"/><Relationship Id="rId727" Type="http://schemas.openxmlformats.org/officeDocument/2006/relationships/hyperlink" Target="mailto:herbarium@unibas.ch" TargetMode="External"/><Relationship Id="rId63" Type="http://schemas.openxmlformats.org/officeDocument/2006/relationships/hyperlink" Target="https://www.iem.uzh.ch/en/museum_collections/humanremains.html" TargetMode="External"/><Relationship Id="rId159" Type="http://schemas.openxmlformats.org/officeDocument/2006/relationships/hyperlink" Target="mailto:elisabeth.danner@lu.ch" TargetMode="External"/><Relationship Id="rId366" Type="http://schemas.openxmlformats.org/officeDocument/2006/relationships/hyperlink" Target="https://hls-dhs-dss.ch/de/articles/041390/2013-01-10" TargetMode="External"/><Relationship Id="rId573" Type="http://schemas.openxmlformats.org/officeDocument/2006/relationships/hyperlink" Target="mailto:barbara.richner@tg.ch" TargetMode="External"/><Relationship Id="rId226" Type="http://schemas.openxmlformats.org/officeDocument/2006/relationships/hyperlink" Target="https://viaf.org/viaf/22669656" TargetMode="External"/><Relationship Id="rId433" Type="http://schemas.openxmlformats.org/officeDocument/2006/relationships/hyperlink" Target="mailto:christian.sprecher@naturama.ch" TargetMode="External"/><Relationship Id="rId640" Type="http://schemas.openxmlformats.org/officeDocument/2006/relationships/hyperlink" Target="https://www.nmbs.ch/home/museum/sammlungen/biowissenschaftlich/wirbeltiere/amphibien-und-reptilien.html" TargetMode="External"/><Relationship Id="rId738" Type="http://schemas.openxmlformats.org/officeDocument/2006/relationships/hyperlink" Target="http://grscicoll.org/institutional-collection/other-insects-and-all-other-arthropods-collection;http:/grbio.org/institutional-collection/other-insects-and-all-other-arthropods-collection;4493" TargetMode="External"/><Relationship Id="rId74" Type="http://schemas.openxmlformats.org/officeDocument/2006/relationships/hyperlink" Target="mailto:stefanie.vonfumetti@unibas.ch" TargetMode="External"/><Relationship Id="rId377" Type="http://schemas.openxmlformats.org/officeDocument/2006/relationships/hyperlink" Target="mailto:anne.freitag@vd.ch" TargetMode="External"/><Relationship Id="rId500" Type="http://schemas.openxmlformats.org/officeDocument/2006/relationships/hyperlink" Target="mailto:christian.puentener@fr.ch" TargetMode="External"/><Relationship Id="rId584" Type="http://schemas.openxmlformats.org/officeDocument/2006/relationships/hyperlink" Target="mailto:helene.gabioud-duinat@admin.vs.ch" TargetMode="External"/><Relationship Id="rId5" Type="http://schemas.openxmlformats.org/officeDocument/2006/relationships/hyperlink" Target="mailto:alexander.kocyan@botinst.uzh.ch" TargetMode="External"/><Relationship Id="rId237" Type="http://schemas.openxmlformats.org/officeDocument/2006/relationships/hyperlink" Target="mailto:marco.bernasconi@lu.ch" TargetMode="External"/><Relationship Id="rId444" Type="http://schemas.openxmlformats.org/officeDocument/2006/relationships/hyperlink" Target="mailto:gregor.kozlowski@unifr.ch" TargetMode="External"/><Relationship Id="rId651" Type="http://schemas.openxmlformats.org/officeDocument/2006/relationships/hyperlink" Target="mailto:david.marques@bs.ch" TargetMode="External"/><Relationship Id="rId290" Type="http://schemas.openxmlformats.org/officeDocument/2006/relationships/hyperlink" Target="https://www.museum-neuchatel.ch/collections/" TargetMode="External"/><Relationship Id="rId304" Type="http://schemas.openxmlformats.org/officeDocument/2006/relationships/hyperlink" Target="https://www.amphipod.ch/" TargetMode="External"/><Relationship Id="rId388" Type="http://schemas.openxmlformats.org/officeDocument/2006/relationships/hyperlink" Target="mailto:jean-luc.gattolliat@vd.ch" TargetMode="External"/><Relationship Id="rId511" Type="http://schemas.openxmlformats.org/officeDocument/2006/relationships/hyperlink" Target="mailto:olivier.maridet@jurassica.ch" TargetMode="External"/><Relationship Id="rId609" Type="http://schemas.openxmlformats.org/officeDocument/2006/relationships/hyperlink" Target="mailto:seraina.klopfstein@bs.ch" TargetMode="External"/><Relationship Id="rId85" Type="http://schemas.openxmlformats.org/officeDocument/2006/relationships/hyperlink" Target="https://www.cjbg.ch/fr/collections/herbiers" TargetMode="External"/><Relationship Id="rId150" Type="http://schemas.openxmlformats.org/officeDocument/2006/relationships/hyperlink" Target="mailto:elisabeth.danner@lu.ch" TargetMode="External"/><Relationship Id="rId595" Type="http://schemas.openxmlformats.org/officeDocument/2006/relationships/hyperlink" Target="mailto:helene.gabioud-duinat@admin.vs.ch" TargetMode="External"/><Relationship Id="rId248" Type="http://schemas.openxmlformats.org/officeDocument/2006/relationships/hyperlink" Target="mailto:marco.bernasconi@lu.ch" TargetMode="External"/><Relationship Id="rId455" Type="http://schemas.openxmlformats.org/officeDocument/2006/relationships/hyperlink" Target="mailto:gregor.kozlowski@unifr.ch" TargetMode="External"/><Relationship Id="rId662" Type="http://schemas.openxmlformats.org/officeDocument/2006/relationships/hyperlink" Target="https://viaf.org/viaf/64167248;Gustav" TargetMode="External"/><Relationship Id="rId12" Type="http://schemas.openxmlformats.org/officeDocument/2006/relationships/hyperlink" Target="https://www.aim.uzh.ch/de/collection.html" TargetMode="External"/><Relationship Id="rId108" Type="http://schemas.openxmlformats.org/officeDocument/2006/relationships/hyperlink" Target="mailto:info@muzoo.ch" TargetMode="External"/><Relationship Id="rId315" Type="http://schemas.openxmlformats.org/officeDocument/2006/relationships/hyperlink" Target="mailto:olivier.maridet@jurassica.ch" TargetMode="External"/><Relationship Id="rId522" Type="http://schemas.openxmlformats.org/officeDocument/2006/relationships/hyperlink" Target="mailto:katja.rembold@boga.unibe.ch" TargetMode="External"/><Relationship Id="rId96" Type="http://schemas.openxmlformats.org/officeDocument/2006/relationships/hyperlink" Target="mailto:info@muzoo.ch" TargetMode="External"/><Relationship Id="rId161" Type="http://schemas.openxmlformats.org/officeDocument/2006/relationships/hyperlink" Target="mailto:elisabeth.danner@lu.ch" TargetMode="External"/><Relationship Id="rId399" Type="http://schemas.openxmlformats.org/officeDocument/2006/relationships/hyperlink" Target="https://www.unil.ch/mcg/home/menuinst/le-musee/patrimoine/collections/petrographie.html" TargetMode="External"/><Relationship Id="rId259" Type="http://schemas.openxmlformats.org/officeDocument/2006/relationships/hyperlink" Target="mailto:marco.bernasconi@lu.ch" TargetMode="External"/><Relationship Id="rId466" Type="http://schemas.openxmlformats.org/officeDocument/2006/relationships/hyperlink" Target="mailto:gregor.kozlowski@unifr.ch" TargetMode="External"/><Relationship Id="rId673" Type="http://schemas.openxmlformats.org/officeDocument/2006/relationships/hyperlink" Target="mailto:michael.knappertsbusch@bs.ch" TargetMode="External"/><Relationship Id="rId23" Type="http://schemas.openxmlformats.org/officeDocument/2006/relationships/hyperlink" Target="mailto:martina.schenkel@zm.uzh.ch" TargetMode="External"/><Relationship Id="rId119" Type="http://schemas.openxmlformats.org/officeDocument/2006/relationships/hyperlink" Target="https://www.museum-neuchatel.ch/collections/" TargetMode="External"/><Relationship Id="rId326" Type="http://schemas.openxmlformats.org/officeDocument/2006/relationships/hyperlink" Target="mailto:stephan.liersch@bnm.gr.ch" TargetMode="External"/><Relationship Id="rId533" Type="http://schemas.openxmlformats.org/officeDocument/2006/relationships/hyperlink" Target="https://www.museum-neuchatel.ch/collections/" TargetMode="External"/><Relationship Id="rId740" Type="http://schemas.openxmlformats.org/officeDocument/2006/relationships/hyperlink" Target="http://grscicoll.org/institutional-collection/coleoptera-lepidoptera-hymenoptera-diptera-collection;http:/grbio.org/institutional-collection/coleoptera-lepidoptera-hymenoptera-diptera-collection;4252" TargetMode="External"/><Relationship Id="rId172" Type="http://schemas.openxmlformats.org/officeDocument/2006/relationships/hyperlink" Target="mailto:tamara.emmenegger@lu.ch" TargetMode="External"/><Relationship Id="rId477" Type="http://schemas.openxmlformats.org/officeDocument/2006/relationships/hyperlink" Target="mailto:sophie.giriens@fr.ch" TargetMode="External"/><Relationship Id="rId600" Type="http://schemas.openxmlformats.org/officeDocument/2006/relationships/hyperlink" Target="https://viaf.org/viaf/295519951;Elisabeth" TargetMode="External"/><Relationship Id="rId684" Type="http://schemas.openxmlformats.org/officeDocument/2006/relationships/hyperlink" Target="mailto:walter.etter@bs.ch" TargetMode="External"/><Relationship Id="rId337" Type="http://schemas.openxmlformats.org/officeDocument/2006/relationships/hyperlink" Target="mailto:karin.urfer@naturmuseumsg.ch" TargetMode="External"/><Relationship Id="rId34" Type="http://schemas.openxmlformats.org/officeDocument/2006/relationships/hyperlink" Target="https://www.aim.uzh.ch/de/collection.html" TargetMode="External"/><Relationship Id="rId544" Type="http://schemas.openxmlformats.org/officeDocument/2006/relationships/hyperlink" Target="mailto:beda.hofmann@nmbe.ch" TargetMode="External"/><Relationship Id="rId183" Type="http://schemas.openxmlformats.org/officeDocument/2006/relationships/hyperlink" Target="mailto:tamara.emmenegger@lu.ch" TargetMode="External"/><Relationship Id="rId390" Type="http://schemas.openxmlformats.org/officeDocument/2006/relationships/hyperlink" Target="mailto:antoine.pictet@unil.ch" TargetMode="External"/><Relationship Id="rId404" Type="http://schemas.openxmlformats.org/officeDocument/2006/relationships/hyperlink" Target="mailto:robin.marchant@unil.ch" TargetMode="External"/><Relationship Id="rId611" Type="http://schemas.openxmlformats.org/officeDocument/2006/relationships/hyperlink" Target="mailto:seraina.klopfstein@bs.ch" TargetMode="External"/><Relationship Id="rId250" Type="http://schemas.openxmlformats.org/officeDocument/2006/relationships/hyperlink" Target="mailto:marco.bernasconi@lu.ch" TargetMode="External"/><Relationship Id="rId488" Type="http://schemas.openxmlformats.org/officeDocument/2006/relationships/hyperlink" Target="mailto:christian.puentener@fr.ch" TargetMode="External"/><Relationship Id="rId695" Type="http://schemas.openxmlformats.org/officeDocument/2006/relationships/hyperlink" Target="https://www.wikidata.org/wiki/Q2077023;Friedrich" TargetMode="External"/><Relationship Id="rId709" Type="http://schemas.openxmlformats.org/officeDocument/2006/relationships/hyperlink" Target="http://ih.gbif.org/" TargetMode="External"/><Relationship Id="rId45" Type="http://schemas.openxmlformats.org/officeDocument/2006/relationships/hyperlink" Target="mailto:alexander.kocyan@botinst.uzh.ch" TargetMode="External"/><Relationship Id="rId110" Type="http://schemas.openxmlformats.org/officeDocument/2006/relationships/hyperlink" Target="mailto:info@muzoo.ch" TargetMode="External"/><Relationship Id="rId348" Type="http://schemas.openxmlformats.org/officeDocument/2006/relationships/hyperlink" Target="mailto:madeleine.geiger@naturmuseumsg.ch" TargetMode="External"/><Relationship Id="rId555" Type="http://schemas.openxmlformats.org/officeDocument/2006/relationships/hyperlink" Target="mailto:sandra.scherrer@win.ch" TargetMode="External"/><Relationship Id="rId194" Type="http://schemas.openxmlformats.org/officeDocument/2006/relationships/hyperlink" Target="mailto:benedict.hotz@lu.ch" TargetMode="External"/><Relationship Id="rId208" Type="http://schemas.openxmlformats.org/officeDocument/2006/relationships/hyperlink" Target="mailto:tamara.emmenegger@lu.ch" TargetMode="External"/><Relationship Id="rId415" Type="http://schemas.openxmlformats.org/officeDocument/2006/relationships/hyperlink" Target="mailto:patrice.descombes@vd.ch" TargetMode="External"/><Relationship Id="rId622" Type="http://schemas.openxmlformats.org/officeDocument/2006/relationships/hyperlink" Target="mailto:seraina.klopfstein@bs.ch" TargetMode="External"/><Relationship Id="rId261" Type="http://schemas.openxmlformats.org/officeDocument/2006/relationships/hyperlink" Target="mailto:marco.bernasconi@lu.ch" TargetMode="External"/><Relationship Id="rId499" Type="http://schemas.openxmlformats.org/officeDocument/2006/relationships/hyperlink" Target="mailto:christian.puentener@fr.ch" TargetMode="External"/><Relationship Id="rId56" Type="http://schemas.openxmlformats.org/officeDocument/2006/relationships/hyperlink" Target="mailto:martin.haeusler@iem.uzh.ch" TargetMode="External"/><Relationship Id="rId359" Type="http://schemas.openxmlformats.org/officeDocument/2006/relationships/hyperlink" Target="mailto:marc.neumann@solothurn.ch" TargetMode="External"/><Relationship Id="rId566" Type="http://schemas.openxmlformats.org/officeDocument/2006/relationships/hyperlink" Target="mailto:barbara.richner@tg.ch" TargetMode="External"/><Relationship Id="rId121" Type="http://schemas.openxmlformats.org/officeDocument/2006/relationships/hyperlink" Target="https://www.museum-neuchatel.ch/collections/" TargetMode="External"/><Relationship Id="rId219" Type="http://schemas.openxmlformats.org/officeDocument/2006/relationships/hyperlink" Target="mailto:casparina.aschwanden@kmsu.ch" TargetMode="External"/><Relationship Id="rId426" Type="http://schemas.openxmlformats.org/officeDocument/2006/relationships/hyperlink" Target="mailto:christian.sprecher@naturama.ch" TargetMode="External"/><Relationship Id="rId633" Type="http://schemas.openxmlformats.org/officeDocument/2006/relationships/hyperlink" Target="mailto:seraina.klopfstein@bs.ch" TargetMode="External"/><Relationship Id="rId67" Type="http://schemas.openxmlformats.org/officeDocument/2006/relationships/hyperlink" Target="https://www.iem.uzh.ch/en/museum_collections/humanremains.html" TargetMode="External"/><Relationship Id="rId272" Type="http://schemas.openxmlformats.org/officeDocument/2006/relationships/hyperlink" Target="mailto:marco.bernasconi@lu.ch" TargetMode="External"/><Relationship Id="rId577" Type="http://schemas.openxmlformats.org/officeDocument/2006/relationships/hyperlink" Target="mailto:helene.gabioud-duinat@admin.vs.ch" TargetMode="External"/><Relationship Id="rId700" Type="http://schemas.openxmlformats.org/officeDocument/2006/relationships/hyperlink" Target="https://stadt.winterthur.ch/naturmuseum/sammlungen" TargetMode="External"/><Relationship Id="rId132" Type="http://schemas.openxmlformats.org/officeDocument/2006/relationships/hyperlink" Target="mailto:celia.bueno@ne.ch" TargetMode="External"/><Relationship Id="rId437" Type="http://schemas.openxmlformats.org/officeDocument/2006/relationships/hyperlink" Target="mailto:christian.sprecher@naturama.ch" TargetMode="External"/><Relationship Id="rId644" Type="http://schemas.openxmlformats.org/officeDocument/2006/relationships/hyperlink" Target="https://www.nmbs.ch/home/museum/sammlungen/biowissenschaftlich/wirbeltiere/voegel.html" TargetMode="External"/><Relationship Id="rId283" Type="http://schemas.openxmlformats.org/officeDocument/2006/relationships/hyperlink" Target="mailto:thierry.malvesy@ne.ch" TargetMode="External"/><Relationship Id="rId490" Type="http://schemas.openxmlformats.org/officeDocument/2006/relationships/hyperlink" Target="mailto:christian.puentener@fr.ch" TargetMode="External"/><Relationship Id="rId504" Type="http://schemas.openxmlformats.org/officeDocument/2006/relationships/hyperlink" Target="mailto:christian.puentener@fr.ch" TargetMode="External"/><Relationship Id="rId711" Type="http://schemas.openxmlformats.org/officeDocument/2006/relationships/hyperlink" Target="https://herbarium.unibas.ch/" TargetMode="External"/><Relationship Id="rId78" Type="http://schemas.openxmlformats.org/officeDocument/2006/relationships/hyperlink" Target="mailto:herb-phanero.cjb@ville-ge.ch" TargetMode="External"/><Relationship Id="rId143" Type="http://schemas.openxmlformats.org/officeDocument/2006/relationships/hyperlink" Target="https://viaf.org/viaf/8185896;Philippe" TargetMode="External"/><Relationship Id="rId350" Type="http://schemas.openxmlformats.org/officeDocument/2006/relationships/hyperlink" Target="mailto:madeleine.geiger@naturmuseumsg.ch" TargetMode="External"/><Relationship Id="rId588" Type="http://schemas.openxmlformats.org/officeDocument/2006/relationships/hyperlink" Target="mailto:helene.gabioud-duinat@admin.vs.ch" TargetMode="External"/><Relationship Id="rId9" Type="http://schemas.openxmlformats.org/officeDocument/2006/relationships/hyperlink" Target="https://www.zm.uzh.ch/de/sammlungen/wissenschaftlichesammlungen.html" TargetMode="External"/><Relationship Id="rId210" Type="http://schemas.openxmlformats.org/officeDocument/2006/relationships/hyperlink" Target="mailto:jason.grant@unine.ch" TargetMode="External"/><Relationship Id="rId448" Type="http://schemas.openxmlformats.org/officeDocument/2006/relationships/hyperlink" Target="mailto:gregor.kozlowski@unifr.ch" TargetMode="External"/><Relationship Id="rId655" Type="http://schemas.openxmlformats.org/officeDocument/2006/relationships/hyperlink" Target="mailto:david.marques@bs.ch" TargetMode="External"/><Relationship Id="rId294" Type="http://schemas.openxmlformats.org/officeDocument/2006/relationships/hyperlink" Target="https://www.amphipod.ch/" TargetMode="External"/><Relationship Id="rId308" Type="http://schemas.openxmlformats.org/officeDocument/2006/relationships/hyperlink" Target="https://www.amphipod.ch/" TargetMode="External"/><Relationship Id="rId515" Type="http://schemas.openxmlformats.org/officeDocument/2006/relationships/hyperlink" Target="mailto:katja.rembold@boga.unibe.ch" TargetMode="External"/><Relationship Id="rId722" Type="http://schemas.openxmlformats.org/officeDocument/2006/relationships/hyperlink" Target="mailto:jurriaan.devos@unibas.ch" TargetMode="External"/><Relationship Id="rId89" Type="http://schemas.openxmlformats.org/officeDocument/2006/relationships/hyperlink" Target="mailto:louis.nusbaumer@geneve.ch" TargetMode="External"/><Relationship Id="rId154" Type="http://schemas.openxmlformats.org/officeDocument/2006/relationships/hyperlink" Target="mailto:elisabeth.danner@lu.ch" TargetMode="External"/><Relationship Id="rId361" Type="http://schemas.openxmlformats.org/officeDocument/2006/relationships/hyperlink" Target="mailto:urs.weibel@stsh.ch" TargetMode="External"/><Relationship Id="rId599" Type="http://schemas.openxmlformats.org/officeDocument/2006/relationships/hyperlink" Target="mailto:holger.frick@bs.ch" TargetMode="External"/><Relationship Id="rId459" Type="http://schemas.openxmlformats.org/officeDocument/2006/relationships/hyperlink" Target="mailto:gregor.kozlowski@unifr.ch" TargetMode="External"/><Relationship Id="rId666" Type="http://schemas.openxmlformats.org/officeDocument/2006/relationships/hyperlink" Target="https://viaf.org/viaf/204798629;Pierre" TargetMode="External"/><Relationship Id="rId16" Type="http://schemas.openxmlformats.org/officeDocument/2006/relationships/hyperlink" Target="https://www.aim.uzh.ch/de/collection.html" TargetMode="External"/><Relationship Id="rId221" Type="http://schemas.openxmlformats.org/officeDocument/2006/relationships/hyperlink" Target="mailto:casparina.aschwanden@kmsu.ch" TargetMode="External"/><Relationship Id="rId319" Type="http://schemas.openxmlformats.org/officeDocument/2006/relationships/hyperlink" Target="https://www.amphipod.ch/" TargetMode="External"/><Relationship Id="rId526" Type="http://schemas.openxmlformats.org/officeDocument/2006/relationships/hyperlink" Target="mailto:celia.bueno@unine.ch" TargetMode="External"/><Relationship Id="rId733" Type="http://schemas.openxmlformats.org/officeDocument/2006/relationships/hyperlink" Target="mailto:andreas.mueller@library.ethz.ch" TargetMode="External"/><Relationship Id="rId165" Type="http://schemas.openxmlformats.org/officeDocument/2006/relationships/hyperlink" Target="https://www.researchgate.net/profile/Christoph_Germann" TargetMode="External"/><Relationship Id="rId372" Type="http://schemas.openxmlformats.org/officeDocument/2006/relationships/hyperlink" Target="mailto:jean-luc.gattolliat@vd.ch" TargetMode="External"/><Relationship Id="rId677" Type="http://schemas.openxmlformats.org/officeDocument/2006/relationships/hyperlink" Target="https://viaf.org/viaf/69702353;John" TargetMode="External"/><Relationship Id="rId232" Type="http://schemas.openxmlformats.org/officeDocument/2006/relationships/hyperlink" Target="mailto:marco.bernasconi@lu.ch" TargetMode="External"/><Relationship Id="rId27" Type="http://schemas.openxmlformats.org/officeDocument/2006/relationships/hyperlink" Target="mailto:gabriel.aguirre@pim.uzh.ch" TargetMode="External"/><Relationship Id="rId537" Type="http://schemas.openxmlformats.org/officeDocument/2006/relationships/hyperlink" Target="mailto:hannes.baur@nmbe.ch" TargetMode="External"/><Relationship Id="rId744" Type="http://schemas.openxmlformats.org/officeDocument/2006/relationships/hyperlink" Target="http://grscicoll.org/institutional-collection/invertebrate-collection;http:/grbio.org/institutional-collection/invertebrate-collection;4389" TargetMode="External"/><Relationship Id="rId80" Type="http://schemas.openxmlformats.org/officeDocument/2006/relationships/hyperlink" Target="mailto:martin.callmander@geneve.ch" TargetMode="External"/><Relationship Id="rId176" Type="http://schemas.openxmlformats.org/officeDocument/2006/relationships/hyperlink" Target="mailto:tamara.emmenegger@lu.ch" TargetMode="External"/><Relationship Id="rId383" Type="http://schemas.openxmlformats.org/officeDocument/2006/relationships/hyperlink" Target="mailto:jean-luc.gattolliat@vd.ch" TargetMode="External"/><Relationship Id="rId590" Type="http://schemas.openxmlformats.org/officeDocument/2006/relationships/hyperlink" Target="mailto:helene.gabioud-duinat@admin.vs.ch" TargetMode="External"/><Relationship Id="rId604" Type="http://schemas.openxmlformats.org/officeDocument/2006/relationships/hyperlink" Target="https://viaf.org/viaf/3351153596634251900001;Michel" TargetMode="External"/><Relationship Id="rId243" Type="http://schemas.openxmlformats.org/officeDocument/2006/relationships/hyperlink" Target="mailto:marco.bernasconi@lu.ch" TargetMode="External"/><Relationship Id="rId450" Type="http://schemas.openxmlformats.org/officeDocument/2006/relationships/hyperlink" Target="mailto:gregor.kozlowski@unifr.ch" TargetMode="External"/><Relationship Id="rId688" Type="http://schemas.openxmlformats.org/officeDocument/2006/relationships/hyperlink" Target="mailto:janine.mazenauer@bs.ch" TargetMode="External"/><Relationship Id="rId38" Type="http://schemas.openxmlformats.org/officeDocument/2006/relationships/hyperlink" Target="https://www.aim.uzh.ch/de/collection.html" TargetMode="External"/><Relationship Id="rId103" Type="http://schemas.openxmlformats.org/officeDocument/2006/relationships/hyperlink" Target="https://www.museum-neuchatel.ch/collections/" TargetMode="External"/><Relationship Id="rId310" Type="http://schemas.openxmlformats.org/officeDocument/2006/relationships/hyperlink" Target="https://www.amphipod.ch/" TargetMode="External"/><Relationship Id="rId548" Type="http://schemas.openxmlformats.org/officeDocument/2006/relationships/hyperlink" Target="mailto:sabrina.schnurrenberger@win.ch" TargetMode="External"/><Relationship Id="rId91" Type="http://schemas.openxmlformats.org/officeDocument/2006/relationships/hyperlink" Target="https://www.museum-neuchatel.ch/collections/" TargetMode="External"/><Relationship Id="rId187" Type="http://schemas.openxmlformats.org/officeDocument/2006/relationships/hyperlink" Target="mailto:benedict.hotz@lu.ch" TargetMode="External"/><Relationship Id="rId394" Type="http://schemas.openxmlformats.org/officeDocument/2006/relationships/hyperlink" Target="mailto:robin.marchant@unil.ch" TargetMode="External"/><Relationship Id="rId408" Type="http://schemas.openxmlformats.org/officeDocument/2006/relationships/hyperlink" Target="https://viaf.org/viaf/109945420" TargetMode="External"/><Relationship Id="rId615" Type="http://schemas.openxmlformats.org/officeDocument/2006/relationships/hyperlink" Target="mailto:christoph.germann@bs.ch" TargetMode="External"/><Relationship Id="rId254" Type="http://schemas.openxmlformats.org/officeDocument/2006/relationships/hyperlink" Target="mailto:marco.bernasconi@lu.ch" TargetMode="External"/><Relationship Id="rId699" Type="http://schemas.openxmlformats.org/officeDocument/2006/relationships/hyperlink" Target="mailto:sabrina.schnurrenberger@win.ch" TargetMode="External"/><Relationship Id="rId49" Type="http://schemas.openxmlformats.org/officeDocument/2006/relationships/hyperlink" Target="mailto:thomas.wohlgemuth@wsl.ch" TargetMode="External"/><Relationship Id="rId114" Type="http://schemas.openxmlformats.org/officeDocument/2006/relationships/hyperlink" Target="mailto:info@muzoo.ch" TargetMode="External"/><Relationship Id="rId461" Type="http://schemas.openxmlformats.org/officeDocument/2006/relationships/hyperlink" Target="mailto:gregor.kozlowski@unifr.ch" TargetMode="External"/><Relationship Id="rId559" Type="http://schemas.openxmlformats.org/officeDocument/2006/relationships/hyperlink" Target="mailto:barbara.richner@tg.ch" TargetMode="External"/><Relationship Id="rId198" Type="http://schemas.openxmlformats.org/officeDocument/2006/relationships/hyperlink" Target="mailto:benedict.hotz@lu.ch" TargetMode="External"/><Relationship Id="rId321" Type="http://schemas.openxmlformats.org/officeDocument/2006/relationships/hyperlink" Target="https://www.amphipod.ch/" TargetMode="External"/><Relationship Id="rId419" Type="http://schemas.openxmlformats.org/officeDocument/2006/relationships/hyperlink" Target="mailto:patrice.descombes@vd.ch" TargetMode="External"/><Relationship Id="rId626" Type="http://schemas.openxmlformats.org/officeDocument/2006/relationships/hyperlink" Target="https://hls-dhs-dss.ch/fr/articles/044917/2007-11-27;Willy" TargetMode="External"/><Relationship Id="rId265" Type="http://schemas.openxmlformats.org/officeDocument/2006/relationships/hyperlink" Target="mailto:marco.bernasconi@lu.ch" TargetMode="External"/><Relationship Id="rId472" Type="http://schemas.openxmlformats.org/officeDocument/2006/relationships/hyperlink" Target="mailto:christian.puentener@fr.ch" TargetMode="External"/><Relationship Id="rId125" Type="http://schemas.openxmlformats.org/officeDocument/2006/relationships/hyperlink" Target="https://hls-dhs-dss.ch/fr/articles/029095/2005-08-16;Louis" TargetMode="External"/><Relationship Id="rId332" Type="http://schemas.openxmlformats.org/officeDocument/2006/relationships/hyperlink" Target="mailto:alfred.bruelisauer@naturmuseum.ch" TargetMode="External"/><Relationship Id="rId637" Type="http://schemas.openxmlformats.org/officeDocument/2006/relationships/hyperlink" Target="mailto:holger.frick@bs.ch" TargetMode="External"/><Relationship Id="rId276" Type="http://schemas.openxmlformats.org/officeDocument/2006/relationships/hyperlink" Target="mailto:saskia.klaassen@bl.ch" TargetMode="External"/><Relationship Id="rId483" Type="http://schemas.openxmlformats.org/officeDocument/2006/relationships/hyperlink" Target="mailto:christian.puentener@fr.ch" TargetMode="External"/><Relationship Id="rId690" Type="http://schemas.openxmlformats.org/officeDocument/2006/relationships/hyperlink" Target="https://www.nmbs.ch/home/museum/sammlungen/geowissenschaftlich/anthropologie/" TargetMode="External"/><Relationship Id="rId704" Type="http://schemas.openxmlformats.org/officeDocument/2006/relationships/hyperlink" Target="https://www.nmbs.ch/home/museum/sammlungen/biowissenschaftlich/uebrige-wirbellose-Tiere/milben.html" TargetMode="External"/><Relationship Id="rId40" Type="http://schemas.openxmlformats.org/officeDocument/2006/relationships/hyperlink" Target="https://www.aim.uzh.ch/de/collection.html" TargetMode="External"/><Relationship Id="rId136" Type="http://schemas.openxmlformats.org/officeDocument/2006/relationships/hyperlink" Target="https://www.museum-neuchatel.ch/collections/" TargetMode="External"/><Relationship Id="rId343" Type="http://schemas.openxmlformats.org/officeDocument/2006/relationships/hyperlink" Target="https://viaf.org/viaf/76692655" TargetMode="External"/><Relationship Id="rId550" Type="http://schemas.openxmlformats.org/officeDocument/2006/relationships/hyperlink" Target="mailto:sabrina.schnurrenberger@win.ch" TargetMode="External"/><Relationship Id="rId203" Type="http://schemas.openxmlformats.org/officeDocument/2006/relationships/hyperlink" Target="mailto:benedict.hotz@lu.ch" TargetMode="External"/><Relationship Id="rId648" Type="http://schemas.openxmlformats.org/officeDocument/2006/relationships/hyperlink" Target="https://www.nmbs.ch/home/museum/sammlungen/biowissenschaftlich/wirbeltiere/saeuger.html" TargetMode="External"/><Relationship Id="rId287" Type="http://schemas.openxmlformats.org/officeDocument/2006/relationships/hyperlink" Target="https://www.museum-neuchatel.ch/collections/" TargetMode="External"/><Relationship Id="rId410" Type="http://schemas.openxmlformats.org/officeDocument/2006/relationships/hyperlink" Target="mailto:patrice.descombes@vd.ch" TargetMode="External"/><Relationship Id="rId494" Type="http://schemas.openxmlformats.org/officeDocument/2006/relationships/hyperlink" Target="mailto:christian.puentener@fr.ch" TargetMode="External"/><Relationship Id="rId508" Type="http://schemas.openxmlformats.org/officeDocument/2006/relationships/hyperlink" Target="https://www.kulturama.ch/ueber-uns/" TargetMode="External"/><Relationship Id="rId715" Type="http://schemas.openxmlformats.org/officeDocument/2006/relationships/hyperlink" Target="mailto:louis.nusbaumer@geneve.ch" TargetMode="External"/><Relationship Id="rId147" Type="http://schemas.openxmlformats.org/officeDocument/2006/relationships/hyperlink" Target="mailto:elisabeth.danner@lu.ch" TargetMode="External"/><Relationship Id="rId354" Type="http://schemas.openxmlformats.org/officeDocument/2006/relationships/hyperlink" Target="https://www.naturmuseum-so.ch/" TargetMode="External"/><Relationship Id="rId51" Type="http://schemas.openxmlformats.org/officeDocument/2006/relationships/hyperlink" Target="https://viaf.org/viaf/17146937722713830750;Marco" TargetMode="External"/><Relationship Id="rId561" Type="http://schemas.openxmlformats.org/officeDocument/2006/relationships/hyperlink" Target="mailto:barbara.richner@tg.ch" TargetMode="External"/><Relationship Id="rId659" Type="http://schemas.openxmlformats.org/officeDocument/2006/relationships/hyperlink" Target="mailto:loic.costeur@bs.ch" TargetMode="External"/><Relationship Id="rId214" Type="http://schemas.openxmlformats.org/officeDocument/2006/relationships/hyperlink" Target="mailto:sandra.pichler@unibas.ch" TargetMode="External"/><Relationship Id="rId298" Type="http://schemas.openxmlformats.org/officeDocument/2006/relationships/hyperlink" Target="https://www.amphipod.ch/" TargetMode="External"/><Relationship Id="rId421" Type="http://schemas.openxmlformats.org/officeDocument/2006/relationships/hyperlink" Target="mailto:patrice.descombes@vd.ch" TargetMode="External"/><Relationship Id="rId519" Type="http://schemas.openxmlformats.org/officeDocument/2006/relationships/hyperlink" Target="mailto:katja.rembold@boga.unibe.ch" TargetMode="External"/><Relationship Id="rId158" Type="http://schemas.openxmlformats.org/officeDocument/2006/relationships/hyperlink" Target="mailto:elisabeth.danner@lu.ch" TargetMode="External"/><Relationship Id="rId726" Type="http://schemas.openxmlformats.org/officeDocument/2006/relationships/hyperlink" Target="https://www.herbarien.uzh.ch/"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christian.puentener@fr.ch" TargetMode="External"/><Relationship Id="rId21" Type="http://schemas.openxmlformats.org/officeDocument/2006/relationships/hyperlink" Target="mailto:info@muzoo.ch" TargetMode="External"/><Relationship Id="rId42" Type="http://schemas.openxmlformats.org/officeDocument/2006/relationships/hyperlink" Target="mailto:benedict.hotz@lu.ch" TargetMode="External"/><Relationship Id="rId63" Type="http://schemas.openxmlformats.org/officeDocument/2006/relationships/hyperlink" Target="mailto:thierry.malvesy@ne.ch" TargetMode="External"/><Relationship Id="rId84" Type="http://schemas.openxmlformats.org/officeDocument/2006/relationships/hyperlink" Target="mailto:antoine.pictet@unil.ch" TargetMode="External"/><Relationship Id="rId138" Type="http://schemas.openxmlformats.org/officeDocument/2006/relationships/hyperlink" Target="mailto:beda.hofmann@nmbe.ch" TargetMode="External"/><Relationship Id="rId159" Type="http://schemas.openxmlformats.org/officeDocument/2006/relationships/hyperlink" Target="https://viaf.org/viaf/204798629;Pierre" TargetMode="External"/><Relationship Id="rId170" Type="http://schemas.openxmlformats.org/officeDocument/2006/relationships/hyperlink" Target="https://viaf.org/viaf/69702353;John" TargetMode="External"/><Relationship Id="rId191" Type="http://schemas.openxmlformats.org/officeDocument/2006/relationships/hyperlink" Target="http://grscicoll.org/institutional-collection/fossil-collection;http:/grbio.org/institutional-collection/fossil-collection;4327" TargetMode="External"/><Relationship Id="rId107" Type="http://schemas.openxmlformats.org/officeDocument/2006/relationships/hyperlink" Target="mailto:christian.puentener@fr.ch" TargetMode="External"/><Relationship Id="rId11" Type="http://schemas.openxmlformats.org/officeDocument/2006/relationships/hyperlink" Target="mailto:gabriel.aguirre@pim.uzh.ch" TargetMode="External"/><Relationship Id="rId32" Type="http://schemas.openxmlformats.org/officeDocument/2006/relationships/hyperlink" Target="mailto:benedict.hotz@lu.ch" TargetMode="External"/><Relationship Id="rId53" Type="http://schemas.openxmlformats.org/officeDocument/2006/relationships/hyperlink" Target="mailto:thierry.malvesy@ne.ch" TargetMode="External"/><Relationship Id="rId74" Type="http://schemas.openxmlformats.org/officeDocument/2006/relationships/hyperlink" Target="mailto:madeleine.geiger@naturmuseumsg.ch" TargetMode="External"/><Relationship Id="rId128" Type="http://schemas.openxmlformats.org/officeDocument/2006/relationships/hyperlink" Target="mailto:christian.puentener@fr.ch" TargetMode="External"/><Relationship Id="rId149" Type="http://schemas.openxmlformats.org/officeDocument/2006/relationships/hyperlink" Target="mailto:barbara.richner@tg.ch" TargetMode="External"/><Relationship Id="rId5" Type="http://schemas.openxmlformats.org/officeDocument/2006/relationships/hyperlink" Target="mailto:gabriel.aguirre@pim.uzh.ch" TargetMode="External"/><Relationship Id="rId95" Type="http://schemas.openxmlformats.org/officeDocument/2006/relationships/hyperlink" Target="https://www.unil.ch/mcg/home/menuinst/le-musee/patrimoine/collections/geologie-de-letranger.html" TargetMode="External"/><Relationship Id="rId160" Type="http://schemas.openxmlformats.org/officeDocument/2006/relationships/hyperlink" Target="mailto:walter.etter@bs.ch" TargetMode="External"/><Relationship Id="rId181" Type="http://schemas.openxmlformats.org/officeDocument/2006/relationships/hyperlink" Target="mailto:janine.mazenauer@bs.ch" TargetMode="External"/><Relationship Id="rId22" Type="http://schemas.openxmlformats.org/officeDocument/2006/relationships/hyperlink" Target="https://www.museum-neuchatel.ch/collections/" TargetMode="External"/><Relationship Id="rId43" Type="http://schemas.openxmlformats.org/officeDocument/2006/relationships/hyperlink" Target="mailto:benedict.hotz@lu.ch" TargetMode="External"/><Relationship Id="rId64" Type="http://schemas.openxmlformats.org/officeDocument/2006/relationships/hyperlink" Target="https://www.museum-neuchatel.ch/collections/" TargetMode="External"/><Relationship Id="rId118" Type="http://schemas.openxmlformats.org/officeDocument/2006/relationships/hyperlink" Target="mailto:christian.puentener@fr.ch" TargetMode="External"/><Relationship Id="rId139" Type="http://schemas.openxmlformats.org/officeDocument/2006/relationships/hyperlink" Target="mailto:sandra.scherrer@win.ch" TargetMode="External"/><Relationship Id="rId85" Type="http://schemas.openxmlformats.org/officeDocument/2006/relationships/hyperlink" Target="https://www.unil.ch/mcg/home/menuinst/le-musee/patrimoine/collections/paleonto-systematique.html" TargetMode="External"/><Relationship Id="rId150" Type="http://schemas.openxmlformats.org/officeDocument/2006/relationships/hyperlink" Target="mailto:helene.gabioud-duinat@admin.vs.ch" TargetMode="External"/><Relationship Id="rId171" Type="http://schemas.openxmlformats.org/officeDocument/2006/relationships/hyperlink" Target="mailto:walter.etter@bs.ch" TargetMode="External"/><Relationship Id="rId192" Type="http://schemas.openxmlformats.org/officeDocument/2006/relationships/hyperlink" Target="mailto:olivier.maridet@jurassica.ch" TargetMode="External"/><Relationship Id="rId12" Type="http://schemas.openxmlformats.org/officeDocument/2006/relationships/hyperlink" Target="https://www.aim.uzh.ch/de/collection.html" TargetMode="External"/><Relationship Id="rId33" Type="http://schemas.openxmlformats.org/officeDocument/2006/relationships/hyperlink" Target="mailto:benedict.hotz@lu.ch" TargetMode="External"/><Relationship Id="rId108" Type="http://schemas.openxmlformats.org/officeDocument/2006/relationships/hyperlink" Target="mailto:christian.puentener@fr.ch" TargetMode="External"/><Relationship Id="rId129" Type="http://schemas.openxmlformats.org/officeDocument/2006/relationships/hyperlink" Target="mailto:christian.puentener@fr.ch" TargetMode="External"/><Relationship Id="rId54" Type="http://schemas.openxmlformats.org/officeDocument/2006/relationships/hyperlink" Target="https://www.museum-neuchatel.ch/collections/" TargetMode="External"/><Relationship Id="rId75" Type="http://schemas.openxmlformats.org/officeDocument/2006/relationships/hyperlink" Target="mailto:madeleine.geiger@naturmuseumsg.ch" TargetMode="External"/><Relationship Id="rId96" Type="http://schemas.openxmlformats.org/officeDocument/2006/relationships/hyperlink" Target="mailto:nicolas.meisser@unil.ch" TargetMode="External"/><Relationship Id="rId140" Type="http://schemas.openxmlformats.org/officeDocument/2006/relationships/hyperlink" Target="mailto:sandra.scherrer@win.ch" TargetMode="External"/><Relationship Id="rId161" Type="http://schemas.openxmlformats.org/officeDocument/2006/relationships/hyperlink" Target="https://www.nmbs.ch/home/museum/sammlungen/geowissenschaftlich/palaeontologie-wirbellose-und-pflanzen/pflanzensammlungen.html" TargetMode="External"/><Relationship Id="rId182" Type="http://schemas.openxmlformats.org/officeDocument/2006/relationships/hyperlink" Target="mailto:walter.etter@bs.ch" TargetMode="External"/><Relationship Id="rId6" Type="http://schemas.openxmlformats.org/officeDocument/2006/relationships/hyperlink" Target="https://www.aim.uzh.ch/de/collection.html" TargetMode="External"/><Relationship Id="rId23" Type="http://schemas.openxmlformats.org/officeDocument/2006/relationships/hyperlink" Target="mailto:info@muzoo.ch" TargetMode="External"/><Relationship Id="rId119" Type="http://schemas.openxmlformats.org/officeDocument/2006/relationships/hyperlink" Target="mailto:christian.puentener@fr.ch" TargetMode="External"/><Relationship Id="rId44" Type="http://schemas.openxmlformats.org/officeDocument/2006/relationships/hyperlink" Target="mailto:benedict.hotz@lu.ch" TargetMode="External"/><Relationship Id="rId65" Type="http://schemas.openxmlformats.org/officeDocument/2006/relationships/hyperlink" Target="mailto:olivier.maridet@jurassica.ch" TargetMode="External"/><Relationship Id="rId86" Type="http://schemas.openxmlformats.org/officeDocument/2006/relationships/hyperlink" Target="mailto:antoine.pictet@unil.ch" TargetMode="External"/><Relationship Id="rId130" Type="http://schemas.openxmlformats.org/officeDocument/2006/relationships/hyperlink" Target="mailto:thomas.bolliger@kulturama.ch" TargetMode="External"/><Relationship Id="rId151" Type="http://schemas.openxmlformats.org/officeDocument/2006/relationships/hyperlink" Target="mailto:helene.gabioud-duinat@admin.vs.ch" TargetMode="External"/><Relationship Id="rId172" Type="http://schemas.openxmlformats.org/officeDocument/2006/relationships/hyperlink" Target="https://www.nmbs.ch/home/museum/sammlungen/geowissenschaftlich/palaeontologie-wirbellose-und-pflanzen/systematische-Sammlung.html" TargetMode="External"/><Relationship Id="rId193" Type="http://schemas.openxmlformats.org/officeDocument/2006/relationships/hyperlink" Target="https://www.amphipod.ch/" TargetMode="External"/><Relationship Id="rId13" Type="http://schemas.openxmlformats.org/officeDocument/2006/relationships/hyperlink" Target="mailto:gabriel.aguirre@pim.uzh.ch" TargetMode="External"/><Relationship Id="rId109" Type="http://schemas.openxmlformats.org/officeDocument/2006/relationships/hyperlink" Target="mailto:christian.puentener@fr.ch" TargetMode="External"/><Relationship Id="rId34" Type="http://schemas.openxmlformats.org/officeDocument/2006/relationships/hyperlink" Target="mailto:benedict.hotz@lu.ch" TargetMode="External"/><Relationship Id="rId50" Type="http://schemas.openxmlformats.org/officeDocument/2006/relationships/hyperlink" Target="https://www.museum-neuchatel.ch/collections/" TargetMode="External"/><Relationship Id="rId55" Type="http://schemas.openxmlformats.org/officeDocument/2006/relationships/hyperlink" Target="mailto:thierry.malvesy@ne.ch" TargetMode="External"/><Relationship Id="rId76" Type="http://schemas.openxmlformats.org/officeDocument/2006/relationships/hyperlink" Target="mailto:matthias.meier@naturmuseumsg.ch" TargetMode="External"/><Relationship Id="rId97" Type="http://schemas.openxmlformats.org/officeDocument/2006/relationships/hyperlink" Target="https://www.unil.ch/mcg/home/menuinst/le-musee/patrimoine/collections/mineralogie.html" TargetMode="External"/><Relationship Id="rId104" Type="http://schemas.openxmlformats.org/officeDocument/2006/relationships/hyperlink" Target="mailto:christian.puentener@fr.ch" TargetMode="External"/><Relationship Id="rId120" Type="http://schemas.openxmlformats.org/officeDocument/2006/relationships/hyperlink" Target="mailto:christian.puentener@fr.ch" TargetMode="External"/><Relationship Id="rId125" Type="http://schemas.openxmlformats.org/officeDocument/2006/relationships/hyperlink" Target="mailto:christian.puentener@fr.ch" TargetMode="External"/><Relationship Id="rId141" Type="http://schemas.openxmlformats.org/officeDocument/2006/relationships/hyperlink" Target="https://viaf.org/viaf/317147511;Emil" TargetMode="External"/><Relationship Id="rId146" Type="http://schemas.openxmlformats.org/officeDocument/2006/relationships/hyperlink" Target="mailto:barbara.richner@tg.ch" TargetMode="External"/><Relationship Id="rId167" Type="http://schemas.openxmlformats.org/officeDocument/2006/relationships/hyperlink" Target="mailto:walter.etter@bs.ch" TargetMode="External"/><Relationship Id="rId188" Type="http://schemas.openxmlformats.org/officeDocument/2006/relationships/hyperlink" Target="mailto:collections@erdw.ethz.ch" TargetMode="External"/><Relationship Id="rId7" Type="http://schemas.openxmlformats.org/officeDocument/2006/relationships/hyperlink" Target="mailto:gabriel.aguirre@pim.uzh.ch" TargetMode="External"/><Relationship Id="rId71" Type="http://schemas.openxmlformats.org/officeDocument/2006/relationships/hyperlink" Target="https://www.amphipod.ch/" TargetMode="External"/><Relationship Id="rId92" Type="http://schemas.openxmlformats.org/officeDocument/2006/relationships/hyperlink" Target="mailto:nicolas.meisser@unil.ch" TargetMode="External"/><Relationship Id="rId162" Type="http://schemas.openxmlformats.org/officeDocument/2006/relationships/hyperlink" Target="mailto:janine.mazenauer@bs.ch" TargetMode="External"/><Relationship Id="rId183" Type="http://schemas.openxmlformats.org/officeDocument/2006/relationships/hyperlink" Target="mailto:andre.puschnig@bs.ch" TargetMode="External"/><Relationship Id="rId2" Type="http://schemas.openxmlformats.org/officeDocument/2006/relationships/hyperlink" Target="https://www.pim.uzh.ch/sammlung/" TargetMode="External"/><Relationship Id="rId29" Type="http://schemas.openxmlformats.org/officeDocument/2006/relationships/hyperlink" Target="mailto:benedict.hotz@lu.ch" TargetMode="External"/><Relationship Id="rId24" Type="http://schemas.openxmlformats.org/officeDocument/2006/relationships/hyperlink" Target="https://www.museum-neuchatel.ch/collections/" TargetMode="External"/><Relationship Id="rId40" Type="http://schemas.openxmlformats.org/officeDocument/2006/relationships/hyperlink" Target="mailto:benedict.hotz@lu.ch" TargetMode="External"/><Relationship Id="rId45" Type="http://schemas.openxmlformats.org/officeDocument/2006/relationships/hyperlink" Target="mailto:benedict.hotz@lu.ch" TargetMode="External"/><Relationship Id="rId66" Type="http://schemas.openxmlformats.org/officeDocument/2006/relationships/hyperlink" Target="https://www.amphipod.ch/" TargetMode="External"/><Relationship Id="rId87" Type="http://schemas.openxmlformats.org/officeDocument/2006/relationships/hyperlink" Target="https://www.unil.ch/mcg/home/menuinst/le-musee/patrimoine/collections/paleonto-stratigraphique.html" TargetMode="External"/><Relationship Id="rId110" Type="http://schemas.openxmlformats.org/officeDocument/2006/relationships/hyperlink" Target="mailto:christian.puentener@fr.ch" TargetMode="External"/><Relationship Id="rId115" Type="http://schemas.openxmlformats.org/officeDocument/2006/relationships/hyperlink" Target="mailto:christian.puentener@fr.ch" TargetMode="External"/><Relationship Id="rId131" Type="http://schemas.openxmlformats.org/officeDocument/2006/relationships/hyperlink" Target="https://www.kulturama.ch/ueber-uns/" TargetMode="External"/><Relationship Id="rId136" Type="http://schemas.openxmlformats.org/officeDocument/2006/relationships/hyperlink" Target="mailto:ursula.menkveld@nmbe.ch" TargetMode="External"/><Relationship Id="rId157" Type="http://schemas.openxmlformats.org/officeDocument/2006/relationships/hyperlink" Target="https://www.nmbs.ch/home/museum/sammlungen/geowissenschaftlich/palaeontologie-wirbeltiere/ausgestorbene-saeugetiere-der-schweiz.html" TargetMode="External"/><Relationship Id="rId178" Type="http://schemas.openxmlformats.org/officeDocument/2006/relationships/hyperlink" Target="https://www.wikidata.org/wiki/Q2077023;Johann" TargetMode="External"/><Relationship Id="rId61" Type="http://schemas.openxmlformats.org/officeDocument/2006/relationships/hyperlink" Target="mailto:thierry.malvesy@ne.ch" TargetMode="External"/><Relationship Id="rId82" Type="http://schemas.openxmlformats.org/officeDocument/2006/relationships/hyperlink" Target="mailto:pia.geiger@olten.ch" TargetMode="External"/><Relationship Id="rId152" Type="http://schemas.openxmlformats.org/officeDocument/2006/relationships/hyperlink" Target="mailto:helene.gabioud-duinat@admin.vs.ch" TargetMode="External"/><Relationship Id="rId173" Type="http://schemas.openxmlformats.org/officeDocument/2006/relationships/hyperlink" Target="mailto:walter.etter@bs.ch" TargetMode="External"/><Relationship Id="rId19" Type="http://schemas.openxmlformats.org/officeDocument/2006/relationships/hyperlink" Target="mailto:info@muzoo.ch" TargetMode="External"/><Relationship Id="rId14" Type="http://schemas.openxmlformats.org/officeDocument/2006/relationships/hyperlink" Target="https://www.aim.uzh.ch/de/collection.html" TargetMode="External"/><Relationship Id="rId30" Type="http://schemas.openxmlformats.org/officeDocument/2006/relationships/hyperlink" Target="mailto:benedict.hotz@lu.ch" TargetMode="External"/><Relationship Id="rId35" Type="http://schemas.openxmlformats.org/officeDocument/2006/relationships/hyperlink" Target="mailto:benedict.hotz@lu.ch" TargetMode="External"/><Relationship Id="rId56" Type="http://schemas.openxmlformats.org/officeDocument/2006/relationships/hyperlink" Target="https://www.museum-neuchatel.ch/collections/" TargetMode="External"/><Relationship Id="rId77" Type="http://schemas.openxmlformats.org/officeDocument/2006/relationships/hyperlink" Target="mailto:madeleine.geiger@naturmuseumsg.ch" TargetMode="External"/><Relationship Id="rId100" Type="http://schemas.openxmlformats.org/officeDocument/2006/relationships/hyperlink" Target="mailto:christian.sprecher@naturama.ch" TargetMode="External"/><Relationship Id="rId105" Type="http://schemas.openxmlformats.org/officeDocument/2006/relationships/hyperlink" Target="mailto:christian.puentener@fr.ch" TargetMode="External"/><Relationship Id="rId126" Type="http://schemas.openxmlformats.org/officeDocument/2006/relationships/hyperlink" Target="mailto:christian.puentener@fr.ch" TargetMode="External"/><Relationship Id="rId147" Type="http://schemas.openxmlformats.org/officeDocument/2006/relationships/hyperlink" Target="mailto:barbara.richner@tg.ch" TargetMode="External"/><Relationship Id="rId168" Type="http://schemas.openxmlformats.org/officeDocument/2006/relationships/hyperlink" Target="https://www.nmbs.ch/home/museum/sammlungen/geowissenschaftlich/palaeontologie-wirbellose-und-pflanzen/typen-und-Belegsammlungen.html" TargetMode="External"/><Relationship Id="rId8" Type="http://schemas.openxmlformats.org/officeDocument/2006/relationships/hyperlink" Target="https://www.aim.uzh.ch/de/collection.html" TargetMode="External"/><Relationship Id="rId51" Type="http://schemas.openxmlformats.org/officeDocument/2006/relationships/hyperlink" Target="mailto:thierry.malvesy@ne.ch" TargetMode="External"/><Relationship Id="rId72" Type="http://schemas.openxmlformats.org/officeDocument/2006/relationships/hyperlink" Target="mailto:olivier.maridet@jurassica.ch" TargetMode="External"/><Relationship Id="rId93" Type="http://schemas.openxmlformats.org/officeDocument/2006/relationships/hyperlink" Target="https://www.unil.ch/mcg/home/menuinst/le-musee/patrimoine/collections/petrographie.html" TargetMode="External"/><Relationship Id="rId98" Type="http://schemas.openxmlformats.org/officeDocument/2006/relationships/hyperlink" Target="mailto:robin.marchant@unil.ch" TargetMode="External"/><Relationship Id="rId121" Type="http://schemas.openxmlformats.org/officeDocument/2006/relationships/hyperlink" Target="mailto:christian.puentener@fr.ch" TargetMode="External"/><Relationship Id="rId142" Type="http://schemas.openxmlformats.org/officeDocument/2006/relationships/hyperlink" Target="mailto:sandra.scherrer@win.ch" TargetMode="External"/><Relationship Id="rId163" Type="http://schemas.openxmlformats.org/officeDocument/2006/relationships/hyperlink" Target="https://www.wikidata.org/wiki/Q2077023;Johann" TargetMode="External"/><Relationship Id="rId184" Type="http://schemas.openxmlformats.org/officeDocument/2006/relationships/hyperlink" Target="https://www.wikidata.org/wiki/Q2077023;Friedrich" TargetMode="External"/><Relationship Id="rId189" Type="http://schemas.openxmlformats.org/officeDocument/2006/relationships/hyperlink" Target="https://collections.erdw.ethz.ch/" TargetMode="External"/><Relationship Id="rId3" Type="http://schemas.openxmlformats.org/officeDocument/2006/relationships/hyperlink" Target="mailto:gabriel.aguirre@pim.uzh.ch" TargetMode="External"/><Relationship Id="rId25" Type="http://schemas.openxmlformats.org/officeDocument/2006/relationships/hyperlink" Target="mailto:benedict.hotz@lu.ch" TargetMode="External"/><Relationship Id="rId46" Type="http://schemas.openxmlformats.org/officeDocument/2006/relationships/hyperlink" Target="mailto:casparina.aschwanden@kmsu.ch" TargetMode="External"/><Relationship Id="rId67" Type="http://schemas.openxmlformats.org/officeDocument/2006/relationships/hyperlink" Target="mailto:olivier.maridet@jurassica.ch" TargetMode="External"/><Relationship Id="rId116" Type="http://schemas.openxmlformats.org/officeDocument/2006/relationships/hyperlink" Target="https://viaf.org/viaf/42606656;M" TargetMode="External"/><Relationship Id="rId137" Type="http://schemas.openxmlformats.org/officeDocument/2006/relationships/hyperlink" Target="mailto:beda.hofmann@nmbe.ch" TargetMode="External"/><Relationship Id="rId158" Type="http://schemas.openxmlformats.org/officeDocument/2006/relationships/hyperlink" Target="mailto:florian.dammeyer@bs.ch" TargetMode="External"/><Relationship Id="rId20" Type="http://schemas.openxmlformats.org/officeDocument/2006/relationships/hyperlink" Target="https://www.museum-neuchatel.ch/collections/" TargetMode="External"/><Relationship Id="rId41" Type="http://schemas.openxmlformats.org/officeDocument/2006/relationships/hyperlink" Target="mailto:benedict.hotz@lu.ch" TargetMode="External"/><Relationship Id="rId62" Type="http://schemas.openxmlformats.org/officeDocument/2006/relationships/hyperlink" Target="https://www.museum-neuchatel.ch/collections/" TargetMode="External"/><Relationship Id="rId83" Type="http://schemas.openxmlformats.org/officeDocument/2006/relationships/hyperlink" Target="https://www.olten.ch/_docn/996524/Prufbericht_NMO.pdf" TargetMode="External"/><Relationship Id="rId88" Type="http://schemas.openxmlformats.org/officeDocument/2006/relationships/hyperlink" Target="mailto:robin.marchant@unil.ch" TargetMode="External"/><Relationship Id="rId111" Type="http://schemas.openxmlformats.org/officeDocument/2006/relationships/hyperlink" Target="mailto:christian.puentener@fr.ch" TargetMode="External"/><Relationship Id="rId132" Type="http://schemas.openxmlformats.org/officeDocument/2006/relationships/hyperlink" Target="mailto:olivier.maridet@jurassica.ch" TargetMode="External"/><Relationship Id="rId153" Type="http://schemas.openxmlformats.org/officeDocument/2006/relationships/hyperlink" Target="mailto:helene.gabioud-duinat@admin.vs.ch" TargetMode="External"/><Relationship Id="rId174" Type="http://schemas.openxmlformats.org/officeDocument/2006/relationships/hyperlink" Target="https://www.wikidata.org/wiki/Q2077023;Mathieu" TargetMode="External"/><Relationship Id="rId179" Type="http://schemas.openxmlformats.org/officeDocument/2006/relationships/hyperlink" Target="mailto:walter.etter@bs.ch" TargetMode="External"/><Relationship Id="rId190" Type="http://schemas.openxmlformats.org/officeDocument/2006/relationships/hyperlink" Target="mailto:andreas.mueller@library.ethz.ch" TargetMode="External"/><Relationship Id="rId15" Type="http://schemas.openxmlformats.org/officeDocument/2006/relationships/hyperlink" Target="mailto:gabriel.aguirre@pim.uzh.ch" TargetMode="External"/><Relationship Id="rId36" Type="http://schemas.openxmlformats.org/officeDocument/2006/relationships/hyperlink" Target="mailto:benedict.hotz@lu.ch" TargetMode="External"/><Relationship Id="rId57" Type="http://schemas.openxmlformats.org/officeDocument/2006/relationships/hyperlink" Target="https://viaf.org/viaf/310654525;Louis" TargetMode="External"/><Relationship Id="rId106" Type="http://schemas.openxmlformats.org/officeDocument/2006/relationships/hyperlink" Target="mailto:christian.puentener@fr.ch" TargetMode="External"/><Relationship Id="rId127" Type="http://schemas.openxmlformats.org/officeDocument/2006/relationships/hyperlink" Target="mailto:christian.puentener@fr.ch" TargetMode="External"/><Relationship Id="rId10" Type="http://schemas.openxmlformats.org/officeDocument/2006/relationships/hyperlink" Target="https://www.aim.uzh.ch/de/collection.html" TargetMode="External"/><Relationship Id="rId31" Type="http://schemas.openxmlformats.org/officeDocument/2006/relationships/hyperlink" Target="mailto:benedict.hotz@lu.ch" TargetMode="External"/><Relationship Id="rId52" Type="http://schemas.openxmlformats.org/officeDocument/2006/relationships/hyperlink" Target="https://www.museum-neuchatel.ch/collections/" TargetMode="External"/><Relationship Id="rId73" Type="http://schemas.openxmlformats.org/officeDocument/2006/relationships/hyperlink" Target="https://www.amphipod.ch/" TargetMode="External"/><Relationship Id="rId78" Type="http://schemas.openxmlformats.org/officeDocument/2006/relationships/hyperlink" Target="mailto:silvan.thuering@solothurn.ch" TargetMode="External"/><Relationship Id="rId94" Type="http://schemas.openxmlformats.org/officeDocument/2006/relationships/hyperlink" Target="mailto:robin.marchant@unil.ch" TargetMode="External"/><Relationship Id="rId99" Type="http://schemas.openxmlformats.org/officeDocument/2006/relationships/hyperlink" Target="https://www.unil.ch/mcg/home/menuinst/le-musee/patrimoine/collections/geologie-appliquee.html" TargetMode="External"/><Relationship Id="rId101" Type="http://schemas.openxmlformats.org/officeDocument/2006/relationships/hyperlink" Target="mailto:christian.sprecher@naturama.ch" TargetMode="External"/><Relationship Id="rId122" Type="http://schemas.openxmlformats.org/officeDocument/2006/relationships/hyperlink" Target="mailto:christian.puentener@fr.ch" TargetMode="External"/><Relationship Id="rId143" Type="http://schemas.openxmlformats.org/officeDocument/2006/relationships/hyperlink" Target="mailto:sandra.scherrer@win.ch" TargetMode="External"/><Relationship Id="rId148" Type="http://schemas.openxmlformats.org/officeDocument/2006/relationships/hyperlink" Target="mailto:barbara.richner@tg.ch" TargetMode="External"/><Relationship Id="rId164" Type="http://schemas.openxmlformats.org/officeDocument/2006/relationships/hyperlink" Target="mailto:michael.knappertsbusch@bs.ch" TargetMode="External"/><Relationship Id="rId169" Type="http://schemas.openxmlformats.org/officeDocument/2006/relationships/hyperlink" Target="mailto:walter.etter@bs.ch" TargetMode="External"/><Relationship Id="rId185" Type="http://schemas.openxmlformats.org/officeDocument/2006/relationships/hyperlink" Target="mailto:sandra.scherrer@win.ch" TargetMode="External"/><Relationship Id="rId4" Type="http://schemas.openxmlformats.org/officeDocument/2006/relationships/hyperlink" Target="https://www.aim.uzh.ch/de/collection.html" TargetMode="External"/><Relationship Id="rId9" Type="http://schemas.openxmlformats.org/officeDocument/2006/relationships/hyperlink" Target="mailto:gabriel.aguirre@pim.uzh.ch" TargetMode="External"/><Relationship Id="rId180" Type="http://schemas.openxmlformats.org/officeDocument/2006/relationships/hyperlink" Target="https://www.nmbs.ch/home/museum/sammlungen/geowissenschaftlich/palaeontologie-wirbellose-und-pflanzen/lehr-und-Demosammlung.html" TargetMode="External"/><Relationship Id="rId26" Type="http://schemas.openxmlformats.org/officeDocument/2006/relationships/hyperlink" Target="mailto:benedict.hotz@lu.ch" TargetMode="External"/><Relationship Id="rId47" Type="http://schemas.openxmlformats.org/officeDocument/2006/relationships/hyperlink" Target="mailto:saskia.klaassen@bl.ch" TargetMode="External"/><Relationship Id="rId68" Type="http://schemas.openxmlformats.org/officeDocument/2006/relationships/hyperlink" Target="https://www.amphipod.ch/" TargetMode="External"/><Relationship Id="rId89" Type="http://schemas.openxmlformats.org/officeDocument/2006/relationships/hyperlink" Target="https://www.unil.ch/mcg/home/menuinst/le-musee/patrimoine/collections/geologie-regionale.html" TargetMode="External"/><Relationship Id="rId112" Type="http://schemas.openxmlformats.org/officeDocument/2006/relationships/hyperlink" Target="mailto:christian.puentener@fr.ch" TargetMode="External"/><Relationship Id="rId133" Type="http://schemas.openxmlformats.org/officeDocument/2006/relationships/hyperlink" Target="mailto:katja.rembold@boga.unibe.ch" TargetMode="External"/><Relationship Id="rId154" Type="http://schemas.openxmlformats.org/officeDocument/2006/relationships/hyperlink" Target="mailto:helene.gabioud-duinat@admin.vs.ch" TargetMode="External"/><Relationship Id="rId175" Type="http://schemas.openxmlformats.org/officeDocument/2006/relationships/hyperlink" Target="mailto:walter.etter@bs.ch" TargetMode="External"/><Relationship Id="rId16" Type="http://schemas.openxmlformats.org/officeDocument/2006/relationships/hyperlink" Target="https://www.aim.uzh.ch/de/collection.html" TargetMode="External"/><Relationship Id="rId37" Type="http://schemas.openxmlformats.org/officeDocument/2006/relationships/hyperlink" Target="mailto:benedict.hotz@lu.ch" TargetMode="External"/><Relationship Id="rId58" Type="http://schemas.openxmlformats.org/officeDocument/2006/relationships/hyperlink" Target="mailto:thierry.malvesy@ne.ch" TargetMode="External"/><Relationship Id="rId79" Type="http://schemas.openxmlformats.org/officeDocument/2006/relationships/hyperlink" Target="https://www.naturmuseum-so.ch/" TargetMode="External"/><Relationship Id="rId102" Type="http://schemas.openxmlformats.org/officeDocument/2006/relationships/hyperlink" Target="mailto:christian.puentener@fr.ch" TargetMode="External"/><Relationship Id="rId123" Type="http://schemas.openxmlformats.org/officeDocument/2006/relationships/hyperlink" Target="mailto:christian.puentener@fr.ch" TargetMode="External"/><Relationship Id="rId144" Type="http://schemas.openxmlformats.org/officeDocument/2006/relationships/hyperlink" Target="mailto:barbara.richner@tg.ch" TargetMode="External"/><Relationship Id="rId90" Type="http://schemas.openxmlformats.org/officeDocument/2006/relationships/hyperlink" Target="mailto:nicolas.meisser@unil.ch" TargetMode="External"/><Relationship Id="rId165" Type="http://schemas.openxmlformats.org/officeDocument/2006/relationships/hyperlink" Target="https://micropal-basel.unibas.ch/Colls_NMB/MPCOLNMB.HTML" TargetMode="External"/><Relationship Id="rId186" Type="http://schemas.openxmlformats.org/officeDocument/2006/relationships/hyperlink" Target="https://stadt.winterthur.ch/naturmuseum/sammlungen" TargetMode="External"/><Relationship Id="rId27" Type="http://schemas.openxmlformats.org/officeDocument/2006/relationships/hyperlink" Target="mailto:benedict.hotz@lu.ch" TargetMode="External"/><Relationship Id="rId48" Type="http://schemas.openxmlformats.org/officeDocument/2006/relationships/hyperlink" Target="mailto:saskia.klaassen@bl.ch" TargetMode="External"/><Relationship Id="rId69" Type="http://schemas.openxmlformats.org/officeDocument/2006/relationships/hyperlink" Target="mailto:olivier.maridet@jurassica.ch" TargetMode="External"/><Relationship Id="rId113" Type="http://schemas.openxmlformats.org/officeDocument/2006/relationships/hyperlink" Target="mailto:christian.puentener@fr.ch" TargetMode="External"/><Relationship Id="rId134" Type="http://schemas.openxmlformats.org/officeDocument/2006/relationships/hyperlink" Target="mailto:katja.rembold@boga.unibe.ch" TargetMode="External"/><Relationship Id="rId80" Type="http://schemas.openxmlformats.org/officeDocument/2006/relationships/hyperlink" Target="mailto:silvan.thuering@solothurn.ch" TargetMode="External"/><Relationship Id="rId155" Type="http://schemas.openxmlformats.org/officeDocument/2006/relationships/hyperlink" Target="mailto:helene.gabioud-duinat@admin.vs.ch" TargetMode="External"/><Relationship Id="rId176" Type="http://schemas.openxmlformats.org/officeDocument/2006/relationships/hyperlink" Target="https://www.nmbs.ch/home/museum/sammlungen/geowissenschaftlich/palaeontologie-wirbellose-und-pflanzen/systematische-Sammlung.html" TargetMode="External"/><Relationship Id="rId17" Type="http://schemas.openxmlformats.org/officeDocument/2006/relationships/hyperlink" Target="mailto:gabriel.aguirre@pim.uzh.ch" TargetMode="External"/><Relationship Id="rId38" Type="http://schemas.openxmlformats.org/officeDocument/2006/relationships/hyperlink" Target="mailto:benedict.hotz@lu.ch" TargetMode="External"/><Relationship Id="rId59" Type="http://schemas.openxmlformats.org/officeDocument/2006/relationships/hyperlink" Target="https://www.museum-neuchatel.ch/collections/" TargetMode="External"/><Relationship Id="rId103" Type="http://schemas.openxmlformats.org/officeDocument/2006/relationships/hyperlink" Target="mailto:christian.puentener@fr.ch" TargetMode="External"/><Relationship Id="rId124" Type="http://schemas.openxmlformats.org/officeDocument/2006/relationships/hyperlink" Target="https://viaf.org/viaf/42606656" TargetMode="External"/><Relationship Id="rId70" Type="http://schemas.openxmlformats.org/officeDocument/2006/relationships/hyperlink" Target="mailto:olivier.maridet@jurassica.ch" TargetMode="External"/><Relationship Id="rId91" Type="http://schemas.openxmlformats.org/officeDocument/2006/relationships/hyperlink" Target="https://www.unil.ch/mcg/home/menuinst/le-musee/patrimoine/collections/mineralogie.html" TargetMode="External"/><Relationship Id="rId145" Type="http://schemas.openxmlformats.org/officeDocument/2006/relationships/hyperlink" Target="mailto:barbara.richner@tg.ch" TargetMode="External"/><Relationship Id="rId166" Type="http://schemas.openxmlformats.org/officeDocument/2006/relationships/hyperlink" Target="mailto:michael.knappertsbusch@bs.ch" TargetMode="External"/><Relationship Id="rId187" Type="http://schemas.openxmlformats.org/officeDocument/2006/relationships/hyperlink" Target="mailto:sandra.scherrer@win.ch" TargetMode="External"/><Relationship Id="rId1" Type="http://schemas.openxmlformats.org/officeDocument/2006/relationships/hyperlink" Target="mailto:chklug@pim.uzh.ch" TargetMode="External"/><Relationship Id="rId28" Type="http://schemas.openxmlformats.org/officeDocument/2006/relationships/hyperlink" Target="mailto:benedict.hotz@lu.ch" TargetMode="External"/><Relationship Id="rId49" Type="http://schemas.openxmlformats.org/officeDocument/2006/relationships/hyperlink" Target="mailto:thierry.malvesy@ne.ch" TargetMode="External"/><Relationship Id="rId114" Type="http://schemas.openxmlformats.org/officeDocument/2006/relationships/hyperlink" Target="mailto:christian.puentener@fr.ch" TargetMode="External"/><Relationship Id="rId60" Type="http://schemas.openxmlformats.org/officeDocument/2006/relationships/hyperlink" Target="https://viaf.org/viaf/42606656;Ayer" TargetMode="External"/><Relationship Id="rId81" Type="http://schemas.openxmlformats.org/officeDocument/2006/relationships/hyperlink" Target="https://www.naturmuseum-so.ch/" TargetMode="External"/><Relationship Id="rId135" Type="http://schemas.openxmlformats.org/officeDocument/2006/relationships/hyperlink" Target="mailto:ursula.menkveld@nmbe.ch" TargetMode="External"/><Relationship Id="rId156" Type="http://schemas.openxmlformats.org/officeDocument/2006/relationships/hyperlink" Target="mailto:loic.costeur@bs.ch" TargetMode="External"/><Relationship Id="rId177" Type="http://schemas.openxmlformats.org/officeDocument/2006/relationships/hyperlink" Target="mailto:walter.etter@bs.ch" TargetMode="External"/><Relationship Id="rId18" Type="http://schemas.openxmlformats.org/officeDocument/2006/relationships/hyperlink" Target="https://www.aim.uzh.ch/de/collection.html" TargetMode="External"/><Relationship Id="rId39" Type="http://schemas.openxmlformats.org/officeDocument/2006/relationships/hyperlink" Target="mailto:benedict.hotz@lu.ch"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museum-neuchatel.ch/collections/" TargetMode="External"/><Relationship Id="rId21" Type="http://schemas.openxmlformats.org/officeDocument/2006/relationships/hyperlink" Target="https://www.museum-neuchatel.ch/collections/" TargetMode="External"/><Relationship Id="rId42" Type="http://schemas.openxmlformats.org/officeDocument/2006/relationships/hyperlink" Target="mailto:silvan.thuering@solothurn.ch" TargetMode="External"/><Relationship Id="rId47" Type="http://schemas.openxmlformats.org/officeDocument/2006/relationships/hyperlink" Target="https://www.unil.ch/mcg/home/menuinst/le-musee/patrimoine/collections/geologie-regionale.html" TargetMode="External"/><Relationship Id="rId63" Type="http://schemas.openxmlformats.org/officeDocument/2006/relationships/hyperlink" Target="mailto:christian.puentener@fr.ch" TargetMode="External"/><Relationship Id="rId68" Type="http://schemas.openxmlformats.org/officeDocument/2006/relationships/hyperlink" Target="mailto:christian.puentener@fr.ch" TargetMode="External"/><Relationship Id="rId84" Type="http://schemas.openxmlformats.org/officeDocument/2006/relationships/hyperlink" Target="https://www.wikidata.org/wiki/Q2077023;Friedrich" TargetMode="External"/><Relationship Id="rId89" Type="http://schemas.openxmlformats.org/officeDocument/2006/relationships/hyperlink" Target="https://collections.erdw.ethz.ch/" TargetMode="External"/><Relationship Id="rId16" Type="http://schemas.openxmlformats.org/officeDocument/2006/relationships/hyperlink" Target="mailto:casparina.aschwanden@kmsu.ch" TargetMode="External"/><Relationship Id="rId11" Type="http://schemas.openxmlformats.org/officeDocument/2006/relationships/hyperlink" Target="mailto:benedict.hotz@lu.ch" TargetMode="External"/><Relationship Id="rId32" Type="http://schemas.openxmlformats.org/officeDocument/2006/relationships/hyperlink" Target="mailto:olivier.maridet@jurassica.ch" TargetMode="External"/><Relationship Id="rId37" Type="http://schemas.openxmlformats.org/officeDocument/2006/relationships/hyperlink" Target="https://www.amphipod.ch/" TargetMode="External"/><Relationship Id="rId53" Type="http://schemas.openxmlformats.org/officeDocument/2006/relationships/hyperlink" Target="https://www.unil.ch/mcg/home/menuinst/le-musee/patrimoine/collections/mineralogie.html" TargetMode="External"/><Relationship Id="rId58" Type="http://schemas.openxmlformats.org/officeDocument/2006/relationships/hyperlink" Target="mailto:christian.puentener@fr.ch" TargetMode="External"/><Relationship Id="rId74" Type="http://schemas.openxmlformats.org/officeDocument/2006/relationships/hyperlink" Target="mailto:barbara.richner@tg.ch" TargetMode="External"/><Relationship Id="rId79" Type="http://schemas.openxmlformats.org/officeDocument/2006/relationships/hyperlink" Target="mailto:helene.gabioud-duinat@admin.vs.ch" TargetMode="External"/><Relationship Id="rId5" Type="http://schemas.openxmlformats.org/officeDocument/2006/relationships/hyperlink" Target="mailto:benedict.hotz@lu.ch" TargetMode="External"/><Relationship Id="rId90" Type="http://schemas.openxmlformats.org/officeDocument/2006/relationships/hyperlink" Target="mailto:andreas.mueller@library.ethz.ch" TargetMode="External"/><Relationship Id="rId14" Type="http://schemas.openxmlformats.org/officeDocument/2006/relationships/hyperlink" Target="mailto:benedict.hotz@lu.ch" TargetMode="External"/><Relationship Id="rId22" Type="http://schemas.openxmlformats.org/officeDocument/2006/relationships/hyperlink" Target="mailto:thierry.malvesy@ne.ch" TargetMode="External"/><Relationship Id="rId27" Type="http://schemas.openxmlformats.org/officeDocument/2006/relationships/hyperlink" Target="https://viaf.org/viaf/42606656;Ayer" TargetMode="External"/><Relationship Id="rId30" Type="http://schemas.openxmlformats.org/officeDocument/2006/relationships/hyperlink" Target="mailto:thierry.malvesy@ne.ch" TargetMode="External"/><Relationship Id="rId35" Type="http://schemas.openxmlformats.org/officeDocument/2006/relationships/hyperlink" Target="https://www.amphipod.ch/" TargetMode="External"/><Relationship Id="rId43" Type="http://schemas.openxmlformats.org/officeDocument/2006/relationships/hyperlink" Target="https://www.naturmuseum-so.ch/" TargetMode="External"/><Relationship Id="rId48" Type="http://schemas.openxmlformats.org/officeDocument/2006/relationships/hyperlink" Target="mailto:nicolas.meisser@unil.ch" TargetMode="External"/><Relationship Id="rId56" Type="http://schemas.openxmlformats.org/officeDocument/2006/relationships/hyperlink" Target="mailto:christian.sprecher@naturama.ch" TargetMode="External"/><Relationship Id="rId64" Type="http://schemas.openxmlformats.org/officeDocument/2006/relationships/hyperlink" Target="https://viaf.org/viaf/42606656" TargetMode="External"/><Relationship Id="rId69" Type="http://schemas.openxmlformats.org/officeDocument/2006/relationships/hyperlink" Target="mailto:christian.puentener@fr.ch" TargetMode="External"/><Relationship Id="rId77" Type="http://schemas.openxmlformats.org/officeDocument/2006/relationships/hyperlink" Target="mailto:barbara.richner@tg.ch" TargetMode="External"/><Relationship Id="rId8" Type="http://schemas.openxmlformats.org/officeDocument/2006/relationships/hyperlink" Target="mailto:benedict.hotz@lu.ch" TargetMode="External"/><Relationship Id="rId51" Type="http://schemas.openxmlformats.org/officeDocument/2006/relationships/hyperlink" Target="https://www.unil.ch/mcg/home/menuinst/le-musee/patrimoine/collections/geologie-de-letranger.html" TargetMode="External"/><Relationship Id="rId72" Type="http://schemas.openxmlformats.org/officeDocument/2006/relationships/hyperlink" Target="mailto:sandra.scherrer@win.ch" TargetMode="External"/><Relationship Id="rId80" Type="http://schemas.openxmlformats.org/officeDocument/2006/relationships/hyperlink" Target="mailto:helene.gabioud-duinat@admin.vs.ch" TargetMode="External"/><Relationship Id="rId85" Type="http://schemas.openxmlformats.org/officeDocument/2006/relationships/hyperlink" Target="mailto:sandra.scherrer@win.ch" TargetMode="External"/><Relationship Id="rId3" Type="http://schemas.openxmlformats.org/officeDocument/2006/relationships/hyperlink" Target="mailto:info@muzoo.ch" TargetMode="External"/><Relationship Id="rId12" Type="http://schemas.openxmlformats.org/officeDocument/2006/relationships/hyperlink" Target="mailto:benedict.hotz@lu.ch" TargetMode="External"/><Relationship Id="rId17" Type="http://schemas.openxmlformats.org/officeDocument/2006/relationships/hyperlink" Target="mailto:saskia.klaassen@bl.ch" TargetMode="External"/><Relationship Id="rId25" Type="http://schemas.openxmlformats.org/officeDocument/2006/relationships/hyperlink" Target="mailto:thierry.malvesy@ne.ch" TargetMode="External"/><Relationship Id="rId33" Type="http://schemas.openxmlformats.org/officeDocument/2006/relationships/hyperlink" Target="https://www.amphipod.ch/" TargetMode="External"/><Relationship Id="rId38" Type="http://schemas.openxmlformats.org/officeDocument/2006/relationships/hyperlink" Target="mailto:matthias.meier@naturmuseumsg.ch" TargetMode="External"/><Relationship Id="rId46" Type="http://schemas.openxmlformats.org/officeDocument/2006/relationships/hyperlink" Target="mailto:robin.marchant@unil.ch" TargetMode="External"/><Relationship Id="rId59" Type="http://schemas.openxmlformats.org/officeDocument/2006/relationships/hyperlink" Target="mailto:christian.puentener@fr.ch" TargetMode="External"/><Relationship Id="rId67" Type="http://schemas.openxmlformats.org/officeDocument/2006/relationships/hyperlink" Target="mailto:christian.puentener@fr.ch" TargetMode="External"/><Relationship Id="rId20" Type="http://schemas.openxmlformats.org/officeDocument/2006/relationships/hyperlink" Target="mailto:thierry.malvesy@ne.ch" TargetMode="External"/><Relationship Id="rId41" Type="http://schemas.openxmlformats.org/officeDocument/2006/relationships/hyperlink" Target="https://www.naturmuseum-so.ch/" TargetMode="External"/><Relationship Id="rId54" Type="http://schemas.openxmlformats.org/officeDocument/2006/relationships/hyperlink" Target="mailto:robin.marchant@unil.ch" TargetMode="External"/><Relationship Id="rId62" Type="http://schemas.openxmlformats.org/officeDocument/2006/relationships/hyperlink" Target="mailto:christian.puentener@fr.ch" TargetMode="External"/><Relationship Id="rId70" Type="http://schemas.openxmlformats.org/officeDocument/2006/relationships/hyperlink" Target="mailto:beda.hofmann@nmbe.ch" TargetMode="External"/><Relationship Id="rId75" Type="http://schemas.openxmlformats.org/officeDocument/2006/relationships/hyperlink" Target="mailto:barbara.richner@tg.ch" TargetMode="External"/><Relationship Id="rId83" Type="http://schemas.openxmlformats.org/officeDocument/2006/relationships/hyperlink" Target="mailto:andre.puschnig@bs.ch" TargetMode="External"/><Relationship Id="rId88" Type="http://schemas.openxmlformats.org/officeDocument/2006/relationships/hyperlink" Target="mailto:collections@erdw.ethz.ch" TargetMode="External"/><Relationship Id="rId91" Type="http://schemas.openxmlformats.org/officeDocument/2006/relationships/hyperlink" Target="mailto:olivier.maridet@jurassica.ch" TargetMode="External"/><Relationship Id="rId1" Type="http://schemas.openxmlformats.org/officeDocument/2006/relationships/hyperlink" Target="mailto:info@muzoo.ch" TargetMode="External"/><Relationship Id="rId6" Type="http://schemas.openxmlformats.org/officeDocument/2006/relationships/hyperlink" Target="mailto:benedict.hotz@lu.ch" TargetMode="External"/><Relationship Id="rId15" Type="http://schemas.openxmlformats.org/officeDocument/2006/relationships/hyperlink" Target="mailto:benedict.hotz@lu.ch" TargetMode="External"/><Relationship Id="rId23" Type="http://schemas.openxmlformats.org/officeDocument/2006/relationships/hyperlink" Target="https://www.museum-neuchatel.ch/collections/" TargetMode="External"/><Relationship Id="rId28" Type="http://schemas.openxmlformats.org/officeDocument/2006/relationships/hyperlink" Target="mailto:thierry.malvesy@ne.ch" TargetMode="External"/><Relationship Id="rId36" Type="http://schemas.openxmlformats.org/officeDocument/2006/relationships/hyperlink" Target="mailto:olivier.maridet@jurassica.ch" TargetMode="External"/><Relationship Id="rId49" Type="http://schemas.openxmlformats.org/officeDocument/2006/relationships/hyperlink" Target="https://www.unil.ch/mcg/home/menuinst/le-musee/patrimoine/collections/petrographie.html" TargetMode="External"/><Relationship Id="rId57" Type="http://schemas.openxmlformats.org/officeDocument/2006/relationships/hyperlink" Target="mailto:christian.puentener@fr.ch" TargetMode="External"/><Relationship Id="rId10" Type="http://schemas.openxmlformats.org/officeDocument/2006/relationships/hyperlink" Target="mailto:benedict.hotz@lu.ch" TargetMode="External"/><Relationship Id="rId31" Type="http://schemas.openxmlformats.org/officeDocument/2006/relationships/hyperlink" Target="https://www.museum-neuchatel.ch/collections/" TargetMode="External"/><Relationship Id="rId44" Type="http://schemas.openxmlformats.org/officeDocument/2006/relationships/hyperlink" Target="mailto:pia.geiger@olten.ch" TargetMode="External"/><Relationship Id="rId52" Type="http://schemas.openxmlformats.org/officeDocument/2006/relationships/hyperlink" Target="mailto:nicolas.meisser@unil.ch" TargetMode="External"/><Relationship Id="rId60" Type="http://schemas.openxmlformats.org/officeDocument/2006/relationships/hyperlink" Target="mailto:christian.puentener@fr.ch" TargetMode="External"/><Relationship Id="rId65" Type="http://schemas.openxmlformats.org/officeDocument/2006/relationships/hyperlink" Target="mailto:christian.puentener@fr.ch" TargetMode="External"/><Relationship Id="rId73" Type="http://schemas.openxmlformats.org/officeDocument/2006/relationships/hyperlink" Target="mailto:sandra.scherrer@win.ch" TargetMode="External"/><Relationship Id="rId78" Type="http://schemas.openxmlformats.org/officeDocument/2006/relationships/hyperlink" Target="mailto:helene.gabioud-duinat@admin.vs.ch" TargetMode="External"/><Relationship Id="rId81" Type="http://schemas.openxmlformats.org/officeDocument/2006/relationships/hyperlink" Target="mailto:helene.gabioud-duinat@admin.vs.ch" TargetMode="External"/><Relationship Id="rId86" Type="http://schemas.openxmlformats.org/officeDocument/2006/relationships/hyperlink" Target="https://stadt.winterthur.ch/naturmuseum/sammlungen" TargetMode="External"/><Relationship Id="rId4" Type="http://schemas.openxmlformats.org/officeDocument/2006/relationships/hyperlink" Target="https://www.museum-neuchatel.ch/collections/" TargetMode="External"/><Relationship Id="rId9" Type="http://schemas.openxmlformats.org/officeDocument/2006/relationships/hyperlink" Target="mailto:benedict.hotz@lu.ch" TargetMode="External"/><Relationship Id="rId13" Type="http://schemas.openxmlformats.org/officeDocument/2006/relationships/hyperlink" Target="mailto:benedict.hotz@lu.ch" TargetMode="External"/><Relationship Id="rId18" Type="http://schemas.openxmlformats.org/officeDocument/2006/relationships/hyperlink" Target="mailto:thierry.malvesy@ne.ch" TargetMode="External"/><Relationship Id="rId39" Type="http://schemas.openxmlformats.org/officeDocument/2006/relationships/hyperlink" Target="mailto:madeleine.geiger@naturmuseumsg.ch" TargetMode="External"/><Relationship Id="rId34" Type="http://schemas.openxmlformats.org/officeDocument/2006/relationships/hyperlink" Target="mailto:olivier.maridet@jurassica.ch" TargetMode="External"/><Relationship Id="rId50" Type="http://schemas.openxmlformats.org/officeDocument/2006/relationships/hyperlink" Target="mailto:robin.marchant@unil.ch" TargetMode="External"/><Relationship Id="rId55" Type="http://schemas.openxmlformats.org/officeDocument/2006/relationships/hyperlink" Target="https://www.unil.ch/mcg/home/menuinst/le-musee/patrimoine/collections/geologie-appliquee.html" TargetMode="External"/><Relationship Id="rId76" Type="http://schemas.openxmlformats.org/officeDocument/2006/relationships/hyperlink" Target="mailto:barbara.richner@tg.ch" TargetMode="External"/><Relationship Id="rId7" Type="http://schemas.openxmlformats.org/officeDocument/2006/relationships/hyperlink" Target="mailto:benedict.hotz@lu.ch" TargetMode="External"/><Relationship Id="rId71" Type="http://schemas.openxmlformats.org/officeDocument/2006/relationships/hyperlink" Target="mailto:beda.hofmann@nmbe.ch" TargetMode="External"/><Relationship Id="rId92" Type="http://schemas.openxmlformats.org/officeDocument/2006/relationships/hyperlink" Target="https://www.amphipod.ch/" TargetMode="External"/><Relationship Id="rId2" Type="http://schemas.openxmlformats.org/officeDocument/2006/relationships/hyperlink" Target="https://www.museum-neuchatel.ch/collections/" TargetMode="External"/><Relationship Id="rId29" Type="http://schemas.openxmlformats.org/officeDocument/2006/relationships/hyperlink" Target="https://www.museum-neuchatel.ch/collections/" TargetMode="External"/><Relationship Id="rId24" Type="http://schemas.openxmlformats.org/officeDocument/2006/relationships/hyperlink" Target="https://viaf.org/viaf/310654525;Louis" TargetMode="External"/><Relationship Id="rId40" Type="http://schemas.openxmlformats.org/officeDocument/2006/relationships/hyperlink" Target="mailto:silvan.thuering@solothurn.ch" TargetMode="External"/><Relationship Id="rId45" Type="http://schemas.openxmlformats.org/officeDocument/2006/relationships/hyperlink" Target="https://www.olten.ch/_docn/996524/Prufbericht_NMO.pdf" TargetMode="External"/><Relationship Id="rId66" Type="http://schemas.openxmlformats.org/officeDocument/2006/relationships/hyperlink" Target="mailto:christian.puentener@fr.ch" TargetMode="External"/><Relationship Id="rId87" Type="http://schemas.openxmlformats.org/officeDocument/2006/relationships/hyperlink" Target="mailto:sandra.scherrer@win.ch" TargetMode="External"/><Relationship Id="rId61" Type="http://schemas.openxmlformats.org/officeDocument/2006/relationships/hyperlink" Target="mailto:christian.puentener@fr.ch" TargetMode="External"/><Relationship Id="rId82" Type="http://schemas.openxmlformats.org/officeDocument/2006/relationships/hyperlink" Target="mailto:walter.etter@bs.ch" TargetMode="External"/><Relationship Id="rId19" Type="http://schemas.openxmlformats.org/officeDocument/2006/relationships/hyperlink" Target="https://www.museum-neuchatel.ch/collections/"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barbara.richner@tg.ch" TargetMode="External"/><Relationship Id="rId21" Type="http://schemas.openxmlformats.org/officeDocument/2006/relationships/hyperlink" Target="mailto:gabriel.aguirre@pim.uzh.ch" TargetMode="External"/><Relationship Id="rId42" Type="http://schemas.openxmlformats.org/officeDocument/2006/relationships/hyperlink" Target="mailto:benedict.hotz@lu.ch" TargetMode="External"/><Relationship Id="rId63" Type="http://schemas.openxmlformats.org/officeDocument/2006/relationships/hyperlink" Target="mailto:olivier.maridet@jurassica.ch" TargetMode="External"/><Relationship Id="rId84" Type="http://schemas.openxmlformats.org/officeDocument/2006/relationships/hyperlink" Target="mailto:christian.puentener@fr.ch" TargetMode="External"/><Relationship Id="rId16" Type="http://schemas.openxmlformats.org/officeDocument/2006/relationships/hyperlink" Target="mailto:sandra.scherrer@win.ch" TargetMode="External"/><Relationship Id="rId107" Type="http://schemas.openxmlformats.org/officeDocument/2006/relationships/hyperlink" Target="mailto:christian.puentener@fr.ch" TargetMode="External"/><Relationship Id="rId11" Type="http://schemas.openxmlformats.org/officeDocument/2006/relationships/hyperlink" Target="mailto:thierry.malvesy@ne.ch" TargetMode="External"/><Relationship Id="rId32" Type="http://schemas.openxmlformats.org/officeDocument/2006/relationships/hyperlink" Target="mailto:benedict.hotz@lu.ch" TargetMode="External"/><Relationship Id="rId37" Type="http://schemas.openxmlformats.org/officeDocument/2006/relationships/hyperlink" Target="mailto:benedict.hotz@lu.ch" TargetMode="External"/><Relationship Id="rId53" Type="http://schemas.openxmlformats.org/officeDocument/2006/relationships/hyperlink" Target="mailto:casparina.aschwanden@kmsu.ch" TargetMode="External"/><Relationship Id="rId58" Type="http://schemas.openxmlformats.org/officeDocument/2006/relationships/hyperlink" Target="mailto:thierry.malvesy@ne.ch" TargetMode="External"/><Relationship Id="rId74" Type="http://schemas.openxmlformats.org/officeDocument/2006/relationships/hyperlink" Target="mailto:antoine.pictet@unil.ch" TargetMode="External"/><Relationship Id="rId79" Type="http://schemas.openxmlformats.org/officeDocument/2006/relationships/hyperlink" Target="mailto:nicolas.meisser@unil.ch" TargetMode="External"/><Relationship Id="rId102" Type="http://schemas.openxmlformats.org/officeDocument/2006/relationships/hyperlink" Target="mailto:christian.puentener@fr.ch" TargetMode="External"/><Relationship Id="rId123" Type="http://schemas.openxmlformats.org/officeDocument/2006/relationships/hyperlink" Target="mailto:walter.etter@bs.ch" TargetMode="External"/><Relationship Id="rId128" Type="http://schemas.openxmlformats.org/officeDocument/2006/relationships/hyperlink" Target="mailto:walter.etter@bs.ch" TargetMode="External"/><Relationship Id="rId5" Type="http://schemas.openxmlformats.org/officeDocument/2006/relationships/hyperlink" Target="mailto:ursula.menkveld@nmbe.ch" TargetMode="External"/><Relationship Id="rId90" Type="http://schemas.openxmlformats.org/officeDocument/2006/relationships/hyperlink" Target="mailto:christian.puentener@fr.ch" TargetMode="External"/><Relationship Id="rId95" Type="http://schemas.openxmlformats.org/officeDocument/2006/relationships/hyperlink" Target="mailto:christian.puentener@fr.ch" TargetMode="External"/><Relationship Id="rId22" Type="http://schemas.openxmlformats.org/officeDocument/2006/relationships/hyperlink" Target="mailto:gabriel.aguirre@pim.uzh.ch" TargetMode="External"/><Relationship Id="rId27" Type="http://schemas.openxmlformats.org/officeDocument/2006/relationships/hyperlink" Target="mailto:gabriel.aguirre@pim.uzh.ch" TargetMode="External"/><Relationship Id="rId43" Type="http://schemas.openxmlformats.org/officeDocument/2006/relationships/hyperlink" Target="mailto:benedict.hotz@lu.ch" TargetMode="External"/><Relationship Id="rId48" Type="http://schemas.openxmlformats.org/officeDocument/2006/relationships/hyperlink" Target="mailto:benedict.hotz@lu.ch" TargetMode="External"/><Relationship Id="rId64" Type="http://schemas.openxmlformats.org/officeDocument/2006/relationships/hyperlink" Target="mailto:olivier.maridet@jurassica.ch" TargetMode="External"/><Relationship Id="rId69" Type="http://schemas.openxmlformats.org/officeDocument/2006/relationships/hyperlink" Target="mailto:matthias.meier@naturmuseumsg.ch" TargetMode="External"/><Relationship Id="rId113" Type="http://schemas.openxmlformats.org/officeDocument/2006/relationships/hyperlink" Target="mailto:beda.hofmann@nmbe.ch" TargetMode="External"/><Relationship Id="rId118" Type="http://schemas.openxmlformats.org/officeDocument/2006/relationships/hyperlink" Target="mailto:barbara.richner@tg.ch" TargetMode="External"/><Relationship Id="rId134" Type="http://schemas.openxmlformats.org/officeDocument/2006/relationships/hyperlink" Target="mailto:olivier.maridet@jurassica.ch" TargetMode="External"/><Relationship Id="rId80" Type="http://schemas.openxmlformats.org/officeDocument/2006/relationships/hyperlink" Target="mailto:robin.marchant@unil.ch" TargetMode="External"/><Relationship Id="rId85" Type="http://schemas.openxmlformats.org/officeDocument/2006/relationships/hyperlink" Target="mailto:christian.puentener@fr.ch" TargetMode="External"/><Relationship Id="rId12" Type="http://schemas.openxmlformats.org/officeDocument/2006/relationships/hyperlink" Target="mailto:pia.geiger@olten.ch" TargetMode="External"/><Relationship Id="rId17" Type="http://schemas.openxmlformats.org/officeDocument/2006/relationships/hyperlink" Target="mailto:gabriel.aguirre@pim.uzh.ch" TargetMode="External"/><Relationship Id="rId33" Type="http://schemas.openxmlformats.org/officeDocument/2006/relationships/hyperlink" Target="mailto:benedict.hotz@lu.ch" TargetMode="External"/><Relationship Id="rId38" Type="http://schemas.openxmlformats.org/officeDocument/2006/relationships/hyperlink" Target="mailto:benedict.hotz@lu.ch" TargetMode="External"/><Relationship Id="rId59" Type="http://schemas.openxmlformats.org/officeDocument/2006/relationships/hyperlink" Target="mailto:thierry.malvesy@ne.ch" TargetMode="External"/><Relationship Id="rId103" Type="http://schemas.openxmlformats.org/officeDocument/2006/relationships/hyperlink" Target="mailto:christian.puentener@fr.ch" TargetMode="External"/><Relationship Id="rId108" Type="http://schemas.openxmlformats.org/officeDocument/2006/relationships/hyperlink" Target="mailto:christian.puentener@fr.ch" TargetMode="External"/><Relationship Id="rId124" Type="http://schemas.openxmlformats.org/officeDocument/2006/relationships/hyperlink" Target="mailto:michael.knappertsbusch@bs.ch" TargetMode="External"/><Relationship Id="rId129" Type="http://schemas.openxmlformats.org/officeDocument/2006/relationships/hyperlink" Target="mailto:walter.etter@bs.ch" TargetMode="External"/><Relationship Id="rId54" Type="http://schemas.openxmlformats.org/officeDocument/2006/relationships/hyperlink" Target="mailto:saskia.klaassen@bl.ch" TargetMode="External"/><Relationship Id="rId70" Type="http://schemas.openxmlformats.org/officeDocument/2006/relationships/hyperlink" Target="mailto:silvan.thuering@solothurn.ch" TargetMode="External"/><Relationship Id="rId75" Type="http://schemas.openxmlformats.org/officeDocument/2006/relationships/hyperlink" Target="mailto:robin.marchant@unil.ch" TargetMode="External"/><Relationship Id="rId91" Type="http://schemas.openxmlformats.org/officeDocument/2006/relationships/hyperlink" Target="mailto:christian.puentener@fr.ch" TargetMode="External"/><Relationship Id="rId96" Type="http://schemas.openxmlformats.org/officeDocument/2006/relationships/hyperlink" Target="mailto:christian.puentener@fr.ch" TargetMode="External"/><Relationship Id="rId1" Type="http://schemas.openxmlformats.org/officeDocument/2006/relationships/hyperlink" Target="mailto:christian.sprecher@naturama.ch" TargetMode="External"/><Relationship Id="rId6" Type="http://schemas.openxmlformats.org/officeDocument/2006/relationships/hyperlink" Target="mailto:barbara.richner@tg.ch" TargetMode="External"/><Relationship Id="rId23" Type="http://schemas.openxmlformats.org/officeDocument/2006/relationships/hyperlink" Target="mailto:gabriel.aguirre@pim.uzh.ch" TargetMode="External"/><Relationship Id="rId28" Type="http://schemas.openxmlformats.org/officeDocument/2006/relationships/hyperlink" Target="mailto:gabriel.aguirre@pim.uzh.ch" TargetMode="External"/><Relationship Id="rId49" Type="http://schemas.openxmlformats.org/officeDocument/2006/relationships/hyperlink" Target="mailto:benedict.hotz@lu.ch" TargetMode="External"/><Relationship Id="rId114" Type="http://schemas.openxmlformats.org/officeDocument/2006/relationships/hyperlink" Target="mailto:sandra.scherrer@win.ch" TargetMode="External"/><Relationship Id="rId119" Type="http://schemas.openxmlformats.org/officeDocument/2006/relationships/hyperlink" Target="mailto:helene.gabioud-duinat@admin.vs.ch" TargetMode="External"/><Relationship Id="rId44" Type="http://schemas.openxmlformats.org/officeDocument/2006/relationships/hyperlink" Target="mailto:benedict.hotz@lu.ch" TargetMode="External"/><Relationship Id="rId60" Type="http://schemas.openxmlformats.org/officeDocument/2006/relationships/hyperlink" Target="mailto:thierry.malvesy@ne.ch" TargetMode="External"/><Relationship Id="rId65" Type="http://schemas.openxmlformats.org/officeDocument/2006/relationships/hyperlink" Target="mailto:olivier.maridet@jurassica.ch" TargetMode="External"/><Relationship Id="rId81" Type="http://schemas.openxmlformats.org/officeDocument/2006/relationships/hyperlink" Target="mailto:christian.sprecher@naturama.ch" TargetMode="External"/><Relationship Id="rId86" Type="http://schemas.openxmlformats.org/officeDocument/2006/relationships/hyperlink" Target="mailto:christian.puentener@fr.ch" TargetMode="External"/><Relationship Id="rId130" Type="http://schemas.openxmlformats.org/officeDocument/2006/relationships/hyperlink" Target="mailto:sandra.scherrer@win.ch" TargetMode="External"/><Relationship Id="rId13" Type="http://schemas.openxmlformats.org/officeDocument/2006/relationships/hyperlink" Target="mailto:silvan.thuering@solothurn.ch" TargetMode="External"/><Relationship Id="rId18" Type="http://schemas.openxmlformats.org/officeDocument/2006/relationships/hyperlink" Target="mailto:thomas.bolliger@kulturama.ch" TargetMode="External"/><Relationship Id="rId39" Type="http://schemas.openxmlformats.org/officeDocument/2006/relationships/hyperlink" Target="mailto:benedict.hotz@lu.ch" TargetMode="External"/><Relationship Id="rId109" Type="http://schemas.openxmlformats.org/officeDocument/2006/relationships/hyperlink" Target="mailto:thomas.bolliger@kulturama.ch" TargetMode="External"/><Relationship Id="rId34" Type="http://schemas.openxmlformats.org/officeDocument/2006/relationships/hyperlink" Target="mailto:benedict.hotz@lu.ch" TargetMode="External"/><Relationship Id="rId50" Type="http://schemas.openxmlformats.org/officeDocument/2006/relationships/hyperlink" Target="mailto:benedict.hotz@lu.ch" TargetMode="External"/><Relationship Id="rId55" Type="http://schemas.openxmlformats.org/officeDocument/2006/relationships/hyperlink" Target="mailto:saskia.klaassen@bl.ch" TargetMode="External"/><Relationship Id="rId76" Type="http://schemas.openxmlformats.org/officeDocument/2006/relationships/hyperlink" Target="mailto:nicolas.meisser@unil.ch" TargetMode="External"/><Relationship Id="rId97" Type="http://schemas.openxmlformats.org/officeDocument/2006/relationships/hyperlink" Target="mailto:christian.puentener@fr.ch" TargetMode="External"/><Relationship Id="rId104" Type="http://schemas.openxmlformats.org/officeDocument/2006/relationships/hyperlink" Target="mailto:christian.puentener@fr.ch" TargetMode="External"/><Relationship Id="rId120" Type="http://schemas.openxmlformats.org/officeDocument/2006/relationships/hyperlink" Target="mailto:helene.gabioud-duinat@admin.vs.ch" TargetMode="External"/><Relationship Id="rId125" Type="http://schemas.openxmlformats.org/officeDocument/2006/relationships/hyperlink" Target="mailto:walter.etter@bs.ch" TargetMode="External"/><Relationship Id="rId7" Type="http://schemas.openxmlformats.org/officeDocument/2006/relationships/hyperlink" Target="mailto:info@muzoo.ch" TargetMode="External"/><Relationship Id="rId71" Type="http://schemas.openxmlformats.org/officeDocument/2006/relationships/hyperlink" Target="mailto:silvan.thuering@solothurn.ch" TargetMode="External"/><Relationship Id="rId92" Type="http://schemas.openxmlformats.org/officeDocument/2006/relationships/hyperlink" Target="mailto:christian.puentener@fr.ch" TargetMode="External"/><Relationship Id="rId2" Type="http://schemas.openxmlformats.org/officeDocument/2006/relationships/hyperlink" Target="mailto:casparina.aschwanden@kmsu.ch" TargetMode="External"/><Relationship Id="rId29" Type="http://schemas.openxmlformats.org/officeDocument/2006/relationships/hyperlink" Target="mailto:info@muzoo.ch" TargetMode="External"/><Relationship Id="rId24" Type="http://schemas.openxmlformats.org/officeDocument/2006/relationships/hyperlink" Target="mailto:gabriel.aguirre@pim.uzh.ch" TargetMode="External"/><Relationship Id="rId40" Type="http://schemas.openxmlformats.org/officeDocument/2006/relationships/hyperlink" Target="mailto:benedict.hotz@lu.ch" TargetMode="External"/><Relationship Id="rId45" Type="http://schemas.openxmlformats.org/officeDocument/2006/relationships/hyperlink" Target="mailto:benedict.hotz@lu.ch" TargetMode="External"/><Relationship Id="rId66" Type="http://schemas.openxmlformats.org/officeDocument/2006/relationships/hyperlink" Target="mailto:olivier.maridet@jurassica.ch" TargetMode="External"/><Relationship Id="rId87" Type="http://schemas.openxmlformats.org/officeDocument/2006/relationships/hyperlink" Target="mailto:christian.puentener@fr.ch" TargetMode="External"/><Relationship Id="rId110" Type="http://schemas.openxmlformats.org/officeDocument/2006/relationships/hyperlink" Target="mailto:olivier.maridet@jurassica.ch" TargetMode="External"/><Relationship Id="rId115" Type="http://schemas.openxmlformats.org/officeDocument/2006/relationships/hyperlink" Target="mailto:sandra.scherrer@win.ch" TargetMode="External"/><Relationship Id="rId131" Type="http://schemas.openxmlformats.org/officeDocument/2006/relationships/hyperlink" Target="mailto:collections@erdw.ethz.ch" TargetMode="External"/><Relationship Id="rId61" Type="http://schemas.openxmlformats.org/officeDocument/2006/relationships/hyperlink" Target="mailto:thierry.malvesy@ne.ch" TargetMode="External"/><Relationship Id="rId82" Type="http://schemas.openxmlformats.org/officeDocument/2006/relationships/hyperlink" Target="mailto:christian.sprecher@naturama.ch" TargetMode="External"/><Relationship Id="rId19" Type="http://schemas.openxmlformats.org/officeDocument/2006/relationships/hyperlink" Target="mailto:collections@erdw.ethz.ch" TargetMode="External"/><Relationship Id="rId14" Type="http://schemas.openxmlformats.org/officeDocument/2006/relationships/hyperlink" Target="mailto:helene.gabioud-duinat@admin.vs.ch" TargetMode="External"/><Relationship Id="rId30" Type="http://schemas.openxmlformats.org/officeDocument/2006/relationships/hyperlink" Target="mailto:info@muzoo.ch" TargetMode="External"/><Relationship Id="rId35" Type="http://schemas.openxmlformats.org/officeDocument/2006/relationships/hyperlink" Target="mailto:benedict.hotz@lu.ch" TargetMode="External"/><Relationship Id="rId56" Type="http://schemas.openxmlformats.org/officeDocument/2006/relationships/hyperlink" Target="mailto:thierry.malvesy@ne.ch" TargetMode="External"/><Relationship Id="rId77" Type="http://schemas.openxmlformats.org/officeDocument/2006/relationships/hyperlink" Target="mailto:nicolas.meisser@unil.ch" TargetMode="External"/><Relationship Id="rId100" Type="http://schemas.openxmlformats.org/officeDocument/2006/relationships/hyperlink" Target="mailto:christian.puentener@fr.ch" TargetMode="External"/><Relationship Id="rId105" Type="http://schemas.openxmlformats.org/officeDocument/2006/relationships/hyperlink" Target="mailto:christian.puentener@fr.ch" TargetMode="External"/><Relationship Id="rId126" Type="http://schemas.openxmlformats.org/officeDocument/2006/relationships/hyperlink" Target="mailto:walter.etter@bs.ch" TargetMode="External"/><Relationship Id="rId8" Type="http://schemas.openxmlformats.org/officeDocument/2006/relationships/hyperlink" Target="mailto:robin.marchant@unil.ch" TargetMode="External"/><Relationship Id="rId51" Type="http://schemas.openxmlformats.org/officeDocument/2006/relationships/hyperlink" Target="mailto:benedict.hotz@lu.ch" TargetMode="External"/><Relationship Id="rId72" Type="http://schemas.openxmlformats.org/officeDocument/2006/relationships/hyperlink" Target="mailto:pia.geiger@olten.ch" TargetMode="External"/><Relationship Id="rId93" Type="http://schemas.openxmlformats.org/officeDocument/2006/relationships/hyperlink" Target="mailto:christian.puentener@fr.ch" TargetMode="External"/><Relationship Id="rId98" Type="http://schemas.openxmlformats.org/officeDocument/2006/relationships/hyperlink" Target="mailto:christian.puentener@fr.ch" TargetMode="External"/><Relationship Id="rId121" Type="http://schemas.openxmlformats.org/officeDocument/2006/relationships/hyperlink" Target="mailto:helene.gabioud-duinat@admin.vs.ch" TargetMode="External"/><Relationship Id="rId3" Type="http://schemas.openxmlformats.org/officeDocument/2006/relationships/hyperlink" Target="mailto:walter.etter@bs.ch" TargetMode="External"/><Relationship Id="rId25" Type="http://schemas.openxmlformats.org/officeDocument/2006/relationships/hyperlink" Target="mailto:gabriel.aguirre@pim.uzh.ch" TargetMode="External"/><Relationship Id="rId46" Type="http://schemas.openxmlformats.org/officeDocument/2006/relationships/hyperlink" Target="mailto:benedict.hotz@lu.ch" TargetMode="External"/><Relationship Id="rId67" Type="http://schemas.openxmlformats.org/officeDocument/2006/relationships/hyperlink" Target="mailto:olivier.maridet@jurassica.ch" TargetMode="External"/><Relationship Id="rId116" Type="http://schemas.openxmlformats.org/officeDocument/2006/relationships/hyperlink" Target="mailto:barbara.richner@tg.ch" TargetMode="External"/><Relationship Id="rId20" Type="http://schemas.openxmlformats.org/officeDocument/2006/relationships/hyperlink" Target="mailto:chklug@pim.uzh.ch" TargetMode="External"/><Relationship Id="rId41" Type="http://schemas.openxmlformats.org/officeDocument/2006/relationships/hyperlink" Target="mailto:benedict.hotz@lu.ch" TargetMode="External"/><Relationship Id="rId62" Type="http://schemas.openxmlformats.org/officeDocument/2006/relationships/hyperlink" Target="mailto:thierry.malvesy@ne.ch" TargetMode="External"/><Relationship Id="rId83" Type="http://schemas.openxmlformats.org/officeDocument/2006/relationships/hyperlink" Target="mailto:christian.puentener@fr.ch" TargetMode="External"/><Relationship Id="rId88" Type="http://schemas.openxmlformats.org/officeDocument/2006/relationships/hyperlink" Target="mailto:christian.puentener@fr.ch" TargetMode="External"/><Relationship Id="rId111" Type="http://schemas.openxmlformats.org/officeDocument/2006/relationships/hyperlink" Target="mailto:katja.rembold@boga.unibe.ch" TargetMode="External"/><Relationship Id="rId132" Type="http://schemas.openxmlformats.org/officeDocument/2006/relationships/hyperlink" Target="mailto:olivier.maridet@jurassica.ch" TargetMode="External"/><Relationship Id="rId15" Type="http://schemas.openxmlformats.org/officeDocument/2006/relationships/hyperlink" Target="mailto:matthias.meier@naturmuseumsg.ch" TargetMode="External"/><Relationship Id="rId36" Type="http://schemas.openxmlformats.org/officeDocument/2006/relationships/hyperlink" Target="mailto:benedict.hotz@lu.ch" TargetMode="External"/><Relationship Id="rId57" Type="http://schemas.openxmlformats.org/officeDocument/2006/relationships/hyperlink" Target="mailto:thierry.malvesy@ne.ch" TargetMode="External"/><Relationship Id="rId106" Type="http://schemas.openxmlformats.org/officeDocument/2006/relationships/hyperlink" Target="mailto:christian.puentener@fr.ch" TargetMode="External"/><Relationship Id="rId127" Type="http://schemas.openxmlformats.org/officeDocument/2006/relationships/hyperlink" Target="mailto:walter.etter@bs.ch" TargetMode="External"/><Relationship Id="rId10" Type="http://schemas.openxmlformats.org/officeDocument/2006/relationships/hyperlink" Target="mailto:benedict.hotz@lu.ch" TargetMode="External"/><Relationship Id="rId31" Type="http://schemas.openxmlformats.org/officeDocument/2006/relationships/hyperlink" Target="mailto:info@muzoo.ch" TargetMode="External"/><Relationship Id="rId52" Type="http://schemas.openxmlformats.org/officeDocument/2006/relationships/hyperlink" Target="mailto:benedict.hotz@lu.ch" TargetMode="External"/><Relationship Id="rId73" Type="http://schemas.openxmlformats.org/officeDocument/2006/relationships/hyperlink" Target="mailto:antoine.pictet@unil.ch" TargetMode="External"/><Relationship Id="rId78" Type="http://schemas.openxmlformats.org/officeDocument/2006/relationships/hyperlink" Target="mailto:robin.marchant@unil.ch" TargetMode="External"/><Relationship Id="rId94" Type="http://schemas.openxmlformats.org/officeDocument/2006/relationships/hyperlink" Target="mailto:christian.puentener@fr.ch" TargetMode="External"/><Relationship Id="rId99" Type="http://schemas.openxmlformats.org/officeDocument/2006/relationships/hyperlink" Target="mailto:christian.puentener@fr.ch" TargetMode="External"/><Relationship Id="rId101" Type="http://schemas.openxmlformats.org/officeDocument/2006/relationships/hyperlink" Target="mailto:christian.puentener@fr.ch" TargetMode="External"/><Relationship Id="rId122" Type="http://schemas.openxmlformats.org/officeDocument/2006/relationships/hyperlink" Target="mailto:loic.costeur@bs.ch" TargetMode="External"/><Relationship Id="rId4" Type="http://schemas.openxmlformats.org/officeDocument/2006/relationships/hyperlink" Target="mailto:katja.rembold@boga.unibe.ch" TargetMode="External"/><Relationship Id="rId9" Type="http://schemas.openxmlformats.org/officeDocument/2006/relationships/hyperlink" Target="mailto:marc.limat@bl.ch" TargetMode="External"/><Relationship Id="rId26" Type="http://schemas.openxmlformats.org/officeDocument/2006/relationships/hyperlink" Target="mailto:gabriel.aguirre@pim.uzh.ch" TargetMode="External"/><Relationship Id="rId47" Type="http://schemas.openxmlformats.org/officeDocument/2006/relationships/hyperlink" Target="mailto:benedict.hotz@lu.ch" TargetMode="External"/><Relationship Id="rId68" Type="http://schemas.openxmlformats.org/officeDocument/2006/relationships/hyperlink" Target="mailto:madeleine.geiger@naturmuseumsg.ch" TargetMode="External"/><Relationship Id="rId89" Type="http://schemas.openxmlformats.org/officeDocument/2006/relationships/hyperlink" Target="mailto:christian.puentener@fr.ch" TargetMode="External"/><Relationship Id="rId112" Type="http://schemas.openxmlformats.org/officeDocument/2006/relationships/hyperlink" Target="mailto:ursula.menkveld@nmbe.ch" TargetMode="External"/><Relationship Id="rId133" Type="http://schemas.openxmlformats.org/officeDocument/2006/relationships/hyperlink" Target="mailto:christian.puentener@f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AT448"/>
  <sheetViews>
    <sheetView showGridLines="0" topLeftCell="D1" workbookViewId="0">
      <selection activeCell="E2" sqref="E2:AT442"/>
    </sheetView>
  </sheetViews>
  <sheetFormatPr baseColWidth="10" defaultColWidth="8.33203125" defaultRowHeight="20" customHeight="1" x14ac:dyDescent="0.15"/>
  <cols>
    <col min="1" max="1" width="34.6640625" style="1" customWidth="1"/>
    <col min="2" max="2" width="27" style="1" customWidth="1"/>
    <col min="3" max="3" width="47" style="1" customWidth="1"/>
    <col min="4" max="4" width="166.6640625" style="1" customWidth="1"/>
    <col min="5" max="5" width="7.5" style="1" customWidth="1"/>
    <col min="6" max="6" width="16.33203125" style="1" customWidth="1"/>
    <col min="7" max="7" width="8.33203125" style="1" customWidth="1"/>
    <col min="8" max="8" width="56.6640625" style="1" customWidth="1"/>
    <col min="9" max="9" width="6.1640625" style="1" customWidth="1"/>
    <col min="10" max="10" width="17" style="1" customWidth="1"/>
    <col min="11" max="11" width="4" style="1" customWidth="1"/>
    <col min="12" max="12" width="44.1640625" style="1" customWidth="1"/>
    <col min="13" max="13" width="6.5" style="1" customWidth="1"/>
    <col min="14" max="14" width="141.1640625" style="1" customWidth="1"/>
    <col min="15" max="15" width="10.33203125" style="1" customWidth="1"/>
    <col min="16" max="16" width="6.83203125" style="1" customWidth="1"/>
    <col min="17" max="17" width="88.6640625" style="1" customWidth="1"/>
    <col min="18" max="18" width="15.33203125" style="1" customWidth="1"/>
    <col min="19" max="19" width="50.5" style="1" customWidth="1"/>
    <col min="20" max="20" width="14.1640625" style="1" customWidth="1"/>
    <col min="21" max="21" width="33.6640625" style="1" customWidth="1"/>
    <col min="22" max="22" width="14.5" style="1" customWidth="1"/>
    <col min="23" max="23" width="91.5" style="1" customWidth="1"/>
    <col min="24" max="24" width="10.1640625" style="1" customWidth="1"/>
    <col min="25" max="25" width="11.1640625" style="1" customWidth="1"/>
    <col min="26" max="27" width="21.83203125" style="1" customWidth="1"/>
    <col min="28" max="28" width="7.33203125" style="1" customWidth="1"/>
    <col min="29" max="29" width="5" style="1" customWidth="1"/>
    <col min="30" max="30" width="9.33203125" style="1" customWidth="1"/>
    <col min="31" max="31" width="166.6640625" style="1" customWidth="1"/>
    <col min="32" max="32" width="17" style="1" customWidth="1"/>
    <col min="33" max="33" width="12.5" style="1" customWidth="1"/>
    <col min="34" max="34" width="166.6640625" style="1" customWidth="1"/>
    <col min="35" max="35" width="18.6640625" style="1" customWidth="1"/>
    <col min="36" max="37" width="166.6640625" style="1" customWidth="1"/>
    <col min="38" max="38" width="15.5" style="1" customWidth="1"/>
    <col min="39" max="39" width="9.83203125" style="1" customWidth="1"/>
    <col min="40" max="40" width="19.1640625" style="1" customWidth="1"/>
    <col min="41" max="41" width="11.1640625" style="1" customWidth="1"/>
    <col min="42" max="42" width="70.33203125" style="1" customWidth="1"/>
    <col min="43" max="43" width="19.1640625" style="1" customWidth="1"/>
    <col min="44" max="44" width="59.6640625" style="1" customWidth="1"/>
    <col min="45" max="45" width="16.33203125" style="1" customWidth="1"/>
    <col min="46" max="46" width="17.83203125" style="1" customWidth="1"/>
    <col min="47" max="47" width="8.33203125" style="1" customWidth="1"/>
    <col min="48" max="16384" width="8.33203125" style="1"/>
  </cols>
  <sheetData>
    <row r="1" spans="1:46" ht="27.75" customHeight="1" x14ac:dyDescent="0.15">
      <c r="A1" s="130" t="s">
        <v>0</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row>
    <row r="2" spans="1:46" ht="20.25" customHeight="1" x14ac:dyDescent="0.1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row>
    <row r="3" spans="1:46" ht="20.25" hidden="1" customHeight="1" x14ac:dyDescent="0.15">
      <c r="A3" s="3" t="s">
        <v>47</v>
      </c>
      <c r="B3" s="4" t="s">
        <v>48</v>
      </c>
      <c r="C3" s="5" t="s">
        <v>49</v>
      </c>
      <c r="D3" s="5" t="s">
        <v>50</v>
      </c>
      <c r="E3" s="5" t="s">
        <v>51</v>
      </c>
      <c r="F3" s="5" t="s">
        <v>52</v>
      </c>
      <c r="G3" s="5" t="s">
        <v>52</v>
      </c>
      <c r="H3" s="6"/>
      <c r="I3" s="5" t="s">
        <v>53</v>
      </c>
      <c r="J3" s="5" t="s">
        <v>54</v>
      </c>
      <c r="K3" s="6"/>
      <c r="L3" s="6"/>
      <c r="M3" s="6"/>
      <c r="N3" s="5" t="s">
        <v>55</v>
      </c>
      <c r="O3" s="6"/>
      <c r="P3" s="6"/>
      <c r="Q3" s="6"/>
      <c r="R3" s="6"/>
      <c r="S3" s="5" t="s">
        <v>56</v>
      </c>
      <c r="T3" s="5" t="s">
        <v>57</v>
      </c>
      <c r="U3" s="5" t="s">
        <v>58</v>
      </c>
      <c r="V3" s="6"/>
      <c r="W3" s="5" t="s">
        <v>59</v>
      </c>
      <c r="X3" s="5" t="s">
        <v>60</v>
      </c>
      <c r="Y3" s="5" t="s">
        <v>61</v>
      </c>
      <c r="Z3" s="5" t="s">
        <v>62</v>
      </c>
      <c r="AA3" s="5" t="s">
        <v>63</v>
      </c>
      <c r="AB3" s="6"/>
      <c r="AC3" s="6"/>
      <c r="AD3" s="6"/>
      <c r="AE3" s="6"/>
      <c r="AF3" s="7">
        <v>1100</v>
      </c>
      <c r="AG3" s="6"/>
      <c r="AH3" s="6"/>
      <c r="AI3" s="6"/>
      <c r="AJ3" s="6"/>
      <c r="AK3" s="6"/>
      <c r="AL3" s="6"/>
      <c r="AM3" s="6"/>
      <c r="AN3" s="6"/>
      <c r="AO3" s="6"/>
      <c r="AP3" s="5" t="s">
        <v>64</v>
      </c>
      <c r="AQ3" s="5" t="s">
        <v>65</v>
      </c>
      <c r="AR3" s="6"/>
      <c r="AS3" s="5" t="s">
        <v>66</v>
      </c>
      <c r="AT3" s="5" t="s">
        <v>53</v>
      </c>
    </row>
    <row r="4" spans="1:46" ht="20" customHeight="1" x14ac:dyDescent="0.15">
      <c r="A4" s="8" t="s">
        <v>67</v>
      </c>
      <c r="B4" s="9" t="s">
        <v>68</v>
      </c>
      <c r="C4" s="10" t="s">
        <v>69</v>
      </c>
      <c r="D4" s="10" t="s">
        <v>70</v>
      </c>
      <c r="E4" s="10" t="s">
        <v>51</v>
      </c>
      <c r="F4" s="10" t="s">
        <v>71</v>
      </c>
      <c r="G4" s="11"/>
      <c r="H4" s="10" t="s">
        <v>72</v>
      </c>
      <c r="I4" s="10" t="s">
        <v>53</v>
      </c>
      <c r="J4" s="10" t="s">
        <v>54</v>
      </c>
      <c r="K4" s="11"/>
      <c r="L4" s="10" t="s">
        <v>73</v>
      </c>
      <c r="M4" s="11"/>
      <c r="N4" s="10" t="s">
        <v>74</v>
      </c>
      <c r="O4" s="11"/>
      <c r="P4" s="11"/>
      <c r="Q4" s="10" t="s">
        <v>75</v>
      </c>
      <c r="R4" s="11"/>
      <c r="S4" s="10" t="s">
        <v>76</v>
      </c>
      <c r="T4" s="10" t="s">
        <v>77</v>
      </c>
      <c r="U4" s="10" t="s">
        <v>78</v>
      </c>
      <c r="V4" s="11"/>
      <c r="W4" s="10" t="s">
        <v>79</v>
      </c>
      <c r="X4" s="10" t="s">
        <v>80</v>
      </c>
      <c r="Y4" s="10" t="s">
        <v>80</v>
      </c>
      <c r="Z4" s="10" t="s">
        <v>81</v>
      </c>
      <c r="AA4" s="10" t="s">
        <v>82</v>
      </c>
      <c r="AB4" s="11"/>
      <c r="AC4" s="11"/>
      <c r="AD4" s="11"/>
      <c r="AE4" s="11"/>
      <c r="AF4" s="12">
        <v>396</v>
      </c>
      <c r="AG4" s="11"/>
      <c r="AH4" s="10" t="s">
        <v>83</v>
      </c>
      <c r="AI4" s="11"/>
      <c r="AJ4" s="10" t="s">
        <v>84</v>
      </c>
      <c r="AK4" s="10" t="s">
        <v>85</v>
      </c>
      <c r="AL4" s="11"/>
      <c r="AM4" s="11"/>
      <c r="AN4" s="11"/>
      <c r="AO4" s="11"/>
      <c r="AP4" s="11"/>
      <c r="AQ4" s="11"/>
      <c r="AR4" s="10" t="s">
        <v>86</v>
      </c>
      <c r="AS4" s="10" t="s">
        <v>66</v>
      </c>
      <c r="AT4" s="10" t="s">
        <v>53</v>
      </c>
    </row>
    <row r="5" spans="1:46" ht="20" hidden="1" customHeight="1" x14ac:dyDescent="0.15">
      <c r="A5" s="8" t="s">
        <v>87</v>
      </c>
      <c r="B5" s="9" t="s">
        <v>88</v>
      </c>
      <c r="C5" s="10" t="s">
        <v>89</v>
      </c>
      <c r="D5" s="10" t="s">
        <v>90</v>
      </c>
      <c r="E5" s="10" t="s">
        <v>51</v>
      </c>
      <c r="F5" s="10" t="s">
        <v>71</v>
      </c>
      <c r="G5" s="11"/>
      <c r="H5" s="10" t="s">
        <v>91</v>
      </c>
      <c r="I5" s="10" t="s">
        <v>53</v>
      </c>
      <c r="J5" s="10" t="s">
        <v>54</v>
      </c>
      <c r="K5" s="11"/>
      <c r="L5" s="10" t="s">
        <v>92</v>
      </c>
      <c r="M5" s="11"/>
      <c r="N5" s="10" t="s">
        <v>93</v>
      </c>
      <c r="O5" s="11"/>
      <c r="P5" s="11"/>
      <c r="Q5" s="10" t="s">
        <v>94</v>
      </c>
      <c r="R5" s="11"/>
      <c r="S5" s="10" t="s">
        <v>76</v>
      </c>
      <c r="T5" s="10" t="s">
        <v>77</v>
      </c>
      <c r="U5" s="10" t="s">
        <v>78</v>
      </c>
      <c r="V5" s="11"/>
      <c r="W5" s="10" t="s">
        <v>79</v>
      </c>
      <c r="X5" s="10" t="s">
        <v>80</v>
      </c>
      <c r="Y5" s="10" t="s">
        <v>80</v>
      </c>
      <c r="Z5" s="10" t="s">
        <v>95</v>
      </c>
      <c r="AA5" s="10" t="s">
        <v>96</v>
      </c>
      <c r="AB5" s="11"/>
      <c r="AC5" s="11"/>
      <c r="AD5" s="11"/>
      <c r="AE5" s="11"/>
      <c r="AF5" s="12">
        <v>750</v>
      </c>
      <c r="AG5" s="11"/>
      <c r="AH5" s="10" t="s">
        <v>97</v>
      </c>
      <c r="AI5" s="11"/>
      <c r="AJ5" s="10" t="s">
        <v>98</v>
      </c>
      <c r="AK5" s="10" t="s">
        <v>99</v>
      </c>
      <c r="AL5" s="11"/>
      <c r="AM5" s="11"/>
      <c r="AN5" s="11"/>
      <c r="AO5" s="11"/>
      <c r="AP5" s="11"/>
      <c r="AQ5" s="11"/>
      <c r="AR5" s="10" t="s">
        <v>100</v>
      </c>
      <c r="AS5" s="10" t="s">
        <v>66</v>
      </c>
      <c r="AT5" s="10" t="s">
        <v>53</v>
      </c>
    </row>
    <row r="6" spans="1:46" ht="20" hidden="1" customHeight="1" x14ac:dyDescent="0.15">
      <c r="A6" s="8" t="s">
        <v>101</v>
      </c>
      <c r="B6" s="9" t="s">
        <v>102</v>
      </c>
      <c r="C6" s="10" t="s">
        <v>103</v>
      </c>
      <c r="D6" s="10" t="s">
        <v>104</v>
      </c>
      <c r="E6" s="10" t="s">
        <v>51</v>
      </c>
      <c r="F6" s="10" t="s">
        <v>71</v>
      </c>
      <c r="G6" s="11"/>
      <c r="H6" s="10" t="s">
        <v>91</v>
      </c>
      <c r="I6" s="10" t="s">
        <v>53</v>
      </c>
      <c r="J6" s="10" t="s">
        <v>54</v>
      </c>
      <c r="K6" s="11"/>
      <c r="L6" s="10" t="s">
        <v>105</v>
      </c>
      <c r="M6" s="11"/>
      <c r="N6" s="10" t="s">
        <v>106</v>
      </c>
      <c r="O6" s="11"/>
      <c r="P6" s="11"/>
      <c r="Q6" s="10" t="s">
        <v>107</v>
      </c>
      <c r="R6" s="11"/>
      <c r="S6" s="10" t="s">
        <v>76</v>
      </c>
      <c r="T6" s="10" t="s">
        <v>77</v>
      </c>
      <c r="U6" s="10" t="s">
        <v>78</v>
      </c>
      <c r="V6" s="11"/>
      <c r="W6" s="10" t="s">
        <v>79</v>
      </c>
      <c r="X6" s="10" t="s">
        <v>80</v>
      </c>
      <c r="Y6" s="10" t="s">
        <v>80</v>
      </c>
      <c r="Z6" s="10" t="s">
        <v>108</v>
      </c>
      <c r="AA6" s="10" t="s">
        <v>109</v>
      </c>
      <c r="AB6" s="11"/>
      <c r="AC6" s="11"/>
      <c r="AD6" s="11"/>
      <c r="AE6" s="11"/>
      <c r="AF6" s="12">
        <v>18000</v>
      </c>
      <c r="AG6" s="11"/>
      <c r="AH6" s="10" t="s">
        <v>103</v>
      </c>
      <c r="AI6" s="11"/>
      <c r="AJ6" s="10" t="s">
        <v>98</v>
      </c>
      <c r="AK6" s="10" t="s">
        <v>110</v>
      </c>
      <c r="AL6" s="11"/>
      <c r="AM6" s="11"/>
      <c r="AN6" s="11"/>
      <c r="AO6" s="11"/>
      <c r="AP6" s="11"/>
      <c r="AQ6" s="11"/>
      <c r="AR6" s="10" t="s">
        <v>111</v>
      </c>
      <c r="AS6" s="10" t="s">
        <v>66</v>
      </c>
      <c r="AT6" s="10" t="s">
        <v>53</v>
      </c>
    </row>
    <row r="7" spans="1:46" ht="20" hidden="1" customHeight="1" x14ac:dyDescent="0.15">
      <c r="A7" s="8" t="s">
        <v>112</v>
      </c>
      <c r="B7" s="9" t="s">
        <v>113</v>
      </c>
      <c r="C7" s="10" t="s">
        <v>114</v>
      </c>
      <c r="D7" s="10" t="s">
        <v>115</v>
      </c>
      <c r="E7" s="10" t="s">
        <v>51</v>
      </c>
      <c r="F7" s="10" t="s">
        <v>71</v>
      </c>
      <c r="G7" s="11"/>
      <c r="H7" s="10" t="s">
        <v>91</v>
      </c>
      <c r="I7" s="10" t="s">
        <v>53</v>
      </c>
      <c r="J7" s="10" t="s">
        <v>54</v>
      </c>
      <c r="K7" s="11"/>
      <c r="L7" s="10" t="s">
        <v>116</v>
      </c>
      <c r="M7" s="11"/>
      <c r="N7" s="10" t="s">
        <v>117</v>
      </c>
      <c r="O7" s="11"/>
      <c r="P7" s="11"/>
      <c r="Q7" s="10" t="s">
        <v>118</v>
      </c>
      <c r="R7" s="11"/>
      <c r="S7" s="10" t="s">
        <v>76</v>
      </c>
      <c r="T7" s="10" t="s">
        <v>77</v>
      </c>
      <c r="U7" s="10" t="s">
        <v>78</v>
      </c>
      <c r="V7" s="11"/>
      <c r="W7" s="10" t="s">
        <v>79</v>
      </c>
      <c r="X7" s="10" t="s">
        <v>80</v>
      </c>
      <c r="Y7" s="10" t="s">
        <v>80</v>
      </c>
      <c r="Z7" s="10" t="s">
        <v>119</v>
      </c>
      <c r="AA7" s="10" t="s">
        <v>120</v>
      </c>
      <c r="AB7" s="11"/>
      <c r="AC7" s="11"/>
      <c r="AD7" s="11"/>
      <c r="AE7" s="11"/>
      <c r="AF7" s="12">
        <v>50000</v>
      </c>
      <c r="AG7" s="11"/>
      <c r="AH7" s="10" t="s">
        <v>121</v>
      </c>
      <c r="AI7" s="11"/>
      <c r="AJ7" s="10" t="s">
        <v>122</v>
      </c>
      <c r="AK7" s="10" t="s">
        <v>110</v>
      </c>
      <c r="AL7" s="11"/>
      <c r="AM7" s="11"/>
      <c r="AN7" s="11"/>
      <c r="AO7" s="11"/>
      <c r="AP7" s="11"/>
      <c r="AQ7" s="11"/>
      <c r="AR7" s="10" t="s">
        <v>123</v>
      </c>
      <c r="AS7" s="10" t="s">
        <v>66</v>
      </c>
      <c r="AT7" s="10" t="s">
        <v>53</v>
      </c>
    </row>
    <row r="8" spans="1:46" ht="20" hidden="1" customHeight="1" x14ac:dyDescent="0.15">
      <c r="A8" s="8" t="s">
        <v>124</v>
      </c>
      <c r="B8" s="9" t="s">
        <v>125</v>
      </c>
      <c r="C8" s="10" t="s">
        <v>126</v>
      </c>
      <c r="D8" s="10" t="s">
        <v>127</v>
      </c>
      <c r="E8" s="10" t="s">
        <v>51</v>
      </c>
      <c r="F8" s="10" t="s">
        <v>71</v>
      </c>
      <c r="G8" s="11"/>
      <c r="H8" s="10" t="s">
        <v>91</v>
      </c>
      <c r="I8" s="10" t="s">
        <v>53</v>
      </c>
      <c r="J8" s="10" t="s">
        <v>54</v>
      </c>
      <c r="K8" s="11"/>
      <c r="L8" s="10" t="s">
        <v>116</v>
      </c>
      <c r="M8" s="11"/>
      <c r="N8" s="10" t="s">
        <v>117</v>
      </c>
      <c r="O8" s="11"/>
      <c r="P8" s="11"/>
      <c r="Q8" s="10" t="s">
        <v>128</v>
      </c>
      <c r="R8" s="11"/>
      <c r="S8" s="10" t="s">
        <v>76</v>
      </c>
      <c r="T8" s="10" t="s">
        <v>77</v>
      </c>
      <c r="U8" s="10" t="s">
        <v>78</v>
      </c>
      <c r="V8" s="11"/>
      <c r="W8" s="10" t="s">
        <v>79</v>
      </c>
      <c r="X8" s="10" t="s">
        <v>80</v>
      </c>
      <c r="Y8" s="10" t="s">
        <v>80</v>
      </c>
      <c r="Z8" s="10" t="s">
        <v>129</v>
      </c>
      <c r="AA8" s="10" t="s">
        <v>130</v>
      </c>
      <c r="AB8" s="11"/>
      <c r="AC8" s="11"/>
      <c r="AD8" s="11"/>
      <c r="AE8" s="11"/>
      <c r="AF8" s="12">
        <v>10000</v>
      </c>
      <c r="AG8" s="11"/>
      <c r="AH8" s="10" t="s">
        <v>126</v>
      </c>
      <c r="AI8" s="11"/>
      <c r="AJ8" s="10" t="s">
        <v>122</v>
      </c>
      <c r="AK8" s="10" t="s">
        <v>110</v>
      </c>
      <c r="AL8" s="11"/>
      <c r="AM8" s="11"/>
      <c r="AN8" s="11"/>
      <c r="AO8" s="11"/>
      <c r="AP8" s="11"/>
      <c r="AQ8" s="11"/>
      <c r="AR8" s="10" t="s">
        <v>123</v>
      </c>
      <c r="AS8" s="10" t="s">
        <v>66</v>
      </c>
      <c r="AT8" s="10" t="s">
        <v>53</v>
      </c>
    </row>
    <row r="9" spans="1:46" ht="20" hidden="1" customHeight="1" x14ac:dyDescent="0.15">
      <c r="A9" s="8" t="s">
        <v>131</v>
      </c>
      <c r="B9" s="9" t="s">
        <v>132</v>
      </c>
      <c r="C9" s="10" t="s">
        <v>133</v>
      </c>
      <c r="D9" s="10" t="s">
        <v>134</v>
      </c>
      <c r="E9" s="10" t="s">
        <v>51</v>
      </c>
      <c r="F9" s="10" t="s">
        <v>71</v>
      </c>
      <c r="G9" s="11"/>
      <c r="H9" s="10" t="s">
        <v>91</v>
      </c>
      <c r="I9" s="10" t="s">
        <v>53</v>
      </c>
      <c r="J9" s="10" t="s">
        <v>54</v>
      </c>
      <c r="K9" s="11"/>
      <c r="L9" s="10" t="s">
        <v>116</v>
      </c>
      <c r="M9" s="11"/>
      <c r="N9" s="10" t="s">
        <v>117</v>
      </c>
      <c r="O9" s="11"/>
      <c r="P9" s="11"/>
      <c r="Q9" s="10" t="s">
        <v>135</v>
      </c>
      <c r="R9" s="11"/>
      <c r="S9" s="10" t="s">
        <v>76</v>
      </c>
      <c r="T9" s="10" t="s">
        <v>77</v>
      </c>
      <c r="U9" s="10" t="s">
        <v>78</v>
      </c>
      <c r="V9" s="11"/>
      <c r="W9" s="10" t="s">
        <v>79</v>
      </c>
      <c r="X9" s="10" t="s">
        <v>80</v>
      </c>
      <c r="Y9" s="10" t="s">
        <v>80</v>
      </c>
      <c r="Z9" s="10" t="s">
        <v>136</v>
      </c>
      <c r="AA9" s="10" t="s">
        <v>137</v>
      </c>
      <c r="AB9" s="11"/>
      <c r="AC9" s="11"/>
      <c r="AD9" s="11"/>
      <c r="AE9" s="11"/>
      <c r="AF9" s="12">
        <v>400000</v>
      </c>
      <c r="AG9" s="11"/>
      <c r="AH9" s="10" t="s">
        <v>138</v>
      </c>
      <c r="AI9" s="11"/>
      <c r="AJ9" s="10" t="s">
        <v>122</v>
      </c>
      <c r="AK9" s="10" t="s">
        <v>110</v>
      </c>
      <c r="AL9" s="11"/>
      <c r="AM9" s="11"/>
      <c r="AN9" s="11"/>
      <c r="AO9" s="11"/>
      <c r="AP9" s="11"/>
      <c r="AQ9" s="11"/>
      <c r="AR9" s="10" t="s">
        <v>123</v>
      </c>
      <c r="AS9" s="10" t="s">
        <v>66</v>
      </c>
      <c r="AT9" s="10" t="s">
        <v>53</v>
      </c>
    </row>
    <row r="10" spans="1:46" ht="20" hidden="1" customHeight="1" x14ac:dyDescent="0.15">
      <c r="A10" s="8" t="s">
        <v>139</v>
      </c>
      <c r="B10" s="9" t="s">
        <v>140</v>
      </c>
      <c r="C10" s="10" t="s">
        <v>141</v>
      </c>
      <c r="D10" s="10" t="s">
        <v>142</v>
      </c>
      <c r="E10" s="10" t="s">
        <v>51</v>
      </c>
      <c r="F10" s="10" t="s">
        <v>71</v>
      </c>
      <c r="G10" s="11"/>
      <c r="H10" s="10" t="s">
        <v>91</v>
      </c>
      <c r="I10" s="10" t="s">
        <v>53</v>
      </c>
      <c r="J10" s="10" t="s">
        <v>54</v>
      </c>
      <c r="K10" s="11"/>
      <c r="L10" s="10" t="s">
        <v>116</v>
      </c>
      <c r="M10" s="11"/>
      <c r="N10" s="10" t="s">
        <v>117</v>
      </c>
      <c r="O10" s="11"/>
      <c r="P10" s="11"/>
      <c r="Q10" s="10" t="s">
        <v>143</v>
      </c>
      <c r="R10" s="11"/>
      <c r="S10" s="10" t="s">
        <v>76</v>
      </c>
      <c r="T10" s="10" t="s">
        <v>77</v>
      </c>
      <c r="U10" s="10" t="s">
        <v>78</v>
      </c>
      <c r="V10" s="11"/>
      <c r="W10" s="10" t="s">
        <v>79</v>
      </c>
      <c r="X10" s="10" t="s">
        <v>80</v>
      </c>
      <c r="Y10" s="10" t="s">
        <v>80</v>
      </c>
      <c r="Z10" s="10" t="s">
        <v>144</v>
      </c>
      <c r="AA10" s="10" t="s">
        <v>145</v>
      </c>
      <c r="AB10" s="11"/>
      <c r="AC10" s="11"/>
      <c r="AD10" s="11"/>
      <c r="AE10" s="11"/>
      <c r="AF10" s="12">
        <v>1500</v>
      </c>
      <c r="AG10" s="11"/>
      <c r="AH10" s="10" t="s">
        <v>146</v>
      </c>
      <c r="AI10" s="11"/>
      <c r="AJ10" s="10" t="s">
        <v>122</v>
      </c>
      <c r="AK10" s="10" t="s">
        <v>110</v>
      </c>
      <c r="AL10" s="11"/>
      <c r="AM10" s="11"/>
      <c r="AN10" s="11"/>
      <c r="AO10" s="11"/>
      <c r="AP10" s="11"/>
      <c r="AQ10" s="11"/>
      <c r="AR10" s="10" t="s">
        <v>123</v>
      </c>
      <c r="AS10" s="10" t="s">
        <v>66</v>
      </c>
      <c r="AT10" s="10" t="s">
        <v>53</v>
      </c>
    </row>
    <row r="11" spans="1:46" ht="20" hidden="1" customHeight="1" x14ac:dyDescent="0.15">
      <c r="A11" s="8" t="s">
        <v>147</v>
      </c>
      <c r="B11" s="9" t="s">
        <v>148</v>
      </c>
      <c r="C11" s="10" t="s">
        <v>149</v>
      </c>
      <c r="D11" s="10" t="s">
        <v>150</v>
      </c>
      <c r="E11" s="10" t="s">
        <v>51</v>
      </c>
      <c r="F11" s="10" t="s">
        <v>71</v>
      </c>
      <c r="G11" s="11"/>
      <c r="H11" s="10" t="s">
        <v>91</v>
      </c>
      <c r="I11" s="10" t="s">
        <v>53</v>
      </c>
      <c r="J11" s="10" t="s">
        <v>54</v>
      </c>
      <c r="K11" s="11"/>
      <c r="L11" s="10" t="s">
        <v>116</v>
      </c>
      <c r="M11" s="11"/>
      <c r="N11" s="10" t="s">
        <v>117</v>
      </c>
      <c r="O11" s="11"/>
      <c r="P11" s="11"/>
      <c r="Q11" s="10" t="s">
        <v>151</v>
      </c>
      <c r="R11" s="11"/>
      <c r="S11" s="10" t="s">
        <v>76</v>
      </c>
      <c r="T11" s="10" t="s">
        <v>77</v>
      </c>
      <c r="U11" s="10" t="s">
        <v>78</v>
      </c>
      <c r="V11" s="11"/>
      <c r="W11" s="10" t="s">
        <v>79</v>
      </c>
      <c r="X11" s="10" t="s">
        <v>80</v>
      </c>
      <c r="Y11" s="10" t="s">
        <v>80</v>
      </c>
      <c r="Z11" s="10" t="s">
        <v>152</v>
      </c>
      <c r="AA11" s="10" t="s">
        <v>153</v>
      </c>
      <c r="AB11" s="11"/>
      <c r="AC11" s="11"/>
      <c r="AD11" s="11"/>
      <c r="AE11" s="11"/>
      <c r="AF11" s="12">
        <v>13800</v>
      </c>
      <c r="AG11" s="11"/>
      <c r="AH11" s="10" t="s">
        <v>149</v>
      </c>
      <c r="AI11" s="11"/>
      <c r="AJ11" s="10" t="s">
        <v>122</v>
      </c>
      <c r="AK11" s="10" t="s">
        <v>110</v>
      </c>
      <c r="AL11" s="11"/>
      <c r="AM11" s="11"/>
      <c r="AN11" s="11"/>
      <c r="AO11" s="11"/>
      <c r="AP11" s="11"/>
      <c r="AQ11" s="11"/>
      <c r="AR11" s="10" t="s">
        <v>123</v>
      </c>
      <c r="AS11" s="10" t="s">
        <v>66</v>
      </c>
      <c r="AT11" s="10" t="s">
        <v>53</v>
      </c>
    </row>
    <row r="12" spans="1:46" ht="20" hidden="1" customHeight="1" x14ac:dyDescent="0.15">
      <c r="A12" s="8" t="s">
        <v>154</v>
      </c>
      <c r="B12" s="9" t="s">
        <v>155</v>
      </c>
      <c r="C12" s="10" t="s">
        <v>156</v>
      </c>
      <c r="D12" s="10" t="s">
        <v>157</v>
      </c>
      <c r="E12" s="10" t="s">
        <v>51</v>
      </c>
      <c r="F12" s="10" t="s">
        <v>71</v>
      </c>
      <c r="G12" s="11"/>
      <c r="H12" s="10" t="s">
        <v>91</v>
      </c>
      <c r="I12" s="10" t="s">
        <v>53</v>
      </c>
      <c r="J12" s="10" t="s">
        <v>54</v>
      </c>
      <c r="K12" s="11"/>
      <c r="L12" s="10" t="s">
        <v>116</v>
      </c>
      <c r="M12" s="11"/>
      <c r="N12" s="10" t="s">
        <v>117</v>
      </c>
      <c r="O12" s="11"/>
      <c r="P12" s="11"/>
      <c r="Q12" s="10" t="s">
        <v>158</v>
      </c>
      <c r="R12" s="11"/>
      <c r="S12" s="10" t="s">
        <v>76</v>
      </c>
      <c r="T12" s="10" t="s">
        <v>77</v>
      </c>
      <c r="U12" s="10" t="s">
        <v>78</v>
      </c>
      <c r="V12" s="11"/>
      <c r="W12" s="10" t="s">
        <v>79</v>
      </c>
      <c r="X12" s="10" t="s">
        <v>80</v>
      </c>
      <c r="Y12" s="10" t="s">
        <v>80</v>
      </c>
      <c r="Z12" s="10" t="s">
        <v>159</v>
      </c>
      <c r="AA12" s="10" t="s">
        <v>160</v>
      </c>
      <c r="AB12" s="11"/>
      <c r="AC12" s="11"/>
      <c r="AD12" s="11"/>
      <c r="AE12" s="11"/>
      <c r="AF12" s="12">
        <v>14970</v>
      </c>
      <c r="AG12" s="11"/>
      <c r="AH12" s="10" t="s">
        <v>156</v>
      </c>
      <c r="AI12" s="11"/>
      <c r="AJ12" s="10" t="s">
        <v>122</v>
      </c>
      <c r="AK12" s="10" t="s">
        <v>110</v>
      </c>
      <c r="AL12" s="11"/>
      <c r="AM12" s="11"/>
      <c r="AN12" s="11"/>
      <c r="AO12" s="11"/>
      <c r="AP12" s="11"/>
      <c r="AQ12" s="11"/>
      <c r="AR12" s="10" t="s">
        <v>123</v>
      </c>
      <c r="AS12" s="10" t="s">
        <v>66</v>
      </c>
      <c r="AT12" s="10" t="s">
        <v>53</v>
      </c>
    </row>
    <row r="13" spans="1:46" ht="20" hidden="1" customHeight="1" x14ac:dyDescent="0.15">
      <c r="A13" s="8" t="s">
        <v>161</v>
      </c>
      <c r="B13" s="9" t="s">
        <v>162</v>
      </c>
      <c r="C13" s="10" t="s">
        <v>163</v>
      </c>
      <c r="D13" s="10" t="s">
        <v>164</v>
      </c>
      <c r="E13" s="10" t="s">
        <v>51</v>
      </c>
      <c r="F13" s="10" t="s">
        <v>71</v>
      </c>
      <c r="G13" s="11"/>
      <c r="H13" s="10" t="s">
        <v>91</v>
      </c>
      <c r="I13" s="10" t="s">
        <v>53</v>
      </c>
      <c r="J13" s="10" t="s">
        <v>54</v>
      </c>
      <c r="K13" s="11"/>
      <c r="L13" s="10" t="s">
        <v>116</v>
      </c>
      <c r="M13" s="11"/>
      <c r="N13" s="10" t="s">
        <v>117</v>
      </c>
      <c r="O13" s="11"/>
      <c r="P13" s="11"/>
      <c r="Q13" s="10" t="s">
        <v>151</v>
      </c>
      <c r="R13" s="11"/>
      <c r="S13" s="10" t="s">
        <v>76</v>
      </c>
      <c r="T13" s="10" t="s">
        <v>77</v>
      </c>
      <c r="U13" s="10" t="s">
        <v>78</v>
      </c>
      <c r="V13" s="11"/>
      <c r="W13" s="10" t="s">
        <v>79</v>
      </c>
      <c r="X13" s="10" t="s">
        <v>80</v>
      </c>
      <c r="Y13" s="10" t="s">
        <v>80</v>
      </c>
      <c r="Z13" s="10" t="s">
        <v>165</v>
      </c>
      <c r="AA13" s="10" t="s">
        <v>166</v>
      </c>
      <c r="AB13" s="11"/>
      <c r="AC13" s="11"/>
      <c r="AD13" s="11"/>
      <c r="AE13" s="11"/>
      <c r="AF13" s="12">
        <v>1800</v>
      </c>
      <c r="AG13" s="11"/>
      <c r="AH13" s="10" t="s">
        <v>167</v>
      </c>
      <c r="AI13" s="11"/>
      <c r="AJ13" s="10" t="s">
        <v>122</v>
      </c>
      <c r="AK13" s="10" t="s">
        <v>110</v>
      </c>
      <c r="AL13" s="11"/>
      <c r="AM13" s="11"/>
      <c r="AN13" s="11"/>
      <c r="AO13" s="11"/>
      <c r="AP13" s="11"/>
      <c r="AQ13" s="11"/>
      <c r="AR13" s="10" t="s">
        <v>123</v>
      </c>
      <c r="AS13" s="10" t="s">
        <v>66</v>
      </c>
      <c r="AT13" s="10" t="s">
        <v>53</v>
      </c>
    </row>
    <row r="14" spans="1:46" ht="20" hidden="1" customHeight="1" x14ac:dyDescent="0.15">
      <c r="A14" s="8" t="s">
        <v>168</v>
      </c>
      <c r="B14" s="9" t="s">
        <v>169</v>
      </c>
      <c r="C14" s="10" t="s">
        <v>170</v>
      </c>
      <c r="D14" s="10" t="s">
        <v>171</v>
      </c>
      <c r="E14" s="10" t="s">
        <v>51</v>
      </c>
      <c r="F14" s="10" t="s">
        <v>71</v>
      </c>
      <c r="G14" s="11"/>
      <c r="H14" s="10" t="s">
        <v>91</v>
      </c>
      <c r="I14" s="10" t="s">
        <v>53</v>
      </c>
      <c r="J14" s="10" t="s">
        <v>54</v>
      </c>
      <c r="K14" s="11"/>
      <c r="L14" s="10" t="s">
        <v>116</v>
      </c>
      <c r="M14" s="11"/>
      <c r="N14" s="10" t="s">
        <v>117</v>
      </c>
      <c r="O14" s="11"/>
      <c r="P14" s="11"/>
      <c r="Q14" s="10" t="s">
        <v>158</v>
      </c>
      <c r="R14" s="11"/>
      <c r="S14" s="10" t="s">
        <v>76</v>
      </c>
      <c r="T14" s="10" t="s">
        <v>77</v>
      </c>
      <c r="U14" s="10" t="s">
        <v>78</v>
      </c>
      <c r="V14" s="11"/>
      <c r="W14" s="10" t="s">
        <v>79</v>
      </c>
      <c r="X14" s="10" t="s">
        <v>80</v>
      </c>
      <c r="Y14" s="10" t="s">
        <v>80</v>
      </c>
      <c r="Z14" s="10" t="s">
        <v>172</v>
      </c>
      <c r="AA14" s="10" t="s">
        <v>173</v>
      </c>
      <c r="AB14" s="11"/>
      <c r="AC14" s="11"/>
      <c r="AD14" s="11"/>
      <c r="AE14" s="11"/>
      <c r="AF14" s="12">
        <v>4036</v>
      </c>
      <c r="AG14" s="11"/>
      <c r="AH14" s="10" t="s">
        <v>170</v>
      </c>
      <c r="AI14" s="11"/>
      <c r="AJ14" s="10" t="s">
        <v>122</v>
      </c>
      <c r="AK14" s="10" t="s">
        <v>110</v>
      </c>
      <c r="AL14" s="11"/>
      <c r="AM14" s="11"/>
      <c r="AN14" s="11"/>
      <c r="AO14" s="11"/>
      <c r="AP14" s="11"/>
      <c r="AQ14" s="11"/>
      <c r="AR14" s="10" t="s">
        <v>123</v>
      </c>
      <c r="AS14" s="10" t="s">
        <v>66</v>
      </c>
      <c r="AT14" s="10" t="s">
        <v>53</v>
      </c>
    </row>
    <row r="15" spans="1:46" ht="20" customHeight="1" x14ac:dyDescent="0.15">
      <c r="A15" s="8" t="s">
        <v>174</v>
      </c>
      <c r="B15" s="9" t="s">
        <v>175</v>
      </c>
      <c r="C15" s="10" t="s">
        <v>176</v>
      </c>
      <c r="D15" s="10" t="s">
        <v>177</v>
      </c>
      <c r="E15" s="10" t="s">
        <v>51</v>
      </c>
      <c r="F15" s="10" t="s">
        <v>71</v>
      </c>
      <c r="G15" s="11"/>
      <c r="H15" s="10" t="s">
        <v>72</v>
      </c>
      <c r="I15" s="10" t="s">
        <v>53</v>
      </c>
      <c r="J15" s="10" t="s">
        <v>54</v>
      </c>
      <c r="K15" s="11"/>
      <c r="L15" s="10" t="s">
        <v>178</v>
      </c>
      <c r="M15" s="11"/>
      <c r="N15" s="10" t="s">
        <v>117</v>
      </c>
      <c r="O15" s="11"/>
      <c r="P15" s="11"/>
      <c r="Q15" s="10" t="s">
        <v>75</v>
      </c>
      <c r="R15" s="11"/>
      <c r="S15" s="10" t="s">
        <v>76</v>
      </c>
      <c r="T15" s="10" t="s">
        <v>77</v>
      </c>
      <c r="U15" s="10" t="s">
        <v>78</v>
      </c>
      <c r="V15" s="11"/>
      <c r="W15" s="10" t="s">
        <v>79</v>
      </c>
      <c r="X15" s="10" t="s">
        <v>80</v>
      </c>
      <c r="Y15" s="10" t="s">
        <v>80</v>
      </c>
      <c r="Z15" s="10" t="s">
        <v>179</v>
      </c>
      <c r="AA15" s="10" t="s">
        <v>180</v>
      </c>
      <c r="AB15" s="11"/>
      <c r="AC15" s="11"/>
      <c r="AD15" s="11"/>
      <c r="AE15" s="11"/>
      <c r="AF15" s="12">
        <v>5100</v>
      </c>
      <c r="AG15" s="11"/>
      <c r="AH15" s="10" t="s">
        <v>181</v>
      </c>
      <c r="AI15" s="11"/>
      <c r="AJ15" s="10" t="s">
        <v>122</v>
      </c>
      <c r="AK15" s="10" t="s">
        <v>110</v>
      </c>
      <c r="AL15" s="11"/>
      <c r="AM15" s="11"/>
      <c r="AN15" s="11"/>
      <c r="AO15" s="11"/>
      <c r="AP15" s="11"/>
      <c r="AQ15" s="11"/>
      <c r="AR15" s="10" t="s">
        <v>182</v>
      </c>
      <c r="AS15" s="10" t="s">
        <v>66</v>
      </c>
      <c r="AT15" s="10" t="s">
        <v>53</v>
      </c>
    </row>
    <row r="16" spans="1:46" ht="20" customHeight="1" x14ac:dyDescent="0.15">
      <c r="A16" s="8" t="s">
        <v>183</v>
      </c>
      <c r="B16" s="9" t="s">
        <v>184</v>
      </c>
      <c r="C16" s="10" t="s">
        <v>185</v>
      </c>
      <c r="D16" s="10" t="s">
        <v>186</v>
      </c>
      <c r="E16" s="10" t="s">
        <v>51</v>
      </c>
      <c r="F16" s="10" t="s">
        <v>71</v>
      </c>
      <c r="G16" s="11"/>
      <c r="H16" s="10" t="s">
        <v>72</v>
      </c>
      <c r="I16" s="10" t="s">
        <v>53</v>
      </c>
      <c r="J16" s="10" t="s">
        <v>54</v>
      </c>
      <c r="K16" s="11"/>
      <c r="L16" s="10" t="s">
        <v>178</v>
      </c>
      <c r="M16" s="11"/>
      <c r="N16" s="10" t="s">
        <v>117</v>
      </c>
      <c r="O16" s="11"/>
      <c r="P16" s="11"/>
      <c r="Q16" s="10" t="s">
        <v>75</v>
      </c>
      <c r="R16" s="11"/>
      <c r="S16" s="10" t="s">
        <v>76</v>
      </c>
      <c r="T16" s="10" t="s">
        <v>77</v>
      </c>
      <c r="U16" s="10" t="s">
        <v>78</v>
      </c>
      <c r="V16" s="11"/>
      <c r="W16" s="10" t="s">
        <v>79</v>
      </c>
      <c r="X16" s="10" t="s">
        <v>80</v>
      </c>
      <c r="Y16" s="10" t="s">
        <v>80</v>
      </c>
      <c r="Z16" s="10" t="s">
        <v>187</v>
      </c>
      <c r="AA16" s="10" t="s">
        <v>188</v>
      </c>
      <c r="AB16" s="11"/>
      <c r="AC16" s="11"/>
      <c r="AD16" s="11"/>
      <c r="AE16" s="11"/>
      <c r="AF16" s="12">
        <v>133</v>
      </c>
      <c r="AG16" s="11"/>
      <c r="AH16" s="10" t="s">
        <v>141</v>
      </c>
      <c r="AI16" s="11"/>
      <c r="AJ16" s="10" t="s">
        <v>189</v>
      </c>
      <c r="AK16" s="10" t="s">
        <v>110</v>
      </c>
      <c r="AL16" s="11"/>
      <c r="AM16" s="11"/>
      <c r="AN16" s="11"/>
      <c r="AO16" s="11"/>
      <c r="AP16" s="11"/>
      <c r="AQ16" s="11"/>
      <c r="AR16" s="10" t="s">
        <v>190</v>
      </c>
      <c r="AS16" s="10" t="s">
        <v>66</v>
      </c>
      <c r="AT16" s="10" t="s">
        <v>53</v>
      </c>
    </row>
    <row r="17" spans="1:46" ht="20" customHeight="1" x14ac:dyDescent="0.15">
      <c r="A17" s="8" t="s">
        <v>191</v>
      </c>
      <c r="B17" s="9" t="s">
        <v>192</v>
      </c>
      <c r="C17" s="10" t="s">
        <v>193</v>
      </c>
      <c r="D17" s="10" t="s">
        <v>194</v>
      </c>
      <c r="E17" s="10" t="s">
        <v>51</v>
      </c>
      <c r="F17" s="10" t="s">
        <v>71</v>
      </c>
      <c r="G17" s="11"/>
      <c r="H17" s="10" t="s">
        <v>72</v>
      </c>
      <c r="I17" s="10" t="s">
        <v>53</v>
      </c>
      <c r="J17" s="10" t="s">
        <v>54</v>
      </c>
      <c r="K17" s="11"/>
      <c r="L17" s="10" t="s">
        <v>178</v>
      </c>
      <c r="M17" s="11"/>
      <c r="N17" s="10" t="s">
        <v>117</v>
      </c>
      <c r="O17" s="11"/>
      <c r="P17" s="11"/>
      <c r="Q17" s="10" t="s">
        <v>75</v>
      </c>
      <c r="R17" s="11"/>
      <c r="S17" s="10" t="s">
        <v>76</v>
      </c>
      <c r="T17" s="10" t="s">
        <v>77</v>
      </c>
      <c r="U17" s="10" t="s">
        <v>78</v>
      </c>
      <c r="V17" s="11"/>
      <c r="W17" s="10" t="s">
        <v>79</v>
      </c>
      <c r="X17" s="10" t="s">
        <v>80</v>
      </c>
      <c r="Y17" s="10" t="s">
        <v>80</v>
      </c>
      <c r="Z17" s="10" t="s">
        <v>195</v>
      </c>
      <c r="AA17" s="10" t="s">
        <v>196</v>
      </c>
      <c r="AB17" s="11"/>
      <c r="AC17" s="11"/>
      <c r="AD17" s="11"/>
      <c r="AE17" s="11"/>
      <c r="AF17" s="12">
        <v>5194</v>
      </c>
      <c r="AG17" s="11"/>
      <c r="AH17" s="10" t="s">
        <v>197</v>
      </c>
      <c r="AI17" s="11"/>
      <c r="AJ17" s="10" t="s">
        <v>198</v>
      </c>
      <c r="AK17" s="10" t="s">
        <v>110</v>
      </c>
      <c r="AL17" s="11"/>
      <c r="AM17" s="11"/>
      <c r="AN17" s="11"/>
      <c r="AO17" s="11"/>
      <c r="AP17" s="11"/>
      <c r="AQ17" s="11"/>
      <c r="AR17" s="10" t="s">
        <v>199</v>
      </c>
      <c r="AS17" s="10" t="s">
        <v>66</v>
      </c>
      <c r="AT17" s="10" t="s">
        <v>53</v>
      </c>
    </row>
    <row r="18" spans="1:46" ht="20" customHeight="1" x14ac:dyDescent="0.15">
      <c r="A18" s="8" t="s">
        <v>200</v>
      </c>
      <c r="B18" s="9" t="s">
        <v>201</v>
      </c>
      <c r="C18" s="10" t="s">
        <v>202</v>
      </c>
      <c r="D18" s="10" t="s">
        <v>203</v>
      </c>
      <c r="E18" s="10" t="s">
        <v>51</v>
      </c>
      <c r="F18" s="10" t="s">
        <v>71</v>
      </c>
      <c r="G18" s="11"/>
      <c r="H18" s="10" t="s">
        <v>72</v>
      </c>
      <c r="I18" s="10" t="s">
        <v>53</v>
      </c>
      <c r="J18" s="10" t="s">
        <v>54</v>
      </c>
      <c r="K18" s="11"/>
      <c r="L18" s="10" t="s">
        <v>178</v>
      </c>
      <c r="M18" s="11"/>
      <c r="N18" s="10" t="s">
        <v>117</v>
      </c>
      <c r="O18" s="11"/>
      <c r="P18" s="11"/>
      <c r="Q18" s="10" t="s">
        <v>75</v>
      </c>
      <c r="R18" s="11"/>
      <c r="S18" s="10" t="s">
        <v>76</v>
      </c>
      <c r="T18" s="10" t="s">
        <v>77</v>
      </c>
      <c r="U18" s="10" t="s">
        <v>78</v>
      </c>
      <c r="V18" s="11"/>
      <c r="W18" s="10" t="s">
        <v>79</v>
      </c>
      <c r="X18" s="10" t="s">
        <v>80</v>
      </c>
      <c r="Y18" s="10" t="s">
        <v>80</v>
      </c>
      <c r="Z18" s="10" t="s">
        <v>204</v>
      </c>
      <c r="AA18" s="10" t="s">
        <v>205</v>
      </c>
      <c r="AB18" s="11"/>
      <c r="AC18" s="11"/>
      <c r="AD18" s="11"/>
      <c r="AE18" s="11"/>
      <c r="AF18" s="12">
        <v>249</v>
      </c>
      <c r="AG18" s="11"/>
      <c r="AH18" s="10" t="s">
        <v>149</v>
      </c>
      <c r="AI18" s="11"/>
      <c r="AJ18" s="10" t="s">
        <v>206</v>
      </c>
      <c r="AK18" s="10" t="s">
        <v>110</v>
      </c>
      <c r="AL18" s="11"/>
      <c r="AM18" s="11"/>
      <c r="AN18" s="11"/>
      <c r="AO18" s="11"/>
      <c r="AP18" s="11"/>
      <c r="AQ18" s="11"/>
      <c r="AR18" s="10" t="s">
        <v>207</v>
      </c>
      <c r="AS18" s="10" t="s">
        <v>66</v>
      </c>
      <c r="AT18" s="10" t="s">
        <v>53</v>
      </c>
    </row>
    <row r="19" spans="1:46" ht="20" customHeight="1" x14ac:dyDescent="0.15">
      <c r="A19" s="8" t="s">
        <v>208</v>
      </c>
      <c r="B19" s="9" t="s">
        <v>209</v>
      </c>
      <c r="C19" s="10" t="s">
        <v>210</v>
      </c>
      <c r="D19" s="10" t="s">
        <v>211</v>
      </c>
      <c r="E19" s="10" t="s">
        <v>51</v>
      </c>
      <c r="F19" s="10" t="s">
        <v>71</v>
      </c>
      <c r="G19" s="11"/>
      <c r="H19" s="10" t="s">
        <v>72</v>
      </c>
      <c r="I19" s="10" t="s">
        <v>53</v>
      </c>
      <c r="J19" s="10" t="s">
        <v>54</v>
      </c>
      <c r="K19" s="11"/>
      <c r="L19" s="10" t="s">
        <v>178</v>
      </c>
      <c r="M19" s="11"/>
      <c r="N19" s="10" t="s">
        <v>117</v>
      </c>
      <c r="O19" s="11"/>
      <c r="P19" s="11"/>
      <c r="Q19" s="10" t="s">
        <v>75</v>
      </c>
      <c r="R19" s="11"/>
      <c r="S19" s="10" t="s">
        <v>76</v>
      </c>
      <c r="T19" s="10" t="s">
        <v>77</v>
      </c>
      <c r="U19" s="10" t="s">
        <v>78</v>
      </c>
      <c r="V19" s="11"/>
      <c r="W19" s="10" t="s">
        <v>79</v>
      </c>
      <c r="X19" s="10" t="s">
        <v>80</v>
      </c>
      <c r="Y19" s="10" t="s">
        <v>80</v>
      </c>
      <c r="Z19" s="10" t="s">
        <v>212</v>
      </c>
      <c r="AA19" s="10" t="s">
        <v>213</v>
      </c>
      <c r="AB19" s="11"/>
      <c r="AC19" s="11"/>
      <c r="AD19" s="11"/>
      <c r="AE19" s="11"/>
      <c r="AF19" s="12">
        <v>6068</v>
      </c>
      <c r="AG19" s="11"/>
      <c r="AH19" s="10" t="s">
        <v>156</v>
      </c>
      <c r="AI19" s="11"/>
      <c r="AJ19" s="10" t="s">
        <v>214</v>
      </c>
      <c r="AK19" s="10" t="s">
        <v>110</v>
      </c>
      <c r="AL19" s="11"/>
      <c r="AM19" s="11"/>
      <c r="AN19" s="11"/>
      <c r="AO19" s="11"/>
      <c r="AP19" s="11"/>
      <c r="AQ19" s="11"/>
      <c r="AR19" s="10" t="s">
        <v>215</v>
      </c>
      <c r="AS19" s="10" t="s">
        <v>66</v>
      </c>
      <c r="AT19" s="10" t="s">
        <v>53</v>
      </c>
    </row>
    <row r="20" spans="1:46" ht="20" customHeight="1" x14ac:dyDescent="0.15">
      <c r="A20" s="8" t="s">
        <v>216</v>
      </c>
      <c r="B20" s="9" t="s">
        <v>217</v>
      </c>
      <c r="C20" s="10" t="s">
        <v>218</v>
      </c>
      <c r="D20" s="10" t="s">
        <v>219</v>
      </c>
      <c r="E20" s="10" t="s">
        <v>51</v>
      </c>
      <c r="F20" s="10" t="s">
        <v>71</v>
      </c>
      <c r="G20" s="11"/>
      <c r="H20" s="10" t="s">
        <v>72</v>
      </c>
      <c r="I20" s="10" t="s">
        <v>53</v>
      </c>
      <c r="J20" s="10" t="s">
        <v>54</v>
      </c>
      <c r="K20" s="11"/>
      <c r="L20" s="10" t="s">
        <v>178</v>
      </c>
      <c r="M20" s="11"/>
      <c r="N20" s="10" t="s">
        <v>117</v>
      </c>
      <c r="O20" s="11"/>
      <c r="P20" s="11"/>
      <c r="Q20" s="10" t="s">
        <v>75</v>
      </c>
      <c r="R20" s="11"/>
      <c r="S20" s="10" t="s">
        <v>76</v>
      </c>
      <c r="T20" s="10" t="s">
        <v>77</v>
      </c>
      <c r="U20" s="10" t="s">
        <v>78</v>
      </c>
      <c r="V20" s="11"/>
      <c r="W20" s="10" t="s">
        <v>79</v>
      </c>
      <c r="X20" s="10" t="s">
        <v>80</v>
      </c>
      <c r="Y20" s="10" t="s">
        <v>80</v>
      </c>
      <c r="Z20" s="10" t="s">
        <v>220</v>
      </c>
      <c r="AA20" s="10" t="s">
        <v>221</v>
      </c>
      <c r="AB20" s="11"/>
      <c r="AC20" s="11"/>
      <c r="AD20" s="11"/>
      <c r="AE20" s="11"/>
      <c r="AF20" s="12">
        <v>6017</v>
      </c>
      <c r="AG20" s="11"/>
      <c r="AH20" s="10" t="s">
        <v>222</v>
      </c>
      <c r="AI20" s="11"/>
      <c r="AJ20" s="10" t="s">
        <v>223</v>
      </c>
      <c r="AK20" s="10" t="s">
        <v>110</v>
      </c>
      <c r="AL20" s="11"/>
      <c r="AM20" s="11"/>
      <c r="AN20" s="11"/>
      <c r="AO20" s="11"/>
      <c r="AP20" s="11"/>
      <c r="AQ20" s="11"/>
      <c r="AR20" s="10" t="s">
        <v>224</v>
      </c>
      <c r="AS20" s="10" t="s">
        <v>66</v>
      </c>
      <c r="AT20" s="10" t="s">
        <v>53</v>
      </c>
    </row>
    <row r="21" spans="1:46" ht="20" customHeight="1" x14ac:dyDescent="0.15">
      <c r="A21" s="8" t="s">
        <v>225</v>
      </c>
      <c r="B21" s="9" t="s">
        <v>226</v>
      </c>
      <c r="C21" s="10" t="s">
        <v>227</v>
      </c>
      <c r="D21" s="10" t="s">
        <v>228</v>
      </c>
      <c r="E21" s="10" t="s">
        <v>51</v>
      </c>
      <c r="F21" s="10" t="s">
        <v>71</v>
      </c>
      <c r="G21" s="11"/>
      <c r="H21" s="10" t="s">
        <v>229</v>
      </c>
      <c r="I21" s="10" t="s">
        <v>53</v>
      </c>
      <c r="J21" s="10" t="s">
        <v>54</v>
      </c>
      <c r="K21" s="11"/>
      <c r="L21" s="10" t="s">
        <v>178</v>
      </c>
      <c r="M21" s="11"/>
      <c r="N21" s="10" t="s">
        <v>117</v>
      </c>
      <c r="O21" s="11"/>
      <c r="P21" s="11"/>
      <c r="Q21" s="10" t="s">
        <v>75</v>
      </c>
      <c r="R21" s="11"/>
      <c r="S21" s="10" t="s">
        <v>76</v>
      </c>
      <c r="T21" s="10" t="s">
        <v>77</v>
      </c>
      <c r="U21" s="10" t="s">
        <v>78</v>
      </c>
      <c r="V21" s="11"/>
      <c r="W21" s="10" t="s">
        <v>79</v>
      </c>
      <c r="X21" s="10" t="s">
        <v>80</v>
      </c>
      <c r="Y21" s="10" t="s">
        <v>80</v>
      </c>
      <c r="Z21" s="10" t="s">
        <v>230</v>
      </c>
      <c r="AA21" s="10" t="s">
        <v>231</v>
      </c>
      <c r="AB21" s="11"/>
      <c r="AC21" s="11"/>
      <c r="AD21" s="11"/>
      <c r="AE21" s="11"/>
      <c r="AF21" s="12">
        <v>166</v>
      </c>
      <c r="AG21" s="11"/>
      <c r="AH21" s="10" t="s">
        <v>232</v>
      </c>
      <c r="AI21" s="11"/>
      <c r="AJ21" s="10" t="s">
        <v>233</v>
      </c>
      <c r="AK21" s="10" t="s">
        <v>110</v>
      </c>
      <c r="AL21" s="11"/>
      <c r="AM21" s="11"/>
      <c r="AN21" s="11"/>
      <c r="AO21" s="11"/>
      <c r="AP21" s="11"/>
      <c r="AQ21" s="11"/>
      <c r="AR21" s="10" t="s">
        <v>234</v>
      </c>
      <c r="AS21" s="10" t="s">
        <v>66</v>
      </c>
      <c r="AT21" s="10" t="s">
        <v>53</v>
      </c>
    </row>
    <row r="22" spans="1:46" ht="20" customHeight="1" x14ac:dyDescent="0.15">
      <c r="A22" s="8" t="s">
        <v>235</v>
      </c>
      <c r="B22" s="9" t="s">
        <v>236</v>
      </c>
      <c r="C22" s="10" t="s">
        <v>237</v>
      </c>
      <c r="D22" s="10" t="s">
        <v>238</v>
      </c>
      <c r="E22" s="10" t="s">
        <v>51</v>
      </c>
      <c r="F22" s="10" t="s">
        <v>71</v>
      </c>
      <c r="G22" s="11"/>
      <c r="H22" s="10" t="s">
        <v>239</v>
      </c>
      <c r="I22" s="10" t="s">
        <v>53</v>
      </c>
      <c r="J22" s="10" t="s">
        <v>54</v>
      </c>
      <c r="K22" s="11"/>
      <c r="L22" s="10" t="s">
        <v>178</v>
      </c>
      <c r="M22" s="11"/>
      <c r="N22" s="10" t="s">
        <v>117</v>
      </c>
      <c r="O22" s="11"/>
      <c r="P22" s="11"/>
      <c r="Q22" s="10" t="s">
        <v>75</v>
      </c>
      <c r="R22" s="11"/>
      <c r="S22" s="10" t="s">
        <v>76</v>
      </c>
      <c r="T22" s="10" t="s">
        <v>77</v>
      </c>
      <c r="U22" s="10" t="s">
        <v>78</v>
      </c>
      <c r="V22" s="11"/>
      <c r="W22" s="10" t="s">
        <v>79</v>
      </c>
      <c r="X22" s="10" t="s">
        <v>80</v>
      </c>
      <c r="Y22" s="10" t="s">
        <v>80</v>
      </c>
      <c r="Z22" s="10" t="s">
        <v>240</v>
      </c>
      <c r="AA22" s="10" t="s">
        <v>241</v>
      </c>
      <c r="AB22" s="11"/>
      <c r="AC22" s="11"/>
      <c r="AD22" s="11"/>
      <c r="AE22" s="11"/>
      <c r="AF22" s="12">
        <v>38000</v>
      </c>
      <c r="AG22" s="11"/>
      <c r="AH22" s="10" t="s">
        <v>242</v>
      </c>
      <c r="AI22" s="11"/>
      <c r="AJ22" s="10" t="s">
        <v>243</v>
      </c>
      <c r="AK22" s="10" t="s">
        <v>110</v>
      </c>
      <c r="AL22" s="11"/>
      <c r="AM22" s="11"/>
      <c r="AN22" s="11"/>
      <c r="AO22" s="11"/>
      <c r="AP22" s="11"/>
      <c r="AQ22" s="11"/>
      <c r="AR22" s="10" t="s">
        <v>244</v>
      </c>
      <c r="AS22" s="10" t="s">
        <v>66</v>
      </c>
      <c r="AT22" s="10" t="s">
        <v>53</v>
      </c>
    </row>
    <row r="23" spans="1:46" ht="20" hidden="1" customHeight="1" x14ac:dyDescent="0.15">
      <c r="A23" s="8" t="s">
        <v>245</v>
      </c>
      <c r="B23" s="9" t="s">
        <v>246</v>
      </c>
      <c r="C23" s="10" t="s">
        <v>247</v>
      </c>
      <c r="D23" s="10" t="s">
        <v>248</v>
      </c>
      <c r="E23" s="10" t="s">
        <v>51</v>
      </c>
      <c r="F23" s="10" t="s">
        <v>71</v>
      </c>
      <c r="G23" s="11"/>
      <c r="H23" s="10" t="s">
        <v>91</v>
      </c>
      <c r="I23" s="10" t="s">
        <v>53</v>
      </c>
      <c r="J23" s="10" t="s">
        <v>54</v>
      </c>
      <c r="K23" s="11"/>
      <c r="L23" s="10" t="s">
        <v>249</v>
      </c>
      <c r="M23" s="11"/>
      <c r="N23" s="10" t="s">
        <v>117</v>
      </c>
      <c r="O23" s="11"/>
      <c r="P23" s="11"/>
      <c r="Q23" s="10" t="s">
        <v>250</v>
      </c>
      <c r="R23" s="11"/>
      <c r="S23" s="10" t="s">
        <v>76</v>
      </c>
      <c r="T23" s="10" t="s">
        <v>77</v>
      </c>
      <c r="U23" s="10" t="s">
        <v>78</v>
      </c>
      <c r="V23" s="11"/>
      <c r="W23" s="10" t="s">
        <v>79</v>
      </c>
      <c r="X23" s="10" t="s">
        <v>80</v>
      </c>
      <c r="Y23" s="10" t="s">
        <v>80</v>
      </c>
      <c r="Z23" s="10" t="s">
        <v>251</v>
      </c>
      <c r="AA23" s="10" t="s">
        <v>252</v>
      </c>
      <c r="AB23" s="11"/>
      <c r="AC23" s="11"/>
      <c r="AD23" s="11"/>
      <c r="AE23" s="11"/>
      <c r="AF23" s="12">
        <v>15500</v>
      </c>
      <c r="AG23" s="11"/>
      <c r="AH23" s="10" t="s">
        <v>242</v>
      </c>
      <c r="AI23" s="11"/>
      <c r="AJ23" s="10" t="s">
        <v>253</v>
      </c>
      <c r="AK23" s="10" t="s">
        <v>110</v>
      </c>
      <c r="AL23" s="11"/>
      <c r="AM23" s="11"/>
      <c r="AN23" s="11"/>
      <c r="AO23" s="11"/>
      <c r="AP23" s="11"/>
      <c r="AQ23" s="11"/>
      <c r="AR23" s="10" t="s">
        <v>254</v>
      </c>
      <c r="AS23" s="10" t="s">
        <v>66</v>
      </c>
      <c r="AT23" s="10" t="s">
        <v>53</v>
      </c>
    </row>
    <row r="24" spans="1:46" ht="20" hidden="1" customHeight="1" x14ac:dyDescent="0.15">
      <c r="A24" s="8" t="s">
        <v>255</v>
      </c>
      <c r="B24" s="9" t="s">
        <v>256</v>
      </c>
      <c r="C24" s="10" t="s">
        <v>257</v>
      </c>
      <c r="D24" s="10" t="s">
        <v>258</v>
      </c>
      <c r="E24" s="10" t="s">
        <v>51</v>
      </c>
      <c r="F24" s="10" t="s">
        <v>71</v>
      </c>
      <c r="G24" s="11"/>
      <c r="H24" s="10" t="s">
        <v>91</v>
      </c>
      <c r="I24" s="10" t="s">
        <v>53</v>
      </c>
      <c r="J24" s="10" t="s">
        <v>54</v>
      </c>
      <c r="K24" s="11"/>
      <c r="L24" s="10" t="s">
        <v>92</v>
      </c>
      <c r="M24" s="11"/>
      <c r="N24" s="10" t="s">
        <v>93</v>
      </c>
      <c r="O24" s="11"/>
      <c r="P24" s="11"/>
      <c r="Q24" s="10" t="s">
        <v>135</v>
      </c>
      <c r="R24" s="11"/>
      <c r="S24" s="10" t="s">
        <v>76</v>
      </c>
      <c r="T24" s="10" t="s">
        <v>77</v>
      </c>
      <c r="U24" s="10" t="s">
        <v>78</v>
      </c>
      <c r="V24" s="11"/>
      <c r="W24" s="10" t="s">
        <v>79</v>
      </c>
      <c r="X24" s="10" t="s">
        <v>80</v>
      </c>
      <c r="Y24" s="10" t="s">
        <v>80</v>
      </c>
      <c r="Z24" s="10" t="s">
        <v>259</v>
      </c>
      <c r="AA24" s="10" t="s">
        <v>260</v>
      </c>
      <c r="AB24" s="11"/>
      <c r="AC24" s="11"/>
      <c r="AD24" s="11"/>
      <c r="AE24" s="11"/>
      <c r="AF24" s="12">
        <v>40000</v>
      </c>
      <c r="AG24" s="11"/>
      <c r="AH24" s="10" t="s">
        <v>97</v>
      </c>
      <c r="AI24" s="11"/>
      <c r="AJ24" s="11"/>
      <c r="AK24" s="10" t="s">
        <v>261</v>
      </c>
      <c r="AL24" s="11"/>
      <c r="AM24" s="11"/>
      <c r="AN24" s="11"/>
      <c r="AO24" s="11"/>
      <c r="AP24" s="11"/>
      <c r="AQ24" s="11"/>
      <c r="AR24" s="10" t="s">
        <v>262</v>
      </c>
      <c r="AS24" s="10" t="s">
        <v>66</v>
      </c>
      <c r="AT24" s="10" t="s">
        <v>53</v>
      </c>
    </row>
    <row r="25" spans="1:46" ht="20" hidden="1" customHeight="1" x14ac:dyDescent="0.15">
      <c r="A25" s="8" t="s">
        <v>263</v>
      </c>
      <c r="B25" s="9" t="s">
        <v>264</v>
      </c>
      <c r="C25" s="10" t="s">
        <v>265</v>
      </c>
      <c r="D25" s="10" t="s">
        <v>266</v>
      </c>
      <c r="E25" s="10" t="s">
        <v>51</v>
      </c>
      <c r="F25" s="10" t="s">
        <v>267</v>
      </c>
      <c r="G25" s="11"/>
      <c r="H25" s="10" t="s">
        <v>268</v>
      </c>
      <c r="I25" s="10" t="s">
        <v>53</v>
      </c>
      <c r="J25" s="10" t="s">
        <v>54</v>
      </c>
      <c r="K25" s="11"/>
      <c r="L25" s="10" t="s">
        <v>269</v>
      </c>
      <c r="M25" s="11"/>
      <c r="N25" s="11"/>
      <c r="O25" s="11"/>
      <c r="P25" s="11"/>
      <c r="Q25" s="10" t="s">
        <v>270</v>
      </c>
      <c r="R25" s="11"/>
      <c r="S25" s="10" t="s">
        <v>271</v>
      </c>
      <c r="T25" s="10" t="s">
        <v>272</v>
      </c>
      <c r="U25" s="10" t="s">
        <v>273</v>
      </c>
      <c r="V25" s="11"/>
      <c r="W25" s="10" t="s">
        <v>274</v>
      </c>
      <c r="X25" s="10" t="s">
        <v>80</v>
      </c>
      <c r="Y25" s="10" t="s">
        <v>80</v>
      </c>
      <c r="Z25" s="10" t="s">
        <v>275</v>
      </c>
      <c r="AA25" s="10" t="s">
        <v>275</v>
      </c>
      <c r="AB25" s="11"/>
      <c r="AC25" s="11"/>
      <c r="AD25" s="11"/>
      <c r="AE25" s="11"/>
      <c r="AF25" s="12">
        <v>18000</v>
      </c>
      <c r="AG25" s="11"/>
      <c r="AH25" s="10" t="s">
        <v>276</v>
      </c>
      <c r="AI25" s="11"/>
      <c r="AJ25" s="10" t="s">
        <v>277</v>
      </c>
      <c r="AK25" s="10" t="s">
        <v>278</v>
      </c>
      <c r="AL25" s="11"/>
      <c r="AM25" s="11"/>
      <c r="AN25" s="11"/>
      <c r="AO25" s="11"/>
      <c r="AP25" s="11"/>
      <c r="AQ25" s="11"/>
      <c r="AR25" s="10" t="s">
        <v>279</v>
      </c>
      <c r="AS25" s="10" t="s">
        <v>66</v>
      </c>
      <c r="AT25" s="10" t="s">
        <v>53</v>
      </c>
    </row>
    <row r="26" spans="1:46" ht="20" hidden="1" customHeight="1" x14ac:dyDescent="0.15">
      <c r="A26" s="8" t="s">
        <v>280</v>
      </c>
      <c r="B26" s="9" t="s">
        <v>281</v>
      </c>
      <c r="C26" s="10" t="s">
        <v>282</v>
      </c>
      <c r="D26" s="10" t="s">
        <v>283</v>
      </c>
      <c r="E26" s="10" t="s">
        <v>51</v>
      </c>
      <c r="F26" s="10" t="s">
        <v>267</v>
      </c>
      <c r="G26" s="11"/>
      <c r="H26" s="10" t="s">
        <v>284</v>
      </c>
      <c r="I26" s="10" t="s">
        <v>53</v>
      </c>
      <c r="J26" s="10" t="s">
        <v>54</v>
      </c>
      <c r="K26" s="11"/>
      <c r="L26" s="10" t="s">
        <v>269</v>
      </c>
      <c r="M26" s="11"/>
      <c r="N26" s="11"/>
      <c r="O26" s="11"/>
      <c r="P26" s="11"/>
      <c r="Q26" s="10" t="s">
        <v>285</v>
      </c>
      <c r="R26" s="11"/>
      <c r="S26" s="10" t="s">
        <v>271</v>
      </c>
      <c r="T26" s="10" t="s">
        <v>272</v>
      </c>
      <c r="U26" s="10" t="s">
        <v>273</v>
      </c>
      <c r="V26" s="11"/>
      <c r="W26" s="10" t="s">
        <v>274</v>
      </c>
      <c r="X26" s="10" t="s">
        <v>80</v>
      </c>
      <c r="Y26" s="10" t="s">
        <v>80</v>
      </c>
      <c r="Z26" s="10" t="s">
        <v>286</v>
      </c>
      <c r="AA26" s="10" t="s">
        <v>286</v>
      </c>
      <c r="AB26" s="11"/>
      <c r="AC26" s="11"/>
      <c r="AD26" s="11"/>
      <c r="AE26" s="11"/>
      <c r="AF26" s="12">
        <v>10300</v>
      </c>
      <c r="AG26" s="11"/>
      <c r="AH26" s="10" t="s">
        <v>287</v>
      </c>
      <c r="AI26" s="11"/>
      <c r="AJ26" s="10" t="s">
        <v>277</v>
      </c>
      <c r="AK26" s="10" t="s">
        <v>288</v>
      </c>
      <c r="AL26" s="11"/>
      <c r="AM26" s="11"/>
      <c r="AN26" s="11"/>
      <c r="AO26" s="11"/>
      <c r="AP26" s="11"/>
      <c r="AQ26" s="11"/>
      <c r="AR26" s="10" t="s">
        <v>289</v>
      </c>
      <c r="AS26" s="10" t="s">
        <v>66</v>
      </c>
      <c r="AT26" s="10" t="s">
        <v>53</v>
      </c>
    </row>
    <row r="27" spans="1:46" ht="20" hidden="1" customHeight="1" x14ac:dyDescent="0.15">
      <c r="A27" s="8" t="s">
        <v>290</v>
      </c>
      <c r="B27" s="9" t="s">
        <v>291</v>
      </c>
      <c r="C27" s="10" t="s">
        <v>292</v>
      </c>
      <c r="D27" s="10" t="s">
        <v>293</v>
      </c>
      <c r="E27" s="10" t="s">
        <v>51</v>
      </c>
      <c r="F27" s="10" t="s">
        <v>267</v>
      </c>
      <c r="G27" s="11"/>
      <c r="H27" s="10" t="s">
        <v>91</v>
      </c>
      <c r="I27" s="10" t="s">
        <v>53</v>
      </c>
      <c r="J27" s="10" t="s">
        <v>54</v>
      </c>
      <c r="K27" s="11"/>
      <c r="L27" s="10" t="s">
        <v>294</v>
      </c>
      <c r="M27" s="11"/>
      <c r="N27" s="11"/>
      <c r="O27" s="11"/>
      <c r="P27" s="11"/>
      <c r="Q27" s="10" t="s">
        <v>75</v>
      </c>
      <c r="R27" s="11"/>
      <c r="S27" s="10" t="s">
        <v>271</v>
      </c>
      <c r="T27" s="10" t="s">
        <v>272</v>
      </c>
      <c r="U27" s="10" t="s">
        <v>273</v>
      </c>
      <c r="V27" s="11"/>
      <c r="W27" s="10" t="s">
        <v>295</v>
      </c>
      <c r="X27" s="10" t="s">
        <v>80</v>
      </c>
      <c r="Y27" s="10" t="s">
        <v>80</v>
      </c>
      <c r="Z27" s="10" t="s">
        <v>296</v>
      </c>
      <c r="AA27" s="10" t="s">
        <v>296</v>
      </c>
      <c r="AB27" s="11"/>
      <c r="AC27" s="11"/>
      <c r="AD27" s="11"/>
      <c r="AE27" s="11"/>
      <c r="AF27" s="12">
        <v>50000</v>
      </c>
      <c r="AG27" s="11"/>
      <c r="AH27" s="10" t="s">
        <v>297</v>
      </c>
      <c r="AI27" s="11"/>
      <c r="AJ27" s="10" t="s">
        <v>277</v>
      </c>
      <c r="AK27" s="10" t="s">
        <v>298</v>
      </c>
      <c r="AL27" s="11"/>
      <c r="AM27" s="11"/>
      <c r="AN27" s="11"/>
      <c r="AO27" s="11"/>
      <c r="AP27" s="11"/>
      <c r="AQ27" s="11"/>
      <c r="AR27" s="10" t="s">
        <v>299</v>
      </c>
      <c r="AS27" s="10" t="s">
        <v>66</v>
      </c>
      <c r="AT27" s="10" t="s">
        <v>53</v>
      </c>
    </row>
    <row r="28" spans="1:46" ht="20" hidden="1" customHeight="1" x14ac:dyDescent="0.15">
      <c r="A28" s="8" t="s">
        <v>300</v>
      </c>
      <c r="B28" s="9" t="s">
        <v>301</v>
      </c>
      <c r="C28" s="10" t="s">
        <v>302</v>
      </c>
      <c r="D28" s="10" t="s">
        <v>303</v>
      </c>
      <c r="E28" s="10" t="s">
        <v>51</v>
      </c>
      <c r="F28" s="10" t="s">
        <v>267</v>
      </c>
      <c r="G28" s="11"/>
      <c r="H28" s="10" t="s">
        <v>304</v>
      </c>
      <c r="I28" s="10" t="s">
        <v>53</v>
      </c>
      <c r="J28" s="10" t="s">
        <v>54</v>
      </c>
      <c r="K28" s="11"/>
      <c r="L28" s="10" t="s">
        <v>305</v>
      </c>
      <c r="M28" s="11"/>
      <c r="N28" s="11"/>
      <c r="O28" s="11"/>
      <c r="P28" s="11"/>
      <c r="Q28" s="10" t="s">
        <v>94</v>
      </c>
      <c r="R28" s="11"/>
      <c r="S28" s="10" t="s">
        <v>271</v>
      </c>
      <c r="T28" s="10" t="s">
        <v>272</v>
      </c>
      <c r="U28" s="10" t="s">
        <v>273</v>
      </c>
      <c r="V28" s="11"/>
      <c r="W28" s="10" t="s">
        <v>274</v>
      </c>
      <c r="X28" s="10" t="s">
        <v>80</v>
      </c>
      <c r="Y28" s="10" t="s">
        <v>80</v>
      </c>
      <c r="Z28" s="10" t="s">
        <v>306</v>
      </c>
      <c r="AA28" s="10" t="s">
        <v>306</v>
      </c>
      <c r="AB28" s="11"/>
      <c r="AC28" s="11"/>
      <c r="AD28" s="11"/>
      <c r="AE28" s="11"/>
      <c r="AF28" s="12">
        <v>10000000</v>
      </c>
      <c r="AG28" s="11"/>
      <c r="AH28" s="10" t="s">
        <v>307</v>
      </c>
      <c r="AI28" s="11"/>
      <c r="AJ28" s="11"/>
      <c r="AK28" s="10" t="s">
        <v>308</v>
      </c>
      <c r="AL28" s="11"/>
      <c r="AM28" s="11"/>
      <c r="AN28" s="11"/>
      <c r="AO28" s="11"/>
      <c r="AP28" s="11"/>
      <c r="AQ28" s="11"/>
      <c r="AR28" s="10" t="s">
        <v>309</v>
      </c>
      <c r="AS28" s="10" t="s">
        <v>66</v>
      </c>
      <c r="AT28" s="10" t="s">
        <v>53</v>
      </c>
    </row>
    <row r="29" spans="1:46" ht="20" hidden="1" customHeight="1" x14ac:dyDescent="0.15">
      <c r="A29" s="8" t="s">
        <v>310</v>
      </c>
      <c r="B29" s="9" t="s">
        <v>311</v>
      </c>
      <c r="C29" s="10" t="s">
        <v>312</v>
      </c>
      <c r="D29" s="10" t="s">
        <v>313</v>
      </c>
      <c r="E29" s="10" t="s">
        <v>51</v>
      </c>
      <c r="F29" s="10" t="s">
        <v>314</v>
      </c>
      <c r="G29" s="11"/>
      <c r="H29" s="10" t="s">
        <v>91</v>
      </c>
      <c r="I29" s="10" t="s">
        <v>53</v>
      </c>
      <c r="J29" s="10" t="s">
        <v>54</v>
      </c>
      <c r="K29" s="11"/>
      <c r="L29" s="10" t="s">
        <v>315</v>
      </c>
      <c r="M29" s="11"/>
      <c r="N29" s="10" t="s">
        <v>316</v>
      </c>
      <c r="O29" s="11"/>
      <c r="P29" s="11"/>
      <c r="Q29" s="10" t="s">
        <v>317</v>
      </c>
      <c r="R29" s="11"/>
      <c r="S29" s="10" t="s">
        <v>318</v>
      </c>
      <c r="T29" s="10" t="s">
        <v>319</v>
      </c>
      <c r="U29" s="10" t="s">
        <v>320</v>
      </c>
      <c r="V29" s="11"/>
      <c r="W29" s="10" t="s">
        <v>321</v>
      </c>
      <c r="X29" s="10" t="s">
        <v>80</v>
      </c>
      <c r="Y29" s="10" t="s">
        <v>80</v>
      </c>
      <c r="Z29" s="10" t="s">
        <v>322</v>
      </c>
      <c r="AA29" s="10" t="s">
        <v>322</v>
      </c>
      <c r="AB29" s="11"/>
      <c r="AC29" s="11"/>
      <c r="AD29" s="11"/>
      <c r="AE29" s="11"/>
      <c r="AF29" s="12">
        <v>151</v>
      </c>
      <c r="AG29" s="11"/>
      <c r="AH29" s="10" t="s">
        <v>323</v>
      </c>
      <c r="AI29" s="11"/>
      <c r="AJ29" s="11"/>
      <c r="AK29" s="10" t="s">
        <v>324</v>
      </c>
      <c r="AL29" s="11"/>
      <c r="AM29" s="11"/>
      <c r="AN29" s="11"/>
      <c r="AO29" s="11"/>
      <c r="AP29" s="11"/>
      <c r="AQ29" s="11"/>
      <c r="AR29" s="10" t="s">
        <v>325</v>
      </c>
      <c r="AS29" s="10" t="s">
        <v>66</v>
      </c>
      <c r="AT29" s="10" t="s">
        <v>53</v>
      </c>
    </row>
    <row r="30" spans="1:46" ht="20" hidden="1" customHeight="1" x14ac:dyDescent="0.15">
      <c r="A30" s="8" t="s">
        <v>326</v>
      </c>
      <c r="B30" s="9" t="s">
        <v>327</v>
      </c>
      <c r="C30" s="10" t="s">
        <v>328</v>
      </c>
      <c r="D30" s="10" t="s">
        <v>329</v>
      </c>
      <c r="E30" s="10" t="s">
        <v>51</v>
      </c>
      <c r="F30" s="10" t="s">
        <v>314</v>
      </c>
      <c r="G30" s="11"/>
      <c r="H30" s="10" t="s">
        <v>91</v>
      </c>
      <c r="I30" s="10" t="s">
        <v>53</v>
      </c>
      <c r="J30" s="10" t="s">
        <v>54</v>
      </c>
      <c r="K30" s="11"/>
      <c r="L30" s="10" t="s">
        <v>315</v>
      </c>
      <c r="M30" s="11"/>
      <c r="N30" s="10" t="s">
        <v>316</v>
      </c>
      <c r="O30" s="11"/>
      <c r="P30" s="11"/>
      <c r="Q30" s="10" t="s">
        <v>317</v>
      </c>
      <c r="R30" s="11"/>
      <c r="S30" s="10" t="s">
        <v>318</v>
      </c>
      <c r="T30" s="10" t="s">
        <v>319</v>
      </c>
      <c r="U30" s="10" t="s">
        <v>320</v>
      </c>
      <c r="V30" s="11"/>
      <c r="W30" s="10" t="s">
        <v>321</v>
      </c>
      <c r="X30" s="10" t="s">
        <v>80</v>
      </c>
      <c r="Y30" s="10" t="s">
        <v>80</v>
      </c>
      <c r="Z30" s="10" t="s">
        <v>330</v>
      </c>
      <c r="AA30" s="10" t="s">
        <v>330</v>
      </c>
      <c r="AB30" s="11"/>
      <c r="AC30" s="11"/>
      <c r="AD30" s="11"/>
      <c r="AE30" s="11"/>
      <c r="AF30" s="12">
        <v>150</v>
      </c>
      <c r="AG30" s="11"/>
      <c r="AH30" s="10" t="s">
        <v>323</v>
      </c>
      <c r="AI30" s="11"/>
      <c r="AJ30" s="11"/>
      <c r="AK30" s="10" t="s">
        <v>324</v>
      </c>
      <c r="AL30" s="11"/>
      <c r="AM30" s="11"/>
      <c r="AN30" s="11"/>
      <c r="AO30" s="11"/>
      <c r="AP30" s="11"/>
      <c r="AQ30" s="11"/>
      <c r="AR30" s="10" t="s">
        <v>325</v>
      </c>
      <c r="AS30" s="10" t="s">
        <v>66</v>
      </c>
      <c r="AT30" s="10" t="s">
        <v>53</v>
      </c>
    </row>
    <row r="31" spans="1:46" ht="20" hidden="1" customHeight="1" x14ac:dyDescent="0.15">
      <c r="A31" s="8" t="s">
        <v>331</v>
      </c>
      <c r="B31" s="9" t="s">
        <v>332</v>
      </c>
      <c r="C31" s="10" t="s">
        <v>333</v>
      </c>
      <c r="D31" s="10" t="s">
        <v>334</v>
      </c>
      <c r="E31" s="10" t="s">
        <v>51</v>
      </c>
      <c r="F31" s="10" t="s">
        <v>314</v>
      </c>
      <c r="G31" s="11"/>
      <c r="H31" s="10" t="s">
        <v>91</v>
      </c>
      <c r="I31" s="10" t="s">
        <v>53</v>
      </c>
      <c r="J31" s="10" t="s">
        <v>54</v>
      </c>
      <c r="K31" s="11"/>
      <c r="L31" s="10" t="s">
        <v>315</v>
      </c>
      <c r="M31" s="11"/>
      <c r="N31" s="10" t="s">
        <v>316</v>
      </c>
      <c r="O31" s="11"/>
      <c r="P31" s="11"/>
      <c r="Q31" s="10" t="s">
        <v>317</v>
      </c>
      <c r="R31" s="11"/>
      <c r="S31" s="10" t="s">
        <v>318</v>
      </c>
      <c r="T31" s="10" t="s">
        <v>319</v>
      </c>
      <c r="U31" s="10" t="s">
        <v>320</v>
      </c>
      <c r="V31" s="11"/>
      <c r="W31" s="10" t="s">
        <v>321</v>
      </c>
      <c r="X31" s="10" t="s">
        <v>80</v>
      </c>
      <c r="Y31" s="10" t="s">
        <v>80</v>
      </c>
      <c r="Z31" s="10" t="s">
        <v>335</v>
      </c>
      <c r="AA31" s="10" t="s">
        <v>335</v>
      </c>
      <c r="AB31" s="11"/>
      <c r="AC31" s="11"/>
      <c r="AD31" s="11"/>
      <c r="AE31" s="11"/>
      <c r="AF31" s="12">
        <v>1700</v>
      </c>
      <c r="AG31" s="11"/>
      <c r="AH31" s="10" t="s">
        <v>323</v>
      </c>
      <c r="AI31" s="11"/>
      <c r="AJ31" s="11"/>
      <c r="AK31" s="10" t="s">
        <v>324</v>
      </c>
      <c r="AL31" s="11"/>
      <c r="AM31" s="11"/>
      <c r="AN31" s="11"/>
      <c r="AO31" s="11"/>
      <c r="AP31" s="11"/>
      <c r="AQ31" s="11"/>
      <c r="AR31" s="10" t="s">
        <v>325</v>
      </c>
      <c r="AS31" s="10" t="s">
        <v>66</v>
      </c>
      <c r="AT31" s="10" t="s">
        <v>53</v>
      </c>
    </row>
    <row r="32" spans="1:46" ht="20" hidden="1" customHeight="1" x14ac:dyDescent="0.15">
      <c r="A32" s="8" t="s">
        <v>336</v>
      </c>
      <c r="B32" s="9" t="s">
        <v>337</v>
      </c>
      <c r="C32" s="10" t="s">
        <v>338</v>
      </c>
      <c r="D32" s="10" t="s">
        <v>339</v>
      </c>
      <c r="E32" s="10" t="s">
        <v>51</v>
      </c>
      <c r="F32" s="10" t="s">
        <v>314</v>
      </c>
      <c r="G32" s="11"/>
      <c r="H32" s="10" t="s">
        <v>91</v>
      </c>
      <c r="I32" s="10" t="s">
        <v>53</v>
      </c>
      <c r="J32" s="10" t="s">
        <v>54</v>
      </c>
      <c r="K32" s="11"/>
      <c r="L32" s="10" t="s">
        <v>315</v>
      </c>
      <c r="M32" s="11"/>
      <c r="N32" s="10" t="s">
        <v>316</v>
      </c>
      <c r="O32" s="11"/>
      <c r="P32" s="11"/>
      <c r="Q32" s="10" t="s">
        <v>317</v>
      </c>
      <c r="R32" s="11"/>
      <c r="S32" s="10" t="s">
        <v>318</v>
      </c>
      <c r="T32" s="10" t="s">
        <v>319</v>
      </c>
      <c r="U32" s="10" t="s">
        <v>320</v>
      </c>
      <c r="V32" s="11"/>
      <c r="W32" s="10" t="s">
        <v>321</v>
      </c>
      <c r="X32" s="10" t="s">
        <v>80</v>
      </c>
      <c r="Y32" s="10" t="s">
        <v>80</v>
      </c>
      <c r="Z32" s="10" t="s">
        <v>340</v>
      </c>
      <c r="AA32" s="10" t="s">
        <v>340</v>
      </c>
      <c r="AB32" s="11"/>
      <c r="AC32" s="11"/>
      <c r="AD32" s="11"/>
      <c r="AE32" s="11"/>
      <c r="AF32" s="12">
        <v>150</v>
      </c>
      <c r="AG32" s="11"/>
      <c r="AH32" s="10" t="s">
        <v>323</v>
      </c>
      <c r="AI32" s="11"/>
      <c r="AJ32" s="11"/>
      <c r="AK32" s="11"/>
      <c r="AL32" s="11"/>
      <c r="AM32" s="11"/>
      <c r="AN32" s="11"/>
      <c r="AO32" s="11"/>
      <c r="AP32" s="11"/>
      <c r="AQ32" s="11"/>
      <c r="AR32" s="10" t="s">
        <v>325</v>
      </c>
      <c r="AS32" s="10" t="s">
        <v>66</v>
      </c>
      <c r="AT32" s="10" t="s">
        <v>53</v>
      </c>
    </row>
    <row r="33" spans="1:46" ht="20" hidden="1" customHeight="1" x14ac:dyDescent="0.15">
      <c r="A33" s="8" t="s">
        <v>341</v>
      </c>
      <c r="B33" s="9" t="s">
        <v>342</v>
      </c>
      <c r="C33" s="10" t="s">
        <v>343</v>
      </c>
      <c r="D33" s="10" t="s">
        <v>344</v>
      </c>
      <c r="E33" s="10" t="s">
        <v>51</v>
      </c>
      <c r="F33" s="10" t="s">
        <v>314</v>
      </c>
      <c r="G33" s="11"/>
      <c r="H33" s="10" t="s">
        <v>91</v>
      </c>
      <c r="I33" s="10" t="s">
        <v>53</v>
      </c>
      <c r="J33" s="10" t="s">
        <v>54</v>
      </c>
      <c r="K33" s="11"/>
      <c r="L33" s="10" t="s">
        <v>315</v>
      </c>
      <c r="M33" s="11"/>
      <c r="N33" s="10" t="s">
        <v>316</v>
      </c>
      <c r="O33" s="11"/>
      <c r="P33" s="11"/>
      <c r="Q33" s="10" t="s">
        <v>317</v>
      </c>
      <c r="R33" s="11"/>
      <c r="S33" s="10" t="s">
        <v>318</v>
      </c>
      <c r="T33" s="10" t="s">
        <v>319</v>
      </c>
      <c r="U33" s="10" t="s">
        <v>320</v>
      </c>
      <c r="V33" s="11"/>
      <c r="W33" s="10" t="s">
        <v>321</v>
      </c>
      <c r="X33" s="10" t="s">
        <v>80</v>
      </c>
      <c r="Y33" s="10" t="s">
        <v>80</v>
      </c>
      <c r="Z33" s="10" t="s">
        <v>345</v>
      </c>
      <c r="AA33" s="10" t="s">
        <v>345</v>
      </c>
      <c r="AB33" s="11"/>
      <c r="AC33" s="11"/>
      <c r="AD33" s="11"/>
      <c r="AE33" s="11"/>
      <c r="AF33" s="12">
        <v>250</v>
      </c>
      <c r="AG33" s="11"/>
      <c r="AH33" s="10" t="s">
        <v>323</v>
      </c>
      <c r="AI33" s="11"/>
      <c r="AJ33" s="11"/>
      <c r="AK33" s="11"/>
      <c r="AL33" s="11"/>
      <c r="AM33" s="11"/>
      <c r="AN33" s="11"/>
      <c r="AO33" s="11"/>
      <c r="AP33" s="11"/>
      <c r="AQ33" s="11"/>
      <c r="AR33" s="10" t="s">
        <v>325</v>
      </c>
      <c r="AS33" s="10" t="s">
        <v>66</v>
      </c>
      <c r="AT33" s="10" t="s">
        <v>53</v>
      </c>
    </row>
    <row r="34" spans="1:46" ht="20" hidden="1" customHeight="1" x14ac:dyDescent="0.15">
      <c r="A34" s="8" t="s">
        <v>346</v>
      </c>
      <c r="B34" s="9" t="s">
        <v>347</v>
      </c>
      <c r="C34" s="10" t="s">
        <v>348</v>
      </c>
      <c r="D34" s="10" t="s">
        <v>349</v>
      </c>
      <c r="E34" s="10" t="s">
        <v>51</v>
      </c>
      <c r="F34" s="10" t="s">
        <v>314</v>
      </c>
      <c r="G34" s="11"/>
      <c r="H34" s="10" t="s">
        <v>91</v>
      </c>
      <c r="I34" s="10" t="s">
        <v>53</v>
      </c>
      <c r="J34" s="10" t="s">
        <v>54</v>
      </c>
      <c r="K34" s="11"/>
      <c r="L34" s="10" t="s">
        <v>315</v>
      </c>
      <c r="M34" s="11"/>
      <c r="N34" s="10" t="s">
        <v>316</v>
      </c>
      <c r="O34" s="11"/>
      <c r="P34" s="11"/>
      <c r="Q34" s="10" t="s">
        <v>135</v>
      </c>
      <c r="R34" s="11"/>
      <c r="S34" s="10" t="s">
        <v>318</v>
      </c>
      <c r="T34" s="10" t="s">
        <v>319</v>
      </c>
      <c r="U34" s="10" t="s">
        <v>320</v>
      </c>
      <c r="V34" s="11"/>
      <c r="W34" s="10" t="s">
        <v>321</v>
      </c>
      <c r="X34" s="10" t="s">
        <v>80</v>
      </c>
      <c r="Y34" s="10" t="s">
        <v>80</v>
      </c>
      <c r="Z34" s="10" t="s">
        <v>350</v>
      </c>
      <c r="AA34" s="10" t="s">
        <v>350</v>
      </c>
      <c r="AB34" s="11"/>
      <c r="AC34" s="11"/>
      <c r="AD34" s="11"/>
      <c r="AE34" s="11"/>
      <c r="AF34" s="12">
        <v>9</v>
      </c>
      <c r="AG34" s="11"/>
      <c r="AH34" s="10" t="s">
        <v>323</v>
      </c>
      <c r="AI34" s="11"/>
      <c r="AJ34" s="11"/>
      <c r="AK34" s="11"/>
      <c r="AL34" s="11"/>
      <c r="AM34" s="11"/>
      <c r="AN34" s="11"/>
      <c r="AO34" s="11"/>
      <c r="AP34" s="11"/>
      <c r="AQ34" s="11"/>
      <c r="AR34" s="10" t="s">
        <v>325</v>
      </c>
      <c r="AS34" s="10" t="s">
        <v>66</v>
      </c>
      <c r="AT34" s="10" t="s">
        <v>53</v>
      </c>
    </row>
    <row r="35" spans="1:46" ht="20" hidden="1" customHeight="1" x14ac:dyDescent="0.15">
      <c r="A35" s="8" t="s">
        <v>351</v>
      </c>
      <c r="B35" s="9" t="s">
        <v>352</v>
      </c>
      <c r="C35" s="10" t="s">
        <v>353</v>
      </c>
      <c r="D35" s="10" t="s">
        <v>354</v>
      </c>
      <c r="E35" s="10" t="s">
        <v>51</v>
      </c>
      <c r="F35" s="10" t="s">
        <v>314</v>
      </c>
      <c r="G35" s="11"/>
      <c r="H35" s="10" t="s">
        <v>91</v>
      </c>
      <c r="I35" s="10" t="s">
        <v>53</v>
      </c>
      <c r="J35" s="10" t="s">
        <v>54</v>
      </c>
      <c r="K35" s="11"/>
      <c r="L35" s="10" t="s">
        <v>315</v>
      </c>
      <c r="M35" s="11"/>
      <c r="N35" s="10" t="s">
        <v>316</v>
      </c>
      <c r="O35" s="11"/>
      <c r="P35" s="11"/>
      <c r="Q35" s="10" t="s">
        <v>355</v>
      </c>
      <c r="R35" s="11"/>
      <c r="S35" s="10" t="s">
        <v>318</v>
      </c>
      <c r="T35" s="10" t="s">
        <v>319</v>
      </c>
      <c r="U35" s="10" t="s">
        <v>320</v>
      </c>
      <c r="V35" s="11"/>
      <c r="W35" s="10" t="s">
        <v>321</v>
      </c>
      <c r="X35" s="10" t="s">
        <v>80</v>
      </c>
      <c r="Y35" s="10" t="s">
        <v>80</v>
      </c>
      <c r="Z35" s="10" t="s">
        <v>356</v>
      </c>
      <c r="AA35" s="10" t="s">
        <v>356</v>
      </c>
      <c r="AB35" s="11"/>
      <c r="AC35" s="11"/>
      <c r="AD35" s="11"/>
      <c r="AE35" s="11"/>
      <c r="AF35" s="12">
        <v>50</v>
      </c>
      <c r="AG35" s="11"/>
      <c r="AH35" s="10" t="s">
        <v>323</v>
      </c>
      <c r="AI35" s="11"/>
      <c r="AJ35" s="11"/>
      <c r="AK35" s="11"/>
      <c r="AL35" s="11"/>
      <c r="AM35" s="11"/>
      <c r="AN35" s="11"/>
      <c r="AO35" s="11"/>
      <c r="AP35" s="11"/>
      <c r="AQ35" s="11"/>
      <c r="AR35" s="10" t="s">
        <v>325</v>
      </c>
      <c r="AS35" s="10" t="s">
        <v>66</v>
      </c>
      <c r="AT35" s="10" t="s">
        <v>53</v>
      </c>
    </row>
    <row r="36" spans="1:46" ht="20" hidden="1" customHeight="1" x14ac:dyDescent="0.15">
      <c r="A36" s="8" t="s">
        <v>357</v>
      </c>
      <c r="B36" s="9" t="s">
        <v>358</v>
      </c>
      <c r="C36" s="10" t="s">
        <v>359</v>
      </c>
      <c r="D36" s="10" t="s">
        <v>360</v>
      </c>
      <c r="E36" s="10" t="s">
        <v>51</v>
      </c>
      <c r="F36" s="10" t="s">
        <v>314</v>
      </c>
      <c r="G36" s="11"/>
      <c r="H36" s="10" t="s">
        <v>91</v>
      </c>
      <c r="I36" s="10" t="s">
        <v>53</v>
      </c>
      <c r="J36" s="10" t="s">
        <v>54</v>
      </c>
      <c r="K36" s="11"/>
      <c r="L36" s="10" t="s">
        <v>315</v>
      </c>
      <c r="M36" s="11"/>
      <c r="N36" s="10" t="s">
        <v>316</v>
      </c>
      <c r="O36" s="11"/>
      <c r="P36" s="11"/>
      <c r="Q36" s="10" t="s">
        <v>361</v>
      </c>
      <c r="R36" s="11"/>
      <c r="S36" s="10" t="s">
        <v>318</v>
      </c>
      <c r="T36" s="10" t="s">
        <v>319</v>
      </c>
      <c r="U36" s="10" t="s">
        <v>320</v>
      </c>
      <c r="V36" s="11"/>
      <c r="W36" s="10" t="s">
        <v>321</v>
      </c>
      <c r="X36" s="10" t="s">
        <v>80</v>
      </c>
      <c r="Y36" s="10" t="s">
        <v>80</v>
      </c>
      <c r="Z36" s="10" t="s">
        <v>362</v>
      </c>
      <c r="AA36" s="10" t="s">
        <v>362</v>
      </c>
      <c r="AB36" s="11"/>
      <c r="AC36" s="11"/>
      <c r="AD36" s="11"/>
      <c r="AE36" s="11"/>
      <c r="AF36" s="12">
        <v>10</v>
      </c>
      <c r="AG36" s="11"/>
      <c r="AH36" s="10" t="s">
        <v>323</v>
      </c>
      <c r="AI36" s="11"/>
      <c r="AJ36" s="11"/>
      <c r="AK36" s="11"/>
      <c r="AL36" s="11"/>
      <c r="AM36" s="11"/>
      <c r="AN36" s="11"/>
      <c r="AO36" s="11"/>
      <c r="AP36" s="11"/>
      <c r="AQ36" s="11"/>
      <c r="AR36" s="10" t="s">
        <v>325</v>
      </c>
      <c r="AS36" s="10" t="s">
        <v>66</v>
      </c>
      <c r="AT36" s="10" t="s">
        <v>53</v>
      </c>
    </row>
    <row r="37" spans="1:46" ht="20" hidden="1" customHeight="1" x14ac:dyDescent="0.15">
      <c r="A37" s="8" t="s">
        <v>363</v>
      </c>
      <c r="B37" s="9" t="s">
        <v>364</v>
      </c>
      <c r="C37" s="10" t="s">
        <v>365</v>
      </c>
      <c r="D37" s="10" t="s">
        <v>366</v>
      </c>
      <c r="E37" s="10" t="s">
        <v>51</v>
      </c>
      <c r="F37" s="10" t="s">
        <v>314</v>
      </c>
      <c r="G37" s="11"/>
      <c r="H37" s="10" t="s">
        <v>91</v>
      </c>
      <c r="I37" s="10" t="s">
        <v>53</v>
      </c>
      <c r="J37" s="10" t="s">
        <v>54</v>
      </c>
      <c r="K37" s="11"/>
      <c r="L37" s="10" t="s">
        <v>315</v>
      </c>
      <c r="M37" s="11"/>
      <c r="N37" s="10" t="s">
        <v>316</v>
      </c>
      <c r="O37" s="11"/>
      <c r="P37" s="11"/>
      <c r="Q37" s="10" t="s">
        <v>317</v>
      </c>
      <c r="R37" s="11"/>
      <c r="S37" s="10" t="s">
        <v>318</v>
      </c>
      <c r="T37" s="10" t="s">
        <v>319</v>
      </c>
      <c r="U37" s="10" t="s">
        <v>320</v>
      </c>
      <c r="V37" s="11"/>
      <c r="W37" s="10" t="s">
        <v>321</v>
      </c>
      <c r="X37" s="10" t="s">
        <v>80</v>
      </c>
      <c r="Y37" s="10" t="s">
        <v>80</v>
      </c>
      <c r="Z37" s="10" t="s">
        <v>367</v>
      </c>
      <c r="AA37" s="10" t="s">
        <v>367</v>
      </c>
      <c r="AB37" s="11"/>
      <c r="AC37" s="11"/>
      <c r="AD37" s="11"/>
      <c r="AE37" s="11"/>
      <c r="AF37" s="12">
        <v>200</v>
      </c>
      <c r="AG37" s="11"/>
      <c r="AH37" s="10" t="s">
        <v>323</v>
      </c>
      <c r="AI37" s="11"/>
      <c r="AJ37" s="11"/>
      <c r="AK37" s="11"/>
      <c r="AL37" s="11"/>
      <c r="AM37" s="11"/>
      <c r="AN37" s="11"/>
      <c r="AO37" s="11"/>
      <c r="AP37" s="11"/>
      <c r="AQ37" s="11"/>
      <c r="AR37" s="10" t="s">
        <v>325</v>
      </c>
      <c r="AS37" s="10" t="s">
        <v>66</v>
      </c>
      <c r="AT37" s="10" t="s">
        <v>53</v>
      </c>
    </row>
    <row r="38" spans="1:46" ht="20" hidden="1" customHeight="1" x14ac:dyDescent="0.15">
      <c r="A38" s="8" t="s">
        <v>368</v>
      </c>
      <c r="B38" s="9" t="s">
        <v>369</v>
      </c>
      <c r="C38" s="10" t="s">
        <v>370</v>
      </c>
      <c r="D38" s="10" t="s">
        <v>371</v>
      </c>
      <c r="E38" s="10" t="s">
        <v>51</v>
      </c>
      <c r="F38" s="10" t="s">
        <v>314</v>
      </c>
      <c r="G38" s="11"/>
      <c r="H38" s="10" t="s">
        <v>91</v>
      </c>
      <c r="I38" s="10" t="s">
        <v>53</v>
      </c>
      <c r="J38" s="10" t="s">
        <v>54</v>
      </c>
      <c r="K38" s="11"/>
      <c r="L38" s="10" t="s">
        <v>372</v>
      </c>
      <c r="M38" s="11"/>
      <c r="N38" s="10" t="s">
        <v>316</v>
      </c>
      <c r="O38" s="11"/>
      <c r="P38" s="11"/>
      <c r="Q38" s="10" t="s">
        <v>94</v>
      </c>
      <c r="R38" s="11"/>
      <c r="S38" s="10" t="s">
        <v>318</v>
      </c>
      <c r="T38" s="10" t="s">
        <v>319</v>
      </c>
      <c r="U38" s="10" t="s">
        <v>320</v>
      </c>
      <c r="V38" s="11"/>
      <c r="W38" s="10" t="s">
        <v>321</v>
      </c>
      <c r="X38" s="10" t="s">
        <v>80</v>
      </c>
      <c r="Y38" s="10" t="s">
        <v>80</v>
      </c>
      <c r="Z38" s="10" t="s">
        <v>373</v>
      </c>
      <c r="AA38" s="10" t="s">
        <v>373</v>
      </c>
      <c r="AB38" s="11"/>
      <c r="AC38" s="11"/>
      <c r="AD38" s="11"/>
      <c r="AE38" s="11"/>
      <c r="AF38" s="12">
        <v>1800</v>
      </c>
      <c r="AG38" s="11"/>
      <c r="AH38" s="10" t="s">
        <v>323</v>
      </c>
      <c r="AI38" s="11"/>
      <c r="AJ38" s="11"/>
      <c r="AK38" s="11"/>
      <c r="AL38" s="11"/>
      <c r="AM38" s="11"/>
      <c r="AN38" s="11"/>
      <c r="AO38" s="11"/>
      <c r="AP38" s="11"/>
      <c r="AQ38" s="11"/>
      <c r="AR38" s="10" t="s">
        <v>325</v>
      </c>
      <c r="AS38" s="10" t="s">
        <v>66</v>
      </c>
      <c r="AT38" s="10" t="s">
        <v>53</v>
      </c>
    </row>
    <row r="39" spans="1:46" ht="20" hidden="1" customHeight="1" x14ac:dyDescent="0.15">
      <c r="A39" s="8" t="s">
        <v>374</v>
      </c>
      <c r="B39" s="9" t="s">
        <v>375</v>
      </c>
      <c r="C39" s="10" t="s">
        <v>376</v>
      </c>
      <c r="D39" s="10" t="s">
        <v>377</v>
      </c>
      <c r="E39" s="10" t="s">
        <v>51</v>
      </c>
      <c r="F39" s="10" t="s">
        <v>314</v>
      </c>
      <c r="G39" s="11"/>
      <c r="H39" s="10" t="s">
        <v>378</v>
      </c>
      <c r="I39" s="10" t="s">
        <v>53</v>
      </c>
      <c r="J39" s="10" t="s">
        <v>54</v>
      </c>
      <c r="K39" s="11"/>
      <c r="L39" s="10" t="s">
        <v>315</v>
      </c>
      <c r="M39" s="11"/>
      <c r="N39" s="10" t="s">
        <v>316</v>
      </c>
      <c r="O39" s="11"/>
      <c r="P39" s="11"/>
      <c r="Q39" s="10" t="s">
        <v>379</v>
      </c>
      <c r="R39" s="11"/>
      <c r="S39" s="10" t="s">
        <v>318</v>
      </c>
      <c r="T39" s="10" t="s">
        <v>319</v>
      </c>
      <c r="U39" s="10" t="s">
        <v>320</v>
      </c>
      <c r="V39" s="11"/>
      <c r="W39" s="10" t="s">
        <v>321</v>
      </c>
      <c r="X39" s="10" t="s">
        <v>80</v>
      </c>
      <c r="Y39" s="10" t="s">
        <v>80</v>
      </c>
      <c r="Z39" s="10" t="s">
        <v>380</v>
      </c>
      <c r="AA39" s="10" t="s">
        <v>380</v>
      </c>
      <c r="AB39" s="11"/>
      <c r="AC39" s="11"/>
      <c r="AD39" s="11"/>
      <c r="AE39" s="11"/>
      <c r="AF39" s="12">
        <v>1200</v>
      </c>
      <c r="AG39" s="11"/>
      <c r="AH39" s="10" t="s">
        <v>323</v>
      </c>
      <c r="AI39" s="11"/>
      <c r="AJ39" s="11"/>
      <c r="AK39" s="11"/>
      <c r="AL39" s="11"/>
      <c r="AM39" s="11"/>
      <c r="AN39" s="11"/>
      <c r="AO39" s="11"/>
      <c r="AP39" s="11"/>
      <c r="AQ39" s="11"/>
      <c r="AR39" s="10" t="s">
        <v>325</v>
      </c>
      <c r="AS39" s="10" t="s">
        <v>66</v>
      </c>
      <c r="AT39" s="10" t="s">
        <v>53</v>
      </c>
    </row>
    <row r="40" spans="1:46" ht="20" hidden="1" customHeight="1" x14ac:dyDescent="0.15">
      <c r="A40" s="8" t="s">
        <v>381</v>
      </c>
      <c r="B40" s="9" t="s">
        <v>382</v>
      </c>
      <c r="C40" s="10" t="s">
        <v>383</v>
      </c>
      <c r="D40" s="10" t="s">
        <v>384</v>
      </c>
      <c r="E40" s="10" t="s">
        <v>51</v>
      </c>
      <c r="F40" s="10" t="s">
        <v>385</v>
      </c>
      <c r="G40" s="11"/>
      <c r="H40" s="10" t="s">
        <v>91</v>
      </c>
      <c r="I40" s="10" t="s">
        <v>53</v>
      </c>
      <c r="J40" s="10" t="s">
        <v>54</v>
      </c>
      <c r="K40" s="11"/>
      <c r="L40" s="10" t="s">
        <v>386</v>
      </c>
      <c r="M40" s="11"/>
      <c r="N40" s="10" t="s">
        <v>387</v>
      </c>
      <c r="O40" s="11"/>
      <c r="P40" s="11"/>
      <c r="Q40" s="10" t="s">
        <v>94</v>
      </c>
      <c r="R40" s="11"/>
      <c r="S40" s="10" t="s">
        <v>388</v>
      </c>
      <c r="T40" s="10" t="s">
        <v>389</v>
      </c>
      <c r="U40" s="10" t="s">
        <v>390</v>
      </c>
      <c r="V40" s="11"/>
      <c r="W40" s="10" t="s">
        <v>391</v>
      </c>
      <c r="X40" s="10" t="s">
        <v>80</v>
      </c>
      <c r="Y40" s="10" t="s">
        <v>80</v>
      </c>
      <c r="Z40" s="10" t="s">
        <v>392</v>
      </c>
      <c r="AA40" s="10" t="s">
        <v>392</v>
      </c>
      <c r="AB40" s="11"/>
      <c r="AC40" s="11"/>
      <c r="AD40" s="11"/>
      <c r="AE40" s="11"/>
      <c r="AF40" s="12">
        <v>100000</v>
      </c>
      <c r="AG40" s="11"/>
      <c r="AH40" s="10" t="s">
        <v>393</v>
      </c>
      <c r="AI40" s="11"/>
      <c r="AJ40" s="10" t="s">
        <v>394</v>
      </c>
      <c r="AK40" s="10" t="s">
        <v>395</v>
      </c>
      <c r="AL40" s="11"/>
      <c r="AM40" s="11"/>
      <c r="AN40" s="11"/>
      <c r="AO40" s="11"/>
      <c r="AP40" s="11"/>
      <c r="AQ40" s="11"/>
      <c r="AR40" s="10" t="s">
        <v>396</v>
      </c>
      <c r="AS40" s="10" t="s">
        <v>66</v>
      </c>
      <c r="AT40" s="10" t="s">
        <v>53</v>
      </c>
    </row>
    <row r="41" spans="1:46" ht="20" hidden="1" customHeight="1" x14ac:dyDescent="0.15">
      <c r="A41" s="8" t="s">
        <v>397</v>
      </c>
      <c r="B41" s="9" t="s">
        <v>398</v>
      </c>
      <c r="C41" s="10" t="s">
        <v>399</v>
      </c>
      <c r="D41" s="10" t="s">
        <v>400</v>
      </c>
      <c r="E41" s="10" t="s">
        <v>51</v>
      </c>
      <c r="F41" s="10" t="s">
        <v>385</v>
      </c>
      <c r="G41" s="11"/>
      <c r="H41" s="10" t="s">
        <v>91</v>
      </c>
      <c r="I41" s="10" t="s">
        <v>53</v>
      </c>
      <c r="J41" s="10" t="s">
        <v>54</v>
      </c>
      <c r="K41" s="11"/>
      <c r="L41" s="10" t="s">
        <v>401</v>
      </c>
      <c r="M41" s="11"/>
      <c r="N41" s="10" t="s">
        <v>387</v>
      </c>
      <c r="O41" s="11"/>
      <c r="P41" s="11"/>
      <c r="Q41" s="10" t="s">
        <v>94</v>
      </c>
      <c r="R41" s="11"/>
      <c r="S41" s="10" t="s">
        <v>388</v>
      </c>
      <c r="T41" s="10" t="s">
        <v>389</v>
      </c>
      <c r="U41" s="10" t="s">
        <v>390</v>
      </c>
      <c r="V41" s="11"/>
      <c r="W41" s="10" t="s">
        <v>391</v>
      </c>
      <c r="X41" s="10" t="s">
        <v>80</v>
      </c>
      <c r="Y41" s="10" t="s">
        <v>80</v>
      </c>
      <c r="Z41" s="10" t="s">
        <v>402</v>
      </c>
      <c r="AA41" s="10" t="s">
        <v>402</v>
      </c>
      <c r="AB41" s="11"/>
      <c r="AC41" s="11"/>
      <c r="AD41" s="11"/>
      <c r="AE41" s="11"/>
      <c r="AF41" s="12">
        <v>3500</v>
      </c>
      <c r="AG41" s="11"/>
      <c r="AH41" s="10" t="s">
        <v>403</v>
      </c>
      <c r="AI41" s="11"/>
      <c r="AJ41" s="10" t="s">
        <v>404</v>
      </c>
      <c r="AK41" s="10" t="s">
        <v>405</v>
      </c>
      <c r="AL41" s="11"/>
      <c r="AM41" s="11"/>
      <c r="AN41" s="11"/>
      <c r="AO41" s="11"/>
      <c r="AP41" s="11"/>
      <c r="AQ41" s="11"/>
      <c r="AR41" s="10" t="s">
        <v>406</v>
      </c>
      <c r="AS41" s="10" t="s">
        <v>66</v>
      </c>
      <c r="AT41" s="10" t="s">
        <v>53</v>
      </c>
    </row>
    <row r="42" spans="1:46" ht="20" hidden="1" customHeight="1" x14ac:dyDescent="0.15">
      <c r="A42" s="8" t="s">
        <v>407</v>
      </c>
      <c r="B42" s="9" t="s">
        <v>408</v>
      </c>
      <c r="C42" s="10" t="s">
        <v>409</v>
      </c>
      <c r="D42" s="10" t="s">
        <v>410</v>
      </c>
      <c r="E42" s="10" t="s">
        <v>51</v>
      </c>
      <c r="F42" s="10" t="s">
        <v>411</v>
      </c>
      <c r="G42" s="11"/>
      <c r="H42" s="10" t="s">
        <v>91</v>
      </c>
      <c r="I42" s="10" t="s">
        <v>53</v>
      </c>
      <c r="J42" s="10" t="s">
        <v>54</v>
      </c>
      <c r="K42" s="11"/>
      <c r="L42" s="10" t="s">
        <v>412</v>
      </c>
      <c r="M42" s="11"/>
      <c r="N42" s="10" t="s">
        <v>413</v>
      </c>
      <c r="O42" s="11"/>
      <c r="P42" s="11"/>
      <c r="Q42" s="10" t="s">
        <v>135</v>
      </c>
      <c r="R42" s="11"/>
      <c r="S42" s="10" t="s">
        <v>414</v>
      </c>
      <c r="T42" s="10" t="s">
        <v>415</v>
      </c>
      <c r="U42" s="10" t="s">
        <v>416</v>
      </c>
      <c r="V42" s="11"/>
      <c r="W42" s="10" t="s">
        <v>417</v>
      </c>
      <c r="X42" s="10" t="s">
        <v>80</v>
      </c>
      <c r="Y42" s="10" t="s">
        <v>80</v>
      </c>
      <c r="Z42" s="10" t="s">
        <v>418</v>
      </c>
      <c r="AA42" s="10" t="s">
        <v>419</v>
      </c>
      <c r="AB42" s="11"/>
      <c r="AC42" s="11"/>
      <c r="AD42" s="11"/>
      <c r="AE42" s="10" t="s">
        <v>420</v>
      </c>
      <c r="AF42" s="12">
        <v>6351124</v>
      </c>
      <c r="AG42" s="11"/>
      <c r="AH42" s="10" t="s">
        <v>421</v>
      </c>
      <c r="AI42" s="11"/>
      <c r="AJ42" s="10" t="s">
        <v>422</v>
      </c>
      <c r="AK42" s="10" t="s">
        <v>423</v>
      </c>
      <c r="AL42" s="11"/>
      <c r="AM42" s="11"/>
      <c r="AN42" s="11"/>
      <c r="AO42" s="11"/>
      <c r="AP42" s="11"/>
      <c r="AQ42" s="11"/>
      <c r="AR42" s="10" t="s">
        <v>424</v>
      </c>
      <c r="AS42" s="10" t="s">
        <v>66</v>
      </c>
      <c r="AT42" s="10" t="s">
        <v>53</v>
      </c>
    </row>
    <row r="43" spans="1:46" ht="20" hidden="1" customHeight="1" x14ac:dyDescent="0.15">
      <c r="A43" s="8" t="s">
        <v>425</v>
      </c>
      <c r="B43" s="9" t="s">
        <v>426</v>
      </c>
      <c r="C43" s="10" t="s">
        <v>427</v>
      </c>
      <c r="D43" s="10" t="s">
        <v>428</v>
      </c>
      <c r="E43" s="10" t="s">
        <v>51</v>
      </c>
      <c r="F43" s="10" t="s">
        <v>411</v>
      </c>
      <c r="G43" s="11"/>
      <c r="H43" s="10" t="s">
        <v>91</v>
      </c>
      <c r="I43" s="10" t="s">
        <v>53</v>
      </c>
      <c r="J43" s="10" t="s">
        <v>54</v>
      </c>
      <c r="K43" s="11"/>
      <c r="L43" s="10" t="s">
        <v>429</v>
      </c>
      <c r="M43" s="11"/>
      <c r="N43" s="10" t="s">
        <v>413</v>
      </c>
      <c r="O43" s="11"/>
      <c r="P43" s="11"/>
      <c r="Q43" s="10" t="s">
        <v>135</v>
      </c>
      <c r="R43" s="11"/>
      <c r="S43" s="10" t="s">
        <v>414</v>
      </c>
      <c r="T43" s="10" t="s">
        <v>415</v>
      </c>
      <c r="U43" s="10" t="s">
        <v>416</v>
      </c>
      <c r="V43" s="11"/>
      <c r="W43" s="10" t="s">
        <v>417</v>
      </c>
      <c r="X43" s="10" t="s">
        <v>80</v>
      </c>
      <c r="Y43" s="10" t="s">
        <v>80</v>
      </c>
      <c r="Z43" s="10" t="s">
        <v>430</v>
      </c>
      <c r="AA43" s="10" t="s">
        <v>431</v>
      </c>
      <c r="AB43" s="11"/>
      <c r="AC43" s="11"/>
      <c r="AD43" s="11"/>
      <c r="AE43" s="10" t="s">
        <v>432</v>
      </c>
      <c r="AF43" s="12">
        <v>69745</v>
      </c>
      <c r="AG43" s="11"/>
      <c r="AH43" s="10" t="s">
        <v>433</v>
      </c>
      <c r="AI43" s="11"/>
      <c r="AJ43" s="10" t="s">
        <v>422</v>
      </c>
      <c r="AK43" s="10" t="s">
        <v>423</v>
      </c>
      <c r="AL43" s="11"/>
      <c r="AM43" s="11"/>
      <c r="AN43" s="11"/>
      <c r="AO43" s="11"/>
      <c r="AP43" s="11"/>
      <c r="AQ43" s="11"/>
      <c r="AR43" s="10" t="s">
        <v>434</v>
      </c>
      <c r="AS43" s="10" t="s">
        <v>66</v>
      </c>
      <c r="AT43" s="10" t="s">
        <v>53</v>
      </c>
    </row>
    <row r="44" spans="1:46" ht="20" hidden="1" customHeight="1" x14ac:dyDescent="0.15">
      <c r="A44" s="8" t="s">
        <v>435</v>
      </c>
      <c r="B44" s="9" t="s">
        <v>436</v>
      </c>
      <c r="C44" s="10" t="s">
        <v>437</v>
      </c>
      <c r="D44" s="10" t="s">
        <v>438</v>
      </c>
      <c r="E44" s="10" t="s">
        <v>51</v>
      </c>
      <c r="F44" s="10" t="s">
        <v>411</v>
      </c>
      <c r="G44" s="11"/>
      <c r="H44" s="10" t="s">
        <v>91</v>
      </c>
      <c r="I44" s="10" t="s">
        <v>53</v>
      </c>
      <c r="J44" s="10" t="s">
        <v>54</v>
      </c>
      <c r="K44" s="11"/>
      <c r="L44" s="10" t="s">
        <v>429</v>
      </c>
      <c r="M44" s="11"/>
      <c r="N44" s="10" t="s">
        <v>413</v>
      </c>
      <c r="O44" s="11"/>
      <c r="P44" s="11"/>
      <c r="Q44" s="10" t="s">
        <v>135</v>
      </c>
      <c r="R44" s="11"/>
      <c r="S44" s="10" t="s">
        <v>414</v>
      </c>
      <c r="T44" s="10" t="s">
        <v>415</v>
      </c>
      <c r="U44" s="10" t="s">
        <v>416</v>
      </c>
      <c r="V44" s="11"/>
      <c r="W44" s="10" t="s">
        <v>417</v>
      </c>
      <c r="X44" s="10" t="s">
        <v>80</v>
      </c>
      <c r="Y44" s="10" t="s">
        <v>80</v>
      </c>
      <c r="Z44" s="10" t="s">
        <v>439</v>
      </c>
      <c r="AA44" s="10" t="s">
        <v>440</v>
      </c>
      <c r="AB44" s="11"/>
      <c r="AC44" s="11"/>
      <c r="AD44" s="11"/>
      <c r="AE44" s="10" t="s">
        <v>432</v>
      </c>
      <c r="AF44" s="12">
        <v>219843</v>
      </c>
      <c r="AG44" s="11"/>
      <c r="AH44" s="10" t="s">
        <v>433</v>
      </c>
      <c r="AI44" s="11"/>
      <c r="AJ44" s="10" t="s">
        <v>441</v>
      </c>
      <c r="AK44" s="10" t="s">
        <v>442</v>
      </c>
      <c r="AL44" s="11"/>
      <c r="AM44" s="11"/>
      <c r="AN44" s="11"/>
      <c r="AO44" s="11"/>
      <c r="AP44" s="11"/>
      <c r="AQ44" s="11"/>
      <c r="AR44" s="10" t="s">
        <v>443</v>
      </c>
      <c r="AS44" s="10" t="s">
        <v>66</v>
      </c>
      <c r="AT44" s="10" t="s">
        <v>53</v>
      </c>
    </row>
    <row r="45" spans="1:46" ht="20" hidden="1" customHeight="1" x14ac:dyDescent="0.15">
      <c r="A45" s="8" t="s">
        <v>444</v>
      </c>
      <c r="B45" s="9" t="s">
        <v>445</v>
      </c>
      <c r="C45" s="10" t="s">
        <v>446</v>
      </c>
      <c r="D45" s="10" t="s">
        <v>447</v>
      </c>
      <c r="E45" s="10" t="s">
        <v>51</v>
      </c>
      <c r="F45" s="10" t="s">
        <v>411</v>
      </c>
      <c r="G45" s="11"/>
      <c r="H45" s="10" t="s">
        <v>91</v>
      </c>
      <c r="I45" s="10" t="s">
        <v>53</v>
      </c>
      <c r="J45" s="10" t="s">
        <v>54</v>
      </c>
      <c r="K45" s="11"/>
      <c r="L45" s="10" t="s">
        <v>429</v>
      </c>
      <c r="M45" s="11"/>
      <c r="N45" s="10" t="s">
        <v>413</v>
      </c>
      <c r="O45" s="11"/>
      <c r="P45" s="11"/>
      <c r="Q45" s="10" t="s">
        <v>135</v>
      </c>
      <c r="R45" s="11"/>
      <c r="S45" s="10" t="s">
        <v>414</v>
      </c>
      <c r="T45" s="10" t="s">
        <v>415</v>
      </c>
      <c r="U45" s="10" t="s">
        <v>416</v>
      </c>
      <c r="V45" s="11"/>
      <c r="W45" s="10" t="s">
        <v>417</v>
      </c>
      <c r="X45" s="10" t="s">
        <v>80</v>
      </c>
      <c r="Y45" s="10" t="s">
        <v>80</v>
      </c>
      <c r="Z45" s="10" t="s">
        <v>448</v>
      </c>
      <c r="AA45" s="10" t="s">
        <v>449</v>
      </c>
      <c r="AB45" s="11"/>
      <c r="AC45" s="11"/>
      <c r="AD45" s="11"/>
      <c r="AE45" s="10" t="s">
        <v>432</v>
      </c>
      <c r="AF45" s="12">
        <v>146664</v>
      </c>
      <c r="AG45" s="11"/>
      <c r="AH45" s="10" t="s">
        <v>450</v>
      </c>
      <c r="AI45" s="11"/>
      <c r="AJ45" s="10" t="s">
        <v>451</v>
      </c>
      <c r="AK45" s="10" t="s">
        <v>452</v>
      </c>
      <c r="AL45" s="11"/>
      <c r="AM45" s="11"/>
      <c r="AN45" s="11"/>
      <c r="AO45" s="11"/>
      <c r="AP45" s="11"/>
      <c r="AQ45" s="11"/>
      <c r="AR45" s="10" t="s">
        <v>453</v>
      </c>
      <c r="AS45" s="10" t="s">
        <v>66</v>
      </c>
      <c r="AT45" s="10" t="s">
        <v>53</v>
      </c>
    </row>
    <row r="46" spans="1:46" ht="20" hidden="1" customHeight="1" x14ac:dyDescent="0.15">
      <c r="A46" s="8" t="s">
        <v>454</v>
      </c>
      <c r="B46" s="9" t="s">
        <v>455</v>
      </c>
      <c r="C46" s="10" t="s">
        <v>456</v>
      </c>
      <c r="D46" s="10" t="s">
        <v>457</v>
      </c>
      <c r="E46" s="10" t="s">
        <v>51</v>
      </c>
      <c r="F46" s="10" t="s">
        <v>458</v>
      </c>
      <c r="G46" s="11"/>
      <c r="H46" s="10" t="s">
        <v>459</v>
      </c>
      <c r="I46" s="10" t="s">
        <v>53</v>
      </c>
      <c r="J46" s="10" t="s">
        <v>54</v>
      </c>
      <c r="K46" s="11"/>
      <c r="L46" s="10" t="s">
        <v>460</v>
      </c>
      <c r="M46" s="11"/>
      <c r="N46" s="10" t="s">
        <v>461</v>
      </c>
      <c r="O46" s="11"/>
      <c r="P46" s="11"/>
      <c r="Q46" s="10" t="s">
        <v>75</v>
      </c>
      <c r="R46" s="11"/>
      <c r="S46" s="10" t="s">
        <v>462</v>
      </c>
      <c r="T46" s="10" t="s">
        <v>463</v>
      </c>
      <c r="U46" s="10" t="s">
        <v>464</v>
      </c>
      <c r="V46" s="11"/>
      <c r="W46" s="10" t="s">
        <v>465</v>
      </c>
      <c r="X46" s="10" t="s">
        <v>80</v>
      </c>
      <c r="Y46" s="10" t="s">
        <v>80</v>
      </c>
      <c r="Z46" s="10" t="s">
        <v>466</v>
      </c>
      <c r="AA46" s="10" t="s">
        <v>466</v>
      </c>
      <c r="AB46" s="11"/>
      <c r="AC46" s="11"/>
      <c r="AD46" s="11"/>
      <c r="AE46" s="11"/>
      <c r="AF46" s="12">
        <v>3500</v>
      </c>
      <c r="AG46" s="11"/>
      <c r="AH46" s="10" t="s">
        <v>467</v>
      </c>
      <c r="AI46" s="11"/>
      <c r="AJ46" s="10" t="s">
        <v>468</v>
      </c>
      <c r="AK46" s="10" t="s">
        <v>469</v>
      </c>
      <c r="AL46" s="11"/>
      <c r="AM46" s="11"/>
      <c r="AN46" s="11"/>
      <c r="AO46" s="11"/>
      <c r="AP46" s="11"/>
      <c r="AQ46" s="11"/>
      <c r="AR46" s="10" t="s">
        <v>470</v>
      </c>
      <c r="AS46" s="10" t="s">
        <v>66</v>
      </c>
      <c r="AT46" s="10" t="s">
        <v>53</v>
      </c>
    </row>
    <row r="47" spans="1:46" ht="20" hidden="1" customHeight="1" x14ac:dyDescent="0.15">
      <c r="A47" s="8" t="s">
        <v>471</v>
      </c>
      <c r="B47" s="9" t="s">
        <v>472</v>
      </c>
      <c r="C47" s="10" t="s">
        <v>473</v>
      </c>
      <c r="D47" s="10" t="s">
        <v>474</v>
      </c>
      <c r="E47" s="10" t="s">
        <v>51</v>
      </c>
      <c r="F47" s="10" t="s">
        <v>475</v>
      </c>
      <c r="G47" s="11"/>
      <c r="H47" s="10" t="s">
        <v>476</v>
      </c>
      <c r="I47" s="10" t="s">
        <v>53</v>
      </c>
      <c r="J47" s="10" t="s">
        <v>54</v>
      </c>
      <c r="K47" s="11"/>
      <c r="L47" s="10" t="s">
        <v>477</v>
      </c>
      <c r="M47" s="11"/>
      <c r="N47" s="10" t="s">
        <v>461</v>
      </c>
      <c r="O47" s="11"/>
      <c r="P47" s="11"/>
      <c r="Q47" s="10" t="s">
        <v>379</v>
      </c>
      <c r="R47" s="11"/>
      <c r="S47" s="10" t="s">
        <v>478</v>
      </c>
      <c r="T47" s="10" t="s">
        <v>479</v>
      </c>
      <c r="U47" s="10" t="s">
        <v>480</v>
      </c>
      <c r="V47" s="11"/>
      <c r="W47" s="10" t="s">
        <v>481</v>
      </c>
      <c r="X47" s="10" t="s">
        <v>80</v>
      </c>
      <c r="Y47" s="10" t="s">
        <v>80</v>
      </c>
      <c r="Z47" s="10" t="s">
        <v>482</v>
      </c>
      <c r="AA47" s="10" t="s">
        <v>482</v>
      </c>
      <c r="AB47" s="11"/>
      <c r="AC47" s="11"/>
      <c r="AD47" s="11"/>
      <c r="AE47" s="11"/>
      <c r="AF47" s="12">
        <v>3500</v>
      </c>
      <c r="AG47" s="11"/>
      <c r="AH47" s="10" t="s">
        <v>483</v>
      </c>
      <c r="AI47" s="11"/>
      <c r="AJ47" s="10" t="s">
        <v>484</v>
      </c>
      <c r="AK47" s="10" t="s">
        <v>485</v>
      </c>
      <c r="AL47" s="11"/>
      <c r="AM47" s="11"/>
      <c r="AN47" s="11"/>
      <c r="AO47" s="11"/>
      <c r="AP47" s="11"/>
      <c r="AQ47" s="11"/>
      <c r="AR47" s="10" t="s">
        <v>486</v>
      </c>
      <c r="AS47" s="10" t="s">
        <v>66</v>
      </c>
      <c r="AT47" s="10" t="s">
        <v>53</v>
      </c>
    </row>
    <row r="48" spans="1:46" ht="20" hidden="1" customHeight="1" x14ac:dyDescent="0.15">
      <c r="A48" s="8" t="s">
        <v>487</v>
      </c>
      <c r="B48" s="9" t="s">
        <v>488</v>
      </c>
      <c r="C48" s="10" t="s">
        <v>489</v>
      </c>
      <c r="D48" s="10" t="s">
        <v>490</v>
      </c>
      <c r="E48" s="10" t="s">
        <v>51</v>
      </c>
      <c r="F48" s="10" t="s">
        <v>475</v>
      </c>
      <c r="G48" s="11"/>
      <c r="H48" s="10" t="s">
        <v>91</v>
      </c>
      <c r="I48" s="10" t="s">
        <v>53</v>
      </c>
      <c r="J48" s="10" t="s">
        <v>54</v>
      </c>
      <c r="K48" s="11"/>
      <c r="L48" s="10" t="s">
        <v>477</v>
      </c>
      <c r="M48" s="11"/>
      <c r="N48" s="10" t="s">
        <v>461</v>
      </c>
      <c r="O48" s="11"/>
      <c r="P48" s="11"/>
      <c r="Q48" s="10" t="s">
        <v>135</v>
      </c>
      <c r="R48" s="11"/>
      <c r="S48" s="10" t="s">
        <v>478</v>
      </c>
      <c r="T48" s="10" t="s">
        <v>479</v>
      </c>
      <c r="U48" s="10" t="s">
        <v>480</v>
      </c>
      <c r="V48" s="11"/>
      <c r="W48" s="10" t="s">
        <v>481</v>
      </c>
      <c r="X48" s="10" t="s">
        <v>80</v>
      </c>
      <c r="Y48" s="10" t="s">
        <v>80</v>
      </c>
      <c r="Z48" s="10" t="s">
        <v>491</v>
      </c>
      <c r="AA48" s="10" t="s">
        <v>491</v>
      </c>
      <c r="AB48" s="11"/>
      <c r="AC48" s="11"/>
      <c r="AD48" s="11"/>
      <c r="AE48" s="11"/>
      <c r="AF48" s="12">
        <v>80000</v>
      </c>
      <c r="AG48" s="11"/>
      <c r="AH48" s="10" t="s">
        <v>232</v>
      </c>
      <c r="AI48" s="11"/>
      <c r="AJ48" s="10" t="s">
        <v>492</v>
      </c>
      <c r="AK48" s="10" t="s">
        <v>493</v>
      </c>
      <c r="AL48" s="11"/>
      <c r="AM48" s="11"/>
      <c r="AN48" s="11"/>
      <c r="AO48" s="11"/>
      <c r="AP48" s="11"/>
      <c r="AQ48" s="11"/>
      <c r="AR48" s="10" t="s">
        <v>494</v>
      </c>
      <c r="AS48" s="10" t="s">
        <v>66</v>
      </c>
      <c r="AT48" s="10" t="s">
        <v>53</v>
      </c>
    </row>
    <row r="49" spans="1:46" ht="20" hidden="1" customHeight="1" x14ac:dyDescent="0.15">
      <c r="A49" s="8" t="s">
        <v>495</v>
      </c>
      <c r="B49" s="9" t="s">
        <v>496</v>
      </c>
      <c r="C49" s="10" t="s">
        <v>497</v>
      </c>
      <c r="D49" s="10" t="s">
        <v>498</v>
      </c>
      <c r="E49" s="10" t="s">
        <v>51</v>
      </c>
      <c r="F49" s="10" t="s">
        <v>475</v>
      </c>
      <c r="G49" s="11"/>
      <c r="H49" s="10" t="s">
        <v>499</v>
      </c>
      <c r="I49" s="10" t="s">
        <v>53</v>
      </c>
      <c r="J49" s="10" t="s">
        <v>54</v>
      </c>
      <c r="K49" s="11"/>
      <c r="L49" s="10" t="s">
        <v>477</v>
      </c>
      <c r="M49" s="11"/>
      <c r="N49" s="10" t="s">
        <v>461</v>
      </c>
      <c r="O49" s="11"/>
      <c r="P49" s="11"/>
      <c r="Q49" s="10" t="s">
        <v>75</v>
      </c>
      <c r="R49" s="11"/>
      <c r="S49" s="10" t="s">
        <v>478</v>
      </c>
      <c r="T49" s="10" t="s">
        <v>479</v>
      </c>
      <c r="U49" s="10" t="s">
        <v>480</v>
      </c>
      <c r="V49" s="11"/>
      <c r="W49" s="10" t="s">
        <v>481</v>
      </c>
      <c r="X49" s="10" t="s">
        <v>80</v>
      </c>
      <c r="Y49" s="10" t="s">
        <v>80</v>
      </c>
      <c r="Z49" s="10" t="s">
        <v>500</v>
      </c>
      <c r="AA49" s="10" t="s">
        <v>500</v>
      </c>
      <c r="AB49" s="11"/>
      <c r="AC49" s="11"/>
      <c r="AD49" s="11"/>
      <c r="AE49" s="11"/>
      <c r="AF49" s="12">
        <v>80000</v>
      </c>
      <c r="AG49" s="11"/>
      <c r="AH49" s="10" t="s">
        <v>232</v>
      </c>
      <c r="AI49" s="11"/>
      <c r="AJ49" s="10" t="s">
        <v>501</v>
      </c>
      <c r="AK49" s="10" t="s">
        <v>502</v>
      </c>
      <c r="AL49" s="11"/>
      <c r="AM49" s="11"/>
      <c r="AN49" s="11"/>
      <c r="AO49" s="11"/>
      <c r="AP49" s="11"/>
      <c r="AQ49" s="11"/>
      <c r="AR49" s="10" t="s">
        <v>325</v>
      </c>
      <c r="AS49" s="10" t="s">
        <v>66</v>
      </c>
      <c r="AT49" s="10" t="s">
        <v>53</v>
      </c>
    </row>
    <row r="50" spans="1:46" ht="20" hidden="1" customHeight="1" x14ac:dyDescent="0.15">
      <c r="A50" s="8" t="s">
        <v>503</v>
      </c>
      <c r="B50" s="9" t="s">
        <v>504</v>
      </c>
      <c r="C50" s="10" t="s">
        <v>505</v>
      </c>
      <c r="D50" s="10" t="s">
        <v>506</v>
      </c>
      <c r="E50" s="10" t="s">
        <v>51</v>
      </c>
      <c r="F50" s="10" t="s">
        <v>475</v>
      </c>
      <c r="G50" s="11"/>
      <c r="H50" s="10" t="s">
        <v>91</v>
      </c>
      <c r="I50" s="10" t="s">
        <v>53</v>
      </c>
      <c r="J50" s="10" t="s">
        <v>54</v>
      </c>
      <c r="K50" s="11"/>
      <c r="L50" s="10" t="s">
        <v>477</v>
      </c>
      <c r="M50" s="11"/>
      <c r="N50" s="10" t="s">
        <v>461</v>
      </c>
      <c r="O50" s="11"/>
      <c r="P50" s="11"/>
      <c r="Q50" s="10" t="s">
        <v>75</v>
      </c>
      <c r="R50" s="11"/>
      <c r="S50" s="10" t="s">
        <v>478</v>
      </c>
      <c r="T50" s="10" t="s">
        <v>479</v>
      </c>
      <c r="U50" s="10" t="s">
        <v>480</v>
      </c>
      <c r="V50" s="11"/>
      <c r="W50" s="10" t="s">
        <v>481</v>
      </c>
      <c r="X50" s="10" t="s">
        <v>80</v>
      </c>
      <c r="Y50" s="10" t="s">
        <v>80</v>
      </c>
      <c r="Z50" s="10" t="s">
        <v>507</v>
      </c>
      <c r="AA50" s="10" t="s">
        <v>507</v>
      </c>
      <c r="AB50" s="11"/>
      <c r="AC50" s="11"/>
      <c r="AD50" s="11"/>
      <c r="AE50" s="11"/>
      <c r="AF50" s="12">
        <v>80000</v>
      </c>
      <c r="AG50" s="11"/>
      <c r="AH50" s="10" t="s">
        <v>508</v>
      </c>
      <c r="AI50" s="11"/>
      <c r="AJ50" s="10" t="s">
        <v>509</v>
      </c>
      <c r="AK50" s="10" t="s">
        <v>510</v>
      </c>
      <c r="AL50" s="11"/>
      <c r="AM50" s="11"/>
      <c r="AN50" s="11"/>
      <c r="AO50" s="11"/>
      <c r="AP50" s="11"/>
      <c r="AQ50" s="11"/>
      <c r="AR50" s="10" t="s">
        <v>325</v>
      </c>
      <c r="AS50" s="10" t="s">
        <v>66</v>
      </c>
      <c r="AT50" s="10" t="s">
        <v>53</v>
      </c>
    </row>
    <row r="51" spans="1:46" ht="20" hidden="1" customHeight="1" x14ac:dyDescent="0.15">
      <c r="A51" s="8" t="s">
        <v>511</v>
      </c>
      <c r="B51" s="9" t="s">
        <v>512</v>
      </c>
      <c r="C51" s="10" t="s">
        <v>513</v>
      </c>
      <c r="D51" s="10" t="s">
        <v>514</v>
      </c>
      <c r="E51" s="10" t="s">
        <v>51</v>
      </c>
      <c r="F51" s="10" t="s">
        <v>475</v>
      </c>
      <c r="G51" s="11"/>
      <c r="H51" s="10" t="s">
        <v>91</v>
      </c>
      <c r="I51" s="10" t="s">
        <v>53</v>
      </c>
      <c r="J51" s="10" t="s">
        <v>54</v>
      </c>
      <c r="K51" s="11"/>
      <c r="L51" s="10" t="s">
        <v>477</v>
      </c>
      <c r="M51" s="11"/>
      <c r="N51" s="10" t="s">
        <v>461</v>
      </c>
      <c r="O51" s="11"/>
      <c r="P51" s="11"/>
      <c r="Q51" s="10" t="s">
        <v>107</v>
      </c>
      <c r="R51" s="11"/>
      <c r="S51" s="10" t="s">
        <v>478</v>
      </c>
      <c r="T51" s="10" t="s">
        <v>479</v>
      </c>
      <c r="U51" s="10" t="s">
        <v>480</v>
      </c>
      <c r="V51" s="11"/>
      <c r="W51" s="10" t="s">
        <v>481</v>
      </c>
      <c r="X51" s="10" t="s">
        <v>80</v>
      </c>
      <c r="Y51" s="10" t="s">
        <v>80</v>
      </c>
      <c r="Z51" s="10" t="s">
        <v>515</v>
      </c>
      <c r="AA51" s="10" t="s">
        <v>515</v>
      </c>
      <c r="AB51" s="11"/>
      <c r="AC51" s="11"/>
      <c r="AD51" s="11"/>
      <c r="AE51" s="11"/>
      <c r="AF51" s="12">
        <v>1500</v>
      </c>
      <c r="AG51" s="11"/>
      <c r="AH51" s="10" t="s">
        <v>516</v>
      </c>
      <c r="AI51" s="11"/>
      <c r="AJ51" s="10" t="s">
        <v>517</v>
      </c>
      <c r="AK51" s="10" t="s">
        <v>510</v>
      </c>
      <c r="AL51" s="11"/>
      <c r="AM51" s="11"/>
      <c r="AN51" s="11"/>
      <c r="AO51" s="11"/>
      <c r="AP51" s="11"/>
      <c r="AQ51" s="11"/>
      <c r="AR51" s="10" t="s">
        <v>518</v>
      </c>
      <c r="AS51" s="10" t="s">
        <v>66</v>
      </c>
      <c r="AT51" s="10" t="s">
        <v>53</v>
      </c>
    </row>
    <row r="52" spans="1:46" ht="20" hidden="1" customHeight="1" x14ac:dyDescent="0.15">
      <c r="A52" s="8" t="s">
        <v>519</v>
      </c>
      <c r="B52" s="9" t="s">
        <v>520</v>
      </c>
      <c r="C52" s="10" t="s">
        <v>521</v>
      </c>
      <c r="D52" s="10" t="s">
        <v>522</v>
      </c>
      <c r="E52" s="10" t="s">
        <v>51</v>
      </c>
      <c r="F52" s="10" t="s">
        <v>475</v>
      </c>
      <c r="G52" s="11"/>
      <c r="H52" s="10" t="s">
        <v>91</v>
      </c>
      <c r="I52" s="10" t="s">
        <v>53</v>
      </c>
      <c r="J52" s="10" t="s">
        <v>54</v>
      </c>
      <c r="K52" s="11"/>
      <c r="L52" s="10" t="s">
        <v>477</v>
      </c>
      <c r="M52" s="11"/>
      <c r="N52" s="10" t="s">
        <v>461</v>
      </c>
      <c r="O52" s="11"/>
      <c r="P52" s="11"/>
      <c r="Q52" s="10" t="s">
        <v>107</v>
      </c>
      <c r="R52" s="11"/>
      <c r="S52" s="10" t="s">
        <v>478</v>
      </c>
      <c r="T52" s="10" t="s">
        <v>479</v>
      </c>
      <c r="U52" s="10" t="s">
        <v>480</v>
      </c>
      <c r="V52" s="11"/>
      <c r="W52" s="10" t="s">
        <v>481</v>
      </c>
      <c r="X52" s="10" t="s">
        <v>80</v>
      </c>
      <c r="Y52" s="10" t="s">
        <v>80</v>
      </c>
      <c r="Z52" s="10" t="s">
        <v>523</v>
      </c>
      <c r="AA52" s="10" t="s">
        <v>523</v>
      </c>
      <c r="AB52" s="11"/>
      <c r="AC52" s="11"/>
      <c r="AD52" s="11"/>
      <c r="AE52" s="11"/>
      <c r="AF52" s="12">
        <v>8784</v>
      </c>
      <c r="AG52" s="11"/>
      <c r="AH52" s="10" t="s">
        <v>516</v>
      </c>
      <c r="AI52" s="11"/>
      <c r="AJ52" s="10" t="s">
        <v>524</v>
      </c>
      <c r="AK52" s="10" t="s">
        <v>525</v>
      </c>
      <c r="AL52" s="11"/>
      <c r="AM52" s="11"/>
      <c r="AN52" s="11"/>
      <c r="AO52" s="11"/>
      <c r="AP52" s="11"/>
      <c r="AQ52" s="11"/>
      <c r="AR52" s="10" t="s">
        <v>325</v>
      </c>
      <c r="AS52" s="10" t="s">
        <v>66</v>
      </c>
      <c r="AT52" s="10" t="s">
        <v>53</v>
      </c>
    </row>
    <row r="53" spans="1:46" ht="20" hidden="1" customHeight="1" x14ac:dyDescent="0.15">
      <c r="A53" s="8" t="s">
        <v>526</v>
      </c>
      <c r="B53" s="9" t="s">
        <v>527</v>
      </c>
      <c r="C53" s="10" t="s">
        <v>528</v>
      </c>
      <c r="D53" s="10" t="s">
        <v>529</v>
      </c>
      <c r="E53" s="10" t="s">
        <v>51</v>
      </c>
      <c r="F53" s="10" t="s">
        <v>475</v>
      </c>
      <c r="G53" s="11"/>
      <c r="H53" s="10" t="s">
        <v>91</v>
      </c>
      <c r="I53" s="10" t="s">
        <v>53</v>
      </c>
      <c r="J53" s="10" t="s">
        <v>54</v>
      </c>
      <c r="K53" s="11"/>
      <c r="L53" s="10" t="s">
        <v>477</v>
      </c>
      <c r="M53" s="11"/>
      <c r="N53" s="10" t="s">
        <v>461</v>
      </c>
      <c r="O53" s="11"/>
      <c r="P53" s="11"/>
      <c r="Q53" s="10" t="s">
        <v>107</v>
      </c>
      <c r="R53" s="11"/>
      <c r="S53" s="10" t="s">
        <v>478</v>
      </c>
      <c r="T53" s="10" t="s">
        <v>479</v>
      </c>
      <c r="U53" s="10" t="s">
        <v>480</v>
      </c>
      <c r="V53" s="11"/>
      <c r="W53" s="10" t="s">
        <v>481</v>
      </c>
      <c r="X53" s="10" t="s">
        <v>80</v>
      </c>
      <c r="Y53" s="10" t="s">
        <v>80</v>
      </c>
      <c r="Z53" s="10" t="s">
        <v>530</v>
      </c>
      <c r="AA53" s="10" t="s">
        <v>530</v>
      </c>
      <c r="AB53" s="11"/>
      <c r="AC53" s="11"/>
      <c r="AD53" s="11"/>
      <c r="AE53" s="11"/>
      <c r="AF53" s="12">
        <v>1400</v>
      </c>
      <c r="AG53" s="11"/>
      <c r="AH53" s="10" t="s">
        <v>516</v>
      </c>
      <c r="AI53" s="11"/>
      <c r="AJ53" s="10" t="s">
        <v>531</v>
      </c>
      <c r="AK53" s="10" t="s">
        <v>532</v>
      </c>
      <c r="AL53" s="11"/>
      <c r="AM53" s="11"/>
      <c r="AN53" s="11"/>
      <c r="AO53" s="11"/>
      <c r="AP53" s="11"/>
      <c r="AQ53" s="11"/>
      <c r="AR53" s="10" t="s">
        <v>325</v>
      </c>
      <c r="AS53" s="10" t="s">
        <v>66</v>
      </c>
      <c r="AT53" s="10" t="s">
        <v>53</v>
      </c>
    </row>
    <row r="54" spans="1:46" ht="20" hidden="1" customHeight="1" x14ac:dyDescent="0.15">
      <c r="A54" s="8" t="s">
        <v>533</v>
      </c>
      <c r="B54" s="9" t="s">
        <v>534</v>
      </c>
      <c r="C54" s="10" t="s">
        <v>535</v>
      </c>
      <c r="D54" s="10" t="s">
        <v>536</v>
      </c>
      <c r="E54" s="10" t="s">
        <v>51</v>
      </c>
      <c r="F54" s="10" t="s">
        <v>475</v>
      </c>
      <c r="G54" s="11"/>
      <c r="H54" s="10" t="s">
        <v>476</v>
      </c>
      <c r="I54" s="10" t="s">
        <v>53</v>
      </c>
      <c r="J54" s="10" t="s">
        <v>54</v>
      </c>
      <c r="K54" s="11"/>
      <c r="L54" s="10" t="s">
        <v>477</v>
      </c>
      <c r="M54" s="11"/>
      <c r="N54" s="10" t="s">
        <v>461</v>
      </c>
      <c r="O54" s="11"/>
      <c r="P54" s="11"/>
      <c r="Q54" s="10" t="s">
        <v>75</v>
      </c>
      <c r="R54" s="11"/>
      <c r="S54" s="10" t="s">
        <v>478</v>
      </c>
      <c r="T54" s="10" t="s">
        <v>479</v>
      </c>
      <c r="U54" s="10" t="s">
        <v>480</v>
      </c>
      <c r="V54" s="11"/>
      <c r="W54" s="10" t="s">
        <v>481</v>
      </c>
      <c r="X54" s="10" t="s">
        <v>80</v>
      </c>
      <c r="Y54" s="10" t="s">
        <v>80</v>
      </c>
      <c r="Z54" s="10" t="s">
        <v>537</v>
      </c>
      <c r="AA54" s="10" t="s">
        <v>537</v>
      </c>
      <c r="AB54" s="11"/>
      <c r="AC54" s="11"/>
      <c r="AD54" s="11"/>
      <c r="AE54" s="11"/>
      <c r="AF54" s="12">
        <v>173</v>
      </c>
      <c r="AG54" s="11"/>
      <c r="AH54" s="10" t="s">
        <v>538</v>
      </c>
      <c r="AI54" s="11"/>
      <c r="AJ54" s="10" t="s">
        <v>539</v>
      </c>
      <c r="AK54" s="10" t="s">
        <v>540</v>
      </c>
      <c r="AL54" s="11"/>
      <c r="AM54" s="11"/>
      <c r="AN54" s="11"/>
      <c r="AO54" s="11"/>
      <c r="AP54" s="11"/>
      <c r="AQ54" s="11"/>
      <c r="AR54" s="10" t="s">
        <v>325</v>
      </c>
      <c r="AS54" s="10" t="s">
        <v>66</v>
      </c>
      <c r="AT54" s="10" t="s">
        <v>53</v>
      </c>
    </row>
    <row r="55" spans="1:46" ht="20" hidden="1" customHeight="1" x14ac:dyDescent="0.15">
      <c r="A55" s="8" t="s">
        <v>541</v>
      </c>
      <c r="B55" s="9" t="s">
        <v>542</v>
      </c>
      <c r="C55" s="10" t="s">
        <v>543</v>
      </c>
      <c r="D55" s="10" t="s">
        <v>544</v>
      </c>
      <c r="E55" s="10" t="s">
        <v>51</v>
      </c>
      <c r="F55" s="10" t="s">
        <v>475</v>
      </c>
      <c r="G55" s="11"/>
      <c r="H55" s="10" t="s">
        <v>91</v>
      </c>
      <c r="I55" s="10" t="s">
        <v>53</v>
      </c>
      <c r="J55" s="10" t="s">
        <v>54</v>
      </c>
      <c r="K55" s="11"/>
      <c r="L55" s="10" t="s">
        <v>477</v>
      </c>
      <c r="M55" s="11"/>
      <c r="N55" s="10" t="s">
        <v>461</v>
      </c>
      <c r="O55" s="11"/>
      <c r="P55" s="11"/>
      <c r="Q55" s="10" t="s">
        <v>545</v>
      </c>
      <c r="R55" s="11"/>
      <c r="S55" s="10" t="s">
        <v>478</v>
      </c>
      <c r="T55" s="10" t="s">
        <v>479</v>
      </c>
      <c r="U55" s="10" t="s">
        <v>480</v>
      </c>
      <c r="V55" s="11"/>
      <c r="W55" s="10" t="s">
        <v>481</v>
      </c>
      <c r="X55" s="10" t="s">
        <v>80</v>
      </c>
      <c r="Y55" s="10" t="s">
        <v>80</v>
      </c>
      <c r="Z55" s="10" t="s">
        <v>546</v>
      </c>
      <c r="AA55" s="10" t="s">
        <v>546</v>
      </c>
      <c r="AB55" s="11"/>
      <c r="AC55" s="11"/>
      <c r="AD55" s="11"/>
      <c r="AE55" s="11"/>
      <c r="AF55" s="12">
        <v>173</v>
      </c>
      <c r="AG55" s="11"/>
      <c r="AH55" s="10" t="s">
        <v>149</v>
      </c>
      <c r="AI55" s="11"/>
      <c r="AJ55" s="10" t="s">
        <v>539</v>
      </c>
      <c r="AK55" s="10" t="s">
        <v>540</v>
      </c>
      <c r="AL55" s="11"/>
      <c r="AM55" s="11"/>
      <c r="AN55" s="11"/>
      <c r="AO55" s="11"/>
      <c r="AP55" s="11"/>
      <c r="AQ55" s="11"/>
      <c r="AR55" s="10" t="s">
        <v>547</v>
      </c>
      <c r="AS55" s="10" t="s">
        <v>66</v>
      </c>
      <c r="AT55" s="10" t="s">
        <v>53</v>
      </c>
    </row>
    <row r="56" spans="1:46" ht="20" customHeight="1" x14ac:dyDescent="0.15">
      <c r="A56" s="8" t="s">
        <v>548</v>
      </c>
      <c r="B56" s="9" t="s">
        <v>549</v>
      </c>
      <c r="C56" s="10" t="s">
        <v>550</v>
      </c>
      <c r="D56" s="10" t="s">
        <v>551</v>
      </c>
      <c r="E56" s="10" t="s">
        <v>51</v>
      </c>
      <c r="F56" s="10" t="s">
        <v>475</v>
      </c>
      <c r="G56" s="11"/>
      <c r="H56" s="10" t="s">
        <v>552</v>
      </c>
      <c r="I56" s="10" t="s">
        <v>53</v>
      </c>
      <c r="J56" s="10" t="s">
        <v>54</v>
      </c>
      <c r="K56" s="11"/>
      <c r="L56" s="10" t="s">
        <v>477</v>
      </c>
      <c r="M56" s="11"/>
      <c r="N56" s="10" t="s">
        <v>461</v>
      </c>
      <c r="O56" s="11"/>
      <c r="P56" s="11"/>
      <c r="Q56" s="10" t="s">
        <v>75</v>
      </c>
      <c r="R56" s="11"/>
      <c r="S56" s="10" t="s">
        <v>478</v>
      </c>
      <c r="T56" s="10" t="s">
        <v>479</v>
      </c>
      <c r="U56" s="10" t="s">
        <v>480</v>
      </c>
      <c r="V56" s="11"/>
      <c r="W56" s="10" t="s">
        <v>481</v>
      </c>
      <c r="X56" s="10" t="s">
        <v>80</v>
      </c>
      <c r="Y56" s="10" t="s">
        <v>80</v>
      </c>
      <c r="Z56" s="10" t="s">
        <v>553</v>
      </c>
      <c r="AA56" s="10" t="s">
        <v>553</v>
      </c>
      <c r="AB56" s="11"/>
      <c r="AC56" s="11"/>
      <c r="AD56" s="11"/>
      <c r="AE56" s="11"/>
      <c r="AF56" s="12">
        <v>727</v>
      </c>
      <c r="AG56" s="11"/>
      <c r="AH56" s="10" t="s">
        <v>538</v>
      </c>
      <c r="AI56" s="11"/>
      <c r="AJ56" s="10" t="s">
        <v>554</v>
      </c>
      <c r="AK56" s="10" t="s">
        <v>555</v>
      </c>
      <c r="AL56" s="11"/>
      <c r="AM56" s="11"/>
      <c r="AN56" s="11"/>
      <c r="AO56" s="11"/>
      <c r="AP56" s="11"/>
      <c r="AQ56" s="11"/>
      <c r="AR56" s="10" t="s">
        <v>556</v>
      </c>
      <c r="AS56" s="10" t="s">
        <v>66</v>
      </c>
      <c r="AT56" s="10" t="s">
        <v>53</v>
      </c>
    </row>
    <row r="57" spans="1:46" ht="20" customHeight="1" x14ac:dyDescent="0.15">
      <c r="A57" s="8" t="s">
        <v>557</v>
      </c>
      <c r="B57" s="9" t="s">
        <v>558</v>
      </c>
      <c r="C57" s="10" t="s">
        <v>559</v>
      </c>
      <c r="D57" s="10" t="s">
        <v>560</v>
      </c>
      <c r="E57" s="10" t="s">
        <v>51</v>
      </c>
      <c r="F57" s="10" t="s">
        <v>475</v>
      </c>
      <c r="G57" s="11"/>
      <c r="H57" s="10" t="s">
        <v>561</v>
      </c>
      <c r="I57" s="10" t="s">
        <v>53</v>
      </c>
      <c r="J57" s="10" t="s">
        <v>54</v>
      </c>
      <c r="K57" s="11"/>
      <c r="L57" s="10" t="s">
        <v>477</v>
      </c>
      <c r="M57" s="11"/>
      <c r="N57" s="10" t="s">
        <v>461</v>
      </c>
      <c r="O57" s="11"/>
      <c r="P57" s="11"/>
      <c r="Q57" s="10" t="s">
        <v>75</v>
      </c>
      <c r="R57" s="11"/>
      <c r="S57" s="10" t="s">
        <v>478</v>
      </c>
      <c r="T57" s="10" t="s">
        <v>479</v>
      </c>
      <c r="U57" s="10" t="s">
        <v>480</v>
      </c>
      <c r="V57" s="11"/>
      <c r="W57" s="10" t="s">
        <v>481</v>
      </c>
      <c r="X57" s="10" t="s">
        <v>80</v>
      </c>
      <c r="Y57" s="10" t="s">
        <v>80</v>
      </c>
      <c r="Z57" s="10" t="s">
        <v>562</v>
      </c>
      <c r="AA57" s="10" t="s">
        <v>562</v>
      </c>
      <c r="AB57" s="11"/>
      <c r="AC57" s="11"/>
      <c r="AD57" s="11"/>
      <c r="AE57" s="11"/>
      <c r="AF57" s="12">
        <v>727</v>
      </c>
      <c r="AG57" s="11"/>
      <c r="AH57" s="10" t="s">
        <v>538</v>
      </c>
      <c r="AI57" s="11"/>
      <c r="AJ57" s="10" t="s">
        <v>554</v>
      </c>
      <c r="AK57" s="10" t="s">
        <v>555</v>
      </c>
      <c r="AL57" s="11"/>
      <c r="AM57" s="11"/>
      <c r="AN57" s="11"/>
      <c r="AO57" s="11"/>
      <c r="AP57" s="11"/>
      <c r="AQ57" s="11"/>
      <c r="AR57" s="10" t="s">
        <v>563</v>
      </c>
      <c r="AS57" s="10" t="s">
        <v>66</v>
      </c>
      <c r="AT57" s="10" t="s">
        <v>53</v>
      </c>
    </row>
    <row r="58" spans="1:46" ht="20" customHeight="1" x14ac:dyDescent="0.15">
      <c r="A58" s="8" t="s">
        <v>564</v>
      </c>
      <c r="B58" s="9" t="s">
        <v>565</v>
      </c>
      <c r="C58" s="10" t="s">
        <v>566</v>
      </c>
      <c r="D58" s="10" t="s">
        <v>567</v>
      </c>
      <c r="E58" s="10" t="s">
        <v>51</v>
      </c>
      <c r="F58" s="10" t="s">
        <v>475</v>
      </c>
      <c r="G58" s="11"/>
      <c r="H58" s="10" t="s">
        <v>568</v>
      </c>
      <c r="I58" s="10" t="s">
        <v>53</v>
      </c>
      <c r="J58" s="10" t="s">
        <v>54</v>
      </c>
      <c r="K58" s="11"/>
      <c r="L58" s="10" t="s">
        <v>477</v>
      </c>
      <c r="M58" s="11"/>
      <c r="N58" s="10" t="s">
        <v>461</v>
      </c>
      <c r="O58" s="11"/>
      <c r="P58" s="11"/>
      <c r="Q58" s="10" t="s">
        <v>75</v>
      </c>
      <c r="R58" s="11"/>
      <c r="S58" s="10" t="s">
        <v>478</v>
      </c>
      <c r="T58" s="10" t="s">
        <v>479</v>
      </c>
      <c r="U58" s="10" t="s">
        <v>480</v>
      </c>
      <c r="V58" s="11"/>
      <c r="W58" s="10" t="s">
        <v>481</v>
      </c>
      <c r="X58" s="10" t="s">
        <v>80</v>
      </c>
      <c r="Y58" s="10" t="s">
        <v>80</v>
      </c>
      <c r="Z58" s="10" t="s">
        <v>569</v>
      </c>
      <c r="AA58" s="10" t="s">
        <v>569</v>
      </c>
      <c r="AB58" s="11"/>
      <c r="AC58" s="11"/>
      <c r="AD58" s="11"/>
      <c r="AE58" s="11"/>
      <c r="AF58" s="12">
        <v>450</v>
      </c>
      <c r="AG58" s="11"/>
      <c r="AH58" s="10" t="s">
        <v>538</v>
      </c>
      <c r="AI58" s="11"/>
      <c r="AJ58" s="10" t="s">
        <v>554</v>
      </c>
      <c r="AK58" s="10" t="s">
        <v>555</v>
      </c>
      <c r="AL58" s="11"/>
      <c r="AM58" s="11"/>
      <c r="AN58" s="11"/>
      <c r="AO58" s="11"/>
      <c r="AP58" s="11"/>
      <c r="AQ58" s="11"/>
      <c r="AR58" s="10" t="s">
        <v>570</v>
      </c>
      <c r="AS58" s="10" t="s">
        <v>66</v>
      </c>
      <c r="AT58" s="10" t="s">
        <v>53</v>
      </c>
    </row>
    <row r="59" spans="1:46" ht="20" hidden="1" customHeight="1" x14ac:dyDescent="0.15">
      <c r="A59" s="8" t="s">
        <v>571</v>
      </c>
      <c r="B59" s="9" t="s">
        <v>572</v>
      </c>
      <c r="C59" s="10" t="s">
        <v>573</v>
      </c>
      <c r="D59" s="10" t="s">
        <v>574</v>
      </c>
      <c r="E59" s="10" t="s">
        <v>51</v>
      </c>
      <c r="F59" s="10" t="s">
        <v>475</v>
      </c>
      <c r="G59" s="11"/>
      <c r="H59" s="10" t="s">
        <v>575</v>
      </c>
      <c r="I59" s="10" t="s">
        <v>53</v>
      </c>
      <c r="J59" s="10" t="s">
        <v>54</v>
      </c>
      <c r="K59" s="11"/>
      <c r="L59" s="10" t="s">
        <v>477</v>
      </c>
      <c r="M59" s="11"/>
      <c r="N59" s="10" t="s">
        <v>461</v>
      </c>
      <c r="O59" s="11"/>
      <c r="P59" s="11"/>
      <c r="Q59" s="10" t="s">
        <v>75</v>
      </c>
      <c r="R59" s="11"/>
      <c r="S59" s="10" t="s">
        <v>478</v>
      </c>
      <c r="T59" s="10" t="s">
        <v>479</v>
      </c>
      <c r="U59" s="10" t="s">
        <v>480</v>
      </c>
      <c r="V59" s="11"/>
      <c r="W59" s="10" t="s">
        <v>481</v>
      </c>
      <c r="X59" s="10" t="s">
        <v>80</v>
      </c>
      <c r="Y59" s="10" t="s">
        <v>80</v>
      </c>
      <c r="Z59" s="10" t="s">
        <v>576</v>
      </c>
      <c r="AA59" s="10" t="s">
        <v>576</v>
      </c>
      <c r="AB59" s="11"/>
      <c r="AC59" s="11"/>
      <c r="AD59" s="11"/>
      <c r="AE59" s="11"/>
      <c r="AF59" s="12">
        <v>433</v>
      </c>
      <c r="AG59" s="11"/>
      <c r="AH59" s="10" t="s">
        <v>538</v>
      </c>
      <c r="AI59" s="11"/>
      <c r="AJ59" s="10" t="s">
        <v>577</v>
      </c>
      <c r="AK59" s="10" t="s">
        <v>578</v>
      </c>
      <c r="AL59" s="11"/>
      <c r="AM59" s="11"/>
      <c r="AN59" s="11"/>
      <c r="AO59" s="11"/>
      <c r="AP59" s="11"/>
      <c r="AQ59" s="11"/>
      <c r="AR59" s="10" t="s">
        <v>579</v>
      </c>
      <c r="AS59" s="10" t="s">
        <v>66</v>
      </c>
      <c r="AT59" s="10" t="s">
        <v>53</v>
      </c>
    </row>
    <row r="60" spans="1:46" ht="20" hidden="1" customHeight="1" x14ac:dyDescent="0.15">
      <c r="A60" s="8" t="s">
        <v>580</v>
      </c>
      <c r="B60" s="9" t="s">
        <v>581</v>
      </c>
      <c r="C60" s="10" t="s">
        <v>582</v>
      </c>
      <c r="D60" s="10" t="s">
        <v>583</v>
      </c>
      <c r="E60" s="10" t="s">
        <v>51</v>
      </c>
      <c r="F60" s="10" t="s">
        <v>475</v>
      </c>
      <c r="G60" s="11"/>
      <c r="H60" s="10" t="s">
        <v>91</v>
      </c>
      <c r="I60" s="10" t="s">
        <v>53</v>
      </c>
      <c r="J60" s="10" t="s">
        <v>54</v>
      </c>
      <c r="K60" s="11"/>
      <c r="L60" s="10" t="s">
        <v>477</v>
      </c>
      <c r="M60" s="11"/>
      <c r="N60" s="10" t="s">
        <v>461</v>
      </c>
      <c r="O60" s="11"/>
      <c r="P60" s="11"/>
      <c r="Q60" s="10" t="s">
        <v>545</v>
      </c>
      <c r="R60" s="11"/>
      <c r="S60" s="10" t="s">
        <v>478</v>
      </c>
      <c r="T60" s="10" t="s">
        <v>479</v>
      </c>
      <c r="U60" s="10" t="s">
        <v>480</v>
      </c>
      <c r="V60" s="11"/>
      <c r="W60" s="10" t="s">
        <v>481</v>
      </c>
      <c r="X60" s="10" t="s">
        <v>80</v>
      </c>
      <c r="Y60" s="10" t="s">
        <v>80</v>
      </c>
      <c r="Z60" s="10" t="s">
        <v>584</v>
      </c>
      <c r="AA60" s="10" t="s">
        <v>584</v>
      </c>
      <c r="AB60" s="11"/>
      <c r="AC60" s="11"/>
      <c r="AD60" s="11"/>
      <c r="AE60" s="11"/>
      <c r="AF60" s="12">
        <v>433</v>
      </c>
      <c r="AG60" s="11"/>
      <c r="AH60" s="10" t="s">
        <v>538</v>
      </c>
      <c r="AI60" s="11"/>
      <c r="AJ60" s="10" t="s">
        <v>585</v>
      </c>
      <c r="AK60" s="10" t="s">
        <v>586</v>
      </c>
      <c r="AL60" s="11"/>
      <c r="AM60" s="11"/>
      <c r="AN60" s="11"/>
      <c r="AO60" s="11"/>
      <c r="AP60" s="11"/>
      <c r="AQ60" s="11"/>
      <c r="AR60" s="10" t="s">
        <v>587</v>
      </c>
      <c r="AS60" s="10" t="s">
        <v>66</v>
      </c>
      <c r="AT60" s="10" t="s">
        <v>53</v>
      </c>
    </row>
    <row r="61" spans="1:46" ht="20" hidden="1" customHeight="1" x14ac:dyDescent="0.15">
      <c r="A61" s="8" t="s">
        <v>588</v>
      </c>
      <c r="B61" s="9" t="s">
        <v>589</v>
      </c>
      <c r="C61" s="10" t="s">
        <v>590</v>
      </c>
      <c r="D61" s="10" t="s">
        <v>591</v>
      </c>
      <c r="E61" s="10" t="s">
        <v>51</v>
      </c>
      <c r="F61" s="10" t="s">
        <v>475</v>
      </c>
      <c r="G61" s="11"/>
      <c r="H61" s="10" t="s">
        <v>91</v>
      </c>
      <c r="I61" s="10" t="s">
        <v>53</v>
      </c>
      <c r="J61" s="10" t="s">
        <v>54</v>
      </c>
      <c r="K61" s="11"/>
      <c r="L61" s="10" t="s">
        <v>477</v>
      </c>
      <c r="M61" s="11"/>
      <c r="N61" s="10" t="s">
        <v>461</v>
      </c>
      <c r="O61" s="11"/>
      <c r="P61" s="11"/>
      <c r="Q61" s="10" t="s">
        <v>75</v>
      </c>
      <c r="R61" s="11"/>
      <c r="S61" s="10" t="s">
        <v>478</v>
      </c>
      <c r="T61" s="10" t="s">
        <v>479</v>
      </c>
      <c r="U61" s="10" t="s">
        <v>480</v>
      </c>
      <c r="V61" s="11"/>
      <c r="W61" s="10" t="s">
        <v>481</v>
      </c>
      <c r="X61" s="10" t="s">
        <v>80</v>
      </c>
      <c r="Y61" s="10" t="s">
        <v>80</v>
      </c>
      <c r="Z61" s="10" t="s">
        <v>592</v>
      </c>
      <c r="AA61" s="10" t="s">
        <v>592</v>
      </c>
      <c r="AB61" s="11"/>
      <c r="AC61" s="11"/>
      <c r="AD61" s="11"/>
      <c r="AE61" s="11"/>
      <c r="AF61" s="12">
        <v>521600</v>
      </c>
      <c r="AG61" s="11"/>
      <c r="AH61" s="10" t="s">
        <v>593</v>
      </c>
      <c r="AI61" s="11"/>
      <c r="AJ61" s="10" t="s">
        <v>594</v>
      </c>
      <c r="AK61" s="10" t="s">
        <v>595</v>
      </c>
      <c r="AL61" s="11"/>
      <c r="AM61" s="11"/>
      <c r="AN61" s="11"/>
      <c r="AO61" s="11"/>
      <c r="AP61" s="11"/>
      <c r="AQ61" s="11"/>
      <c r="AR61" s="10" t="s">
        <v>596</v>
      </c>
      <c r="AS61" s="10" t="s">
        <v>66</v>
      </c>
      <c r="AT61" s="10" t="s">
        <v>53</v>
      </c>
    </row>
    <row r="62" spans="1:46" ht="20" hidden="1" customHeight="1" x14ac:dyDescent="0.15">
      <c r="A62" s="8" t="s">
        <v>597</v>
      </c>
      <c r="B62" s="9" t="s">
        <v>598</v>
      </c>
      <c r="C62" s="10" t="s">
        <v>599</v>
      </c>
      <c r="D62" s="10" t="s">
        <v>600</v>
      </c>
      <c r="E62" s="10" t="s">
        <v>51</v>
      </c>
      <c r="F62" s="10" t="s">
        <v>601</v>
      </c>
      <c r="G62" s="11"/>
      <c r="H62" s="10" t="s">
        <v>91</v>
      </c>
      <c r="I62" s="10" t="s">
        <v>53</v>
      </c>
      <c r="J62" s="10" t="s">
        <v>54</v>
      </c>
      <c r="K62" s="11"/>
      <c r="L62" s="10" t="s">
        <v>602</v>
      </c>
      <c r="M62" s="11"/>
      <c r="N62" s="10" t="s">
        <v>461</v>
      </c>
      <c r="O62" s="11"/>
      <c r="P62" s="11"/>
      <c r="Q62" s="10" t="s">
        <v>603</v>
      </c>
      <c r="R62" s="11"/>
      <c r="S62" s="10" t="s">
        <v>604</v>
      </c>
      <c r="T62" s="10" t="s">
        <v>605</v>
      </c>
      <c r="U62" s="10" t="s">
        <v>606</v>
      </c>
      <c r="V62" s="11"/>
      <c r="W62" s="10" t="s">
        <v>607</v>
      </c>
      <c r="X62" s="10" t="s">
        <v>80</v>
      </c>
      <c r="Y62" s="10" t="s">
        <v>80</v>
      </c>
      <c r="Z62" s="10" t="s">
        <v>608</v>
      </c>
      <c r="AA62" s="10" t="s">
        <v>608</v>
      </c>
      <c r="AB62" s="11"/>
      <c r="AC62" s="11"/>
      <c r="AD62" s="11"/>
      <c r="AE62" s="11"/>
      <c r="AF62" s="12">
        <v>521600</v>
      </c>
      <c r="AG62" s="11"/>
      <c r="AH62" s="10" t="s">
        <v>609</v>
      </c>
      <c r="AI62" s="11"/>
      <c r="AJ62" s="11"/>
      <c r="AK62" s="10" t="s">
        <v>610</v>
      </c>
      <c r="AL62" s="11"/>
      <c r="AM62" s="11"/>
      <c r="AN62" s="11"/>
      <c r="AO62" s="11"/>
      <c r="AP62" s="11"/>
      <c r="AQ62" s="11"/>
      <c r="AR62" s="10" t="s">
        <v>611</v>
      </c>
      <c r="AS62" s="10" t="s">
        <v>66</v>
      </c>
      <c r="AT62" s="10" t="s">
        <v>53</v>
      </c>
    </row>
    <row r="63" spans="1:46" ht="20" hidden="1" customHeight="1" x14ac:dyDescent="0.15">
      <c r="A63" s="8" t="s">
        <v>612</v>
      </c>
      <c r="B63" s="9" t="s">
        <v>613</v>
      </c>
      <c r="C63" s="10" t="s">
        <v>614</v>
      </c>
      <c r="D63" s="10" t="s">
        <v>615</v>
      </c>
      <c r="E63" s="10" t="s">
        <v>51</v>
      </c>
      <c r="F63" s="10" t="s">
        <v>616</v>
      </c>
      <c r="G63" s="11"/>
      <c r="H63" s="10" t="s">
        <v>617</v>
      </c>
      <c r="I63" s="10" t="s">
        <v>53</v>
      </c>
      <c r="J63" s="10" t="s">
        <v>54</v>
      </c>
      <c r="K63" s="11"/>
      <c r="L63" s="10" t="s">
        <v>618</v>
      </c>
      <c r="M63" s="11"/>
      <c r="N63" s="10" t="s">
        <v>461</v>
      </c>
      <c r="O63" s="11"/>
      <c r="P63" s="11"/>
      <c r="Q63" s="10" t="s">
        <v>619</v>
      </c>
      <c r="R63" s="11"/>
      <c r="S63" s="10" t="s">
        <v>620</v>
      </c>
      <c r="T63" s="10" t="s">
        <v>621</v>
      </c>
      <c r="U63" s="10" t="s">
        <v>622</v>
      </c>
      <c r="V63" s="11"/>
      <c r="W63" s="10" t="s">
        <v>623</v>
      </c>
      <c r="X63" s="10" t="s">
        <v>80</v>
      </c>
      <c r="Y63" s="10" t="s">
        <v>80</v>
      </c>
      <c r="Z63" s="10" t="s">
        <v>624</v>
      </c>
      <c r="AA63" s="10" t="s">
        <v>624</v>
      </c>
      <c r="AB63" s="11"/>
      <c r="AC63" s="11"/>
      <c r="AD63" s="11"/>
      <c r="AE63" s="11"/>
      <c r="AF63" s="12">
        <v>100</v>
      </c>
      <c r="AG63" s="11"/>
      <c r="AH63" s="10" t="s">
        <v>625</v>
      </c>
      <c r="AI63" s="11"/>
      <c r="AJ63" s="11"/>
      <c r="AK63" s="10" t="s">
        <v>610</v>
      </c>
      <c r="AL63" s="11"/>
      <c r="AM63" s="11"/>
      <c r="AN63" s="11"/>
      <c r="AO63" s="11"/>
      <c r="AP63" s="11"/>
      <c r="AQ63" s="11"/>
      <c r="AR63" s="10" t="s">
        <v>626</v>
      </c>
      <c r="AS63" s="10" t="s">
        <v>66</v>
      </c>
      <c r="AT63" s="10" t="s">
        <v>53</v>
      </c>
    </row>
    <row r="64" spans="1:46" ht="20" hidden="1" customHeight="1" x14ac:dyDescent="0.15">
      <c r="A64" s="8" t="s">
        <v>627</v>
      </c>
      <c r="B64" s="9" t="s">
        <v>628</v>
      </c>
      <c r="C64" s="10" t="s">
        <v>629</v>
      </c>
      <c r="D64" s="10" t="s">
        <v>630</v>
      </c>
      <c r="E64" s="10" t="s">
        <v>51</v>
      </c>
      <c r="F64" s="10" t="s">
        <v>616</v>
      </c>
      <c r="G64" s="11"/>
      <c r="H64" s="10" t="s">
        <v>631</v>
      </c>
      <c r="I64" s="10" t="s">
        <v>53</v>
      </c>
      <c r="J64" s="10" t="s">
        <v>54</v>
      </c>
      <c r="K64" s="11"/>
      <c r="L64" s="10" t="s">
        <v>618</v>
      </c>
      <c r="M64" s="11"/>
      <c r="N64" s="10" t="s">
        <v>461</v>
      </c>
      <c r="O64" s="11"/>
      <c r="P64" s="11"/>
      <c r="Q64" s="10" t="s">
        <v>632</v>
      </c>
      <c r="R64" s="11"/>
      <c r="S64" s="10" t="s">
        <v>620</v>
      </c>
      <c r="T64" s="10" t="s">
        <v>621</v>
      </c>
      <c r="U64" s="10" t="s">
        <v>622</v>
      </c>
      <c r="V64" s="11"/>
      <c r="W64" s="10" t="s">
        <v>623</v>
      </c>
      <c r="X64" s="10" t="s">
        <v>80</v>
      </c>
      <c r="Y64" s="10" t="s">
        <v>80</v>
      </c>
      <c r="Z64" s="10" t="s">
        <v>633</v>
      </c>
      <c r="AA64" s="10" t="s">
        <v>633</v>
      </c>
      <c r="AB64" s="11"/>
      <c r="AC64" s="11"/>
      <c r="AD64" s="11"/>
      <c r="AE64" s="11"/>
      <c r="AF64" s="12">
        <v>1800</v>
      </c>
      <c r="AG64" s="11"/>
      <c r="AH64" s="10" t="s">
        <v>163</v>
      </c>
      <c r="AI64" s="11"/>
      <c r="AJ64" s="11"/>
      <c r="AK64" s="10" t="s">
        <v>610</v>
      </c>
      <c r="AL64" s="11"/>
      <c r="AM64" s="11"/>
      <c r="AN64" s="11"/>
      <c r="AO64" s="11"/>
      <c r="AP64" s="11"/>
      <c r="AQ64" s="11"/>
      <c r="AR64" s="10" t="s">
        <v>626</v>
      </c>
      <c r="AS64" s="10" t="s">
        <v>66</v>
      </c>
      <c r="AT64" s="10" t="s">
        <v>53</v>
      </c>
    </row>
    <row r="65" spans="1:46" ht="20" hidden="1" customHeight="1" x14ac:dyDescent="0.15">
      <c r="A65" s="8" t="s">
        <v>634</v>
      </c>
      <c r="B65" s="9" t="s">
        <v>635</v>
      </c>
      <c r="C65" s="10" t="s">
        <v>636</v>
      </c>
      <c r="D65" s="10" t="s">
        <v>637</v>
      </c>
      <c r="E65" s="10" t="s">
        <v>51</v>
      </c>
      <c r="F65" s="10" t="s">
        <v>616</v>
      </c>
      <c r="G65" s="11"/>
      <c r="H65" s="10" t="s">
        <v>638</v>
      </c>
      <c r="I65" s="10" t="s">
        <v>53</v>
      </c>
      <c r="J65" s="10" t="s">
        <v>54</v>
      </c>
      <c r="K65" s="11"/>
      <c r="L65" s="10" t="s">
        <v>618</v>
      </c>
      <c r="M65" s="11"/>
      <c r="N65" s="10" t="s">
        <v>461</v>
      </c>
      <c r="O65" s="11"/>
      <c r="P65" s="11"/>
      <c r="Q65" s="10" t="s">
        <v>632</v>
      </c>
      <c r="R65" s="11"/>
      <c r="S65" s="10" t="s">
        <v>620</v>
      </c>
      <c r="T65" s="10" t="s">
        <v>621</v>
      </c>
      <c r="U65" s="10" t="s">
        <v>622</v>
      </c>
      <c r="V65" s="11"/>
      <c r="W65" s="10" t="s">
        <v>623</v>
      </c>
      <c r="X65" s="10" t="s">
        <v>80</v>
      </c>
      <c r="Y65" s="10" t="s">
        <v>80</v>
      </c>
      <c r="Z65" s="10" t="s">
        <v>639</v>
      </c>
      <c r="AA65" s="10" t="s">
        <v>639</v>
      </c>
      <c r="AB65" s="11"/>
      <c r="AC65" s="11"/>
      <c r="AD65" s="11"/>
      <c r="AE65" s="11"/>
      <c r="AF65" s="12">
        <v>1250</v>
      </c>
      <c r="AG65" s="11"/>
      <c r="AH65" s="10" t="s">
        <v>170</v>
      </c>
      <c r="AI65" s="11"/>
      <c r="AJ65" s="11"/>
      <c r="AK65" s="10" t="s">
        <v>640</v>
      </c>
      <c r="AL65" s="11"/>
      <c r="AM65" s="11"/>
      <c r="AN65" s="11"/>
      <c r="AO65" s="11"/>
      <c r="AP65" s="11"/>
      <c r="AQ65" s="11"/>
      <c r="AR65" s="10" t="s">
        <v>626</v>
      </c>
      <c r="AS65" s="10" t="s">
        <v>66</v>
      </c>
      <c r="AT65" s="10" t="s">
        <v>53</v>
      </c>
    </row>
    <row r="66" spans="1:46" ht="20" hidden="1" customHeight="1" x14ac:dyDescent="0.15">
      <c r="A66" s="8" t="s">
        <v>641</v>
      </c>
      <c r="B66" s="9" t="s">
        <v>642</v>
      </c>
      <c r="C66" s="10" t="s">
        <v>643</v>
      </c>
      <c r="D66" s="10" t="s">
        <v>644</v>
      </c>
      <c r="E66" s="10" t="s">
        <v>51</v>
      </c>
      <c r="F66" s="10" t="s">
        <v>616</v>
      </c>
      <c r="G66" s="11"/>
      <c r="H66" s="10" t="s">
        <v>645</v>
      </c>
      <c r="I66" s="10" t="s">
        <v>53</v>
      </c>
      <c r="J66" s="10" t="s">
        <v>54</v>
      </c>
      <c r="K66" s="11"/>
      <c r="L66" s="10" t="s">
        <v>618</v>
      </c>
      <c r="M66" s="11"/>
      <c r="N66" s="10" t="s">
        <v>461</v>
      </c>
      <c r="O66" s="11"/>
      <c r="P66" s="11"/>
      <c r="Q66" s="10" t="s">
        <v>646</v>
      </c>
      <c r="R66" s="11"/>
      <c r="S66" s="10" t="s">
        <v>620</v>
      </c>
      <c r="T66" s="10" t="s">
        <v>621</v>
      </c>
      <c r="U66" s="10" t="s">
        <v>622</v>
      </c>
      <c r="V66" s="11"/>
      <c r="W66" s="10" t="s">
        <v>623</v>
      </c>
      <c r="X66" s="10" t="s">
        <v>80</v>
      </c>
      <c r="Y66" s="10" t="s">
        <v>80</v>
      </c>
      <c r="Z66" s="10" t="s">
        <v>647</v>
      </c>
      <c r="AA66" s="10" t="s">
        <v>647</v>
      </c>
      <c r="AB66" s="11"/>
      <c r="AC66" s="11"/>
      <c r="AD66" s="11"/>
      <c r="AE66" s="11"/>
      <c r="AF66" s="12">
        <v>300</v>
      </c>
      <c r="AG66" s="11"/>
      <c r="AH66" s="10" t="s">
        <v>141</v>
      </c>
      <c r="AI66" s="11"/>
      <c r="AJ66" s="11"/>
      <c r="AK66" s="10" t="s">
        <v>648</v>
      </c>
      <c r="AL66" s="11"/>
      <c r="AM66" s="11"/>
      <c r="AN66" s="11"/>
      <c r="AO66" s="11"/>
      <c r="AP66" s="11"/>
      <c r="AQ66" s="11"/>
      <c r="AR66" s="10" t="s">
        <v>649</v>
      </c>
      <c r="AS66" s="10" t="s">
        <v>66</v>
      </c>
      <c r="AT66" s="10" t="s">
        <v>53</v>
      </c>
    </row>
    <row r="67" spans="1:46" ht="20" hidden="1" customHeight="1" x14ac:dyDescent="0.15">
      <c r="A67" s="8" t="s">
        <v>650</v>
      </c>
      <c r="B67" s="9" t="s">
        <v>651</v>
      </c>
      <c r="C67" s="10" t="s">
        <v>652</v>
      </c>
      <c r="D67" s="10" t="s">
        <v>653</v>
      </c>
      <c r="E67" s="10" t="s">
        <v>51</v>
      </c>
      <c r="F67" s="10" t="s">
        <v>616</v>
      </c>
      <c r="G67" s="11"/>
      <c r="H67" s="10" t="s">
        <v>654</v>
      </c>
      <c r="I67" s="10" t="s">
        <v>53</v>
      </c>
      <c r="J67" s="10" t="s">
        <v>54</v>
      </c>
      <c r="K67" s="11"/>
      <c r="L67" s="10" t="s">
        <v>618</v>
      </c>
      <c r="M67" s="11"/>
      <c r="N67" s="10" t="s">
        <v>461</v>
      </c>
      <c r="O67" s="11"/>
      <c r="P67" s="11"/>
      <c r="Q67" s="10" t="s">
        <v>655</v>
      </c>
      <c r="R67" s="11"/>
      <c r="S67" s="10" t="s">
        <v>620</v>
      </c>
      <c r="T67" s="10" t="s">
        <v>621</v>
      </c>
      <c r="U67" s="10" t="s">
        <v>622</v>
      </c>
      <c r="V67" s="11"/>
      <c r="W67" s="10" t="s">
        <v>623</v>
      </c>
      <c r="X67" s="10" t="s">
        <v>80</v>
      </c>
      <c r="Y67" s="10" t="s">
        <v>80</v>
      </c>
      <c r="Z67" s="10" t="s">
        <v>656</v>
      </c>
      <c r="AA67" s="10" t="s">
        <v>656</v>
      </c>
      <c r="AB67" s="11"/>
      <c r="AC67" s="11"/>
      <c r="AD67" s="11"/>
      <c r="AE67" s="11"/>
      <c r="AF67" s="12">
        <v>15050</v>
      </c>
      <c r="AG67" s="11"/>
      <c r="AH67" s="10" t="s">
        <v>149</v>
      </c>
      <c r="AI67" s="11"/>
      <c r="AJ67" s="11"/>
      <c r="AK67" s="10" t="s">
        <v>657</v>
      </c>
      <c r="AL67" s="11"/>
      <c r="AM67" s="11"/>
      <c r="AN67" s="11"/>
      <c r="AO67" s="11"/>
      <c r="AP67" s="11"/>
      <c r="AQ67" s="11"/>
      <c r="AR67" s="10" t="s">
        <v>626</v>
      </c>
      <c r="AS67" s="10" t="s">
        <v>66</v>
      </c>
      <c r="AT67" s="10" t="s">
        <v>53</v>
      </c>
    </row>
    <row r="68" spans="1:46" ht="20" hidden="1" customHeight="1" x14ac:dyDescent="0.15">
      <c r="A68" s="8" t="s">
        <v>658</v>
      </c>
      <c r="B68" s="9" t="s">
        <v>659</v>
      </c>
      <c r="C68" s="10" t="s">
        <v>660</v>
      </c>
      <c r="D68" s="10" t="s">
        <v>661</v>
      </c>
      <c r="E68" s="10" t="s">
        <v>51</v>
      </c>
      <c r="F68" s="10" t="s">
        <v>616</v>
      </c>
      <c r="G68" s="11"/>
      <c r="H68" s="10" t="s">
        <v>654</v>
      </c>
      <c r="I68" s="10" t="s">
        <v>53</v>
      </c>
      <c r="J68" s="10" t="s">
        <v>54</v>
      </c>
      <c r="K68" s="11"/>
      <c r="L68" s="10" t="s">
        <v>618</v>
      </c>
      <c r="M68" s="11"/>
      <c r="N68" s="10" t="s">
        <v>461</v>
      </c>
      <c r="O68" s="11"/>
      <c r="P68" s="11"/>
      <c r="Q68" s="10" t="s">
        <v>632</v>
      </c>
      <c r="R68" s="11"/>
      <c r="S68" s="10" t="s">
        <v>620</v>
      </c>
      <c r="T68" s="10" t="s">
        <v>621</v>
      </c>
      <c r="U68" s="10" t="s">
        <v>622</v>
      </c>
      <c r="V68" s="11"/>
      <c r="W68" s="10" t="s">
        <v>623</v>
      </c>
      <c r="X68" s="10" t="s">
        <v>80</v>
      </c>
      <c r="Y68" s="10" t="s">
        <v>80</v>
      </c>
      <c r="Z68" s="10" t="s">
        <v>662</v>
      </c>
      <c r="AA68" s="10" t="s">
        <v>662</v>
      </c>
      <c r="AB68" s="11"/>
      <c r="AC68" s="11"/>
      <c r="AD68" s="11"/>
      <c r="AE68" s="11"/>
      <c r="AF68" s="12">
        <v>3300</v>
      </c>
      <c r="AG68" s="11"/>
      <c r="AH68" s="10" t="s">
        <v>156</v>
      </c>
      <c r="AI68" s="11"/>
      <c r="AJ68" s="11"/>
      <c r="AK68" s="10" t="s">
        <v>663</v>
      </c>
      <c r="AL68" s="11"/>
      <c r="AM68" s="11"/>
      <c r="AN68" s="11"/>
      <c r="AO68" s="11"/>
      <c r="AP68" s="11"/>
      <c r="AQ68" s="11"/>
      <c r="AR68" s="10" t="s">
        <v>626</v>
      </c>
      <c r="AS68" s="10" t="s">
        <v>66</v>
      </c>
      <c r="AT68" s="10" t="s">
        <v>53</v>
      </c>
    </row>
    <row r="69" spans="1:46" ht="20" hidden="1" customHeight="1" x14ac:dyDescent="0.15">
      <c r="A69" s="8" t="s">
        <v>664</v>
      </c>
      <c r="B69" s="9" t="s">
        <v>665</v>
      </c>
      <c r="C69" s="10" t="s">
        <v>666</v>
      </c>
      <c r="D69" s="10" t="s">
        <v>667</v>
      </c>
      <c r="E69" s="10" t="s">
        <v>51</v>
      </c>
      <c r="F69" s="10" t="s">
        <v>668</v>
      </c>
      <c r="G69" s="11"/>
      <c r="H69" s="10" t="s">
        <v>575</v>
      </c>
      <c r="I69" s="10" t="s">
        <v>53</v>
      </c>
      <c r="J69" s="10" t="s">
        <v>54</v>
      </c>
      <c r="K69" s="11"/>
      <c r="L69" s="11"/>
      <c r="M69" s="11"/>
      <c r="N69" s="11"/>
      <c r="O69" s="11"/>
      <c r="P69" s="11"/>
      <c r="Q69" s="10" t="s">
        <v>669</v>
      </c>
      <c r="R69" s="11"/>
      <c r="S69" s="10" t="s">
        <v>670</v>
      </c>
      <c r="T69" s="10" t="s">
        <v>671</v>
      </c>
      <c r="U69" s="10" t="s">
        <v>672</v>
      </c>
      <c r="V69" s="11"/>
      <c r="W69" s="10" t="s">
        <v>673</v>
      </c>
      <c r="X69" s="10" t="s">
        <v>80</v>
      </c>
      <c r="Y69" s="10" t="s">
        <v>61</v>
      </c>
      <c r="Z69" s="10" t="s">
        <v>674</v>
      </c>
      <c r="AA69" s="10" t="s">
        <v>675</v>
      </c>
      <c r="AB69" s="11"/>
      <c r="AC69" s="11"/>
      <c r="AD69" s="10" t="s">
        <v>676</v>
      </c>
      <c r="AE69" s="11"/>
      <c r="AF69" s="12">
        <v>29562</v>
      </c>
      <c r="AG69" s="11"/>
      <c r="AH69" s="11"/>
      <c r="AI69" s="11"/>
      <c r="AJ69" s="11"/>
      <c r="AK69" s="11"/>
      <c r="AL69" s="10" t="s">
        <v>665</v>
      </c>
      <c r="AM69" s="11"/>
      <c r="AN69" s="11"/>
      <c r="AO69" s="11"/>
      <c r="AP69" s="11"/>
      <c r="AQ69" s="11"/>
      <c r="AR69" s="10" t="s">
        <v>677</v>
      </c>
      <c r="AS69" s="10" t="s">
        <v>66</v>
      </c>
      <c r="AT69" s="10" t="s">
        <v>53</v>
      </c>
    </row>
    <row r="70" spans="1:46" ht="20" hidden="1" customHeight="1" x14ac:dyDescent="0.15">
      <c r="A70" s="8" t="s">
        <v>678</v>
      </c>
      <c r="B70" s="9" t="s">
        <v>679</v>
      </c>
      <c r="C70" s="10" t="s">
        <v>680</v>
      </c>
      <c r="D70" s="10" t="s">
        <v>681</v>
      </c>
      <c r="E70" s="10" t="s">
        <v>51</v>
      </c>
      <c r="F70" s="10" t="s">
        <v>668</v>
      </c>
      <c r="G70" s="11"/>
      <c r="H70" s="10" t="s">
        <v>682</v>
      </c>
      <c r="I70" s="10" t="s">
        <v>53</v>
      </c>
      <c r="J70" s="10" t="s">
        <v>54</v>
      </c>
      <c r="K70" s="11"/>
      <c r="L70" s="10" t="s">
        <v>683</v>
      </c>
      <c r="M70" s="10" t="s">
        <v>684</v>
      </c>
      <c r="N70" s="11"/>
      <c r="O70" s="11"/>
      <c r="P70" s="11"/>
      <c r="Q70" s="10" t="s">
        <v>685</v>
      </c>
      <c r="R70" s="11"/>
      <c r="S70" s="10" t="s">
        <v>670</v>
      </c>
      <c r="T70" s="10" t="s">
        <v>671</v>
      </c>
      <c r="U70" s="10" t="s">
        <v>672</v>
      </c>
      <c r="V70" s="11"/>
      <c r="W70" s="10" t="s">
        <v>673</v>
      </c>
      <c r="X70" s="10" t="s">
        <v>80</v>
      </c>
      <c r="Y70" s="10" t="s">
        <v>61</v>
      </c>
      <c r="Z70" s="10" t="s">
        <v>686</v>
      </c>
      <c r="AA70" s="10" t="s">
        <v>687</v>
      </c>
      <c r="AB70" s="11"/>
      <c r="AC70" s="11"/>
      <c r="AD70" s="10" t="s">
        <v>688</v>
      </c>
      <c r="AE70" s="10" t="s">
        <v>689</v>
      </c>
      <c r="AF70" s="12">
        <v>73939</v>
      </c>
      <c r="AG70" s="11"/>
      <c r="AH70" s="10" t="s">
        <v>690</v>
      </c>
      <c r="AI70" s="10" t="s">
        <v>691</v>
      </c>
      <c r="AJ70" s="10" t="s">
        <v>692</v>
      </c>
      <c r="AK70" s="11"/>
      <c r="AL70" s="10" t="s">
        <v>693</v>
      </c>
      <c r="AM70" s="11"/>
      <c r="AN70" s="11"/>
      <c r="AO70" s="11"/>
      <c r="AP70" s="11"/>
      <c r="AQ70" s="11"/>
      <c r="AR70" s="10" t="s">
        <v>325</v>
      </c>
      <c r="AS70" s="10" t="s">
        <v>66</v>
      </c>
      <c r="AT70" s="10" t="s">
        <v>53</v>
      </c>
    </row>
    <row r="71" spans="1:46" ht="20" hidden="1" customHeight="1" x14ac:dyDescent="0.15">
      <c r="A71" s="8" t="s">
        <v>694</v>
      </c>
      <c r="B71" s="9" t="s">
        <v>695</v>
      </c>
      <c r="C71" s="10" t="s">
        <v>696</v>
      </c>
      <c r="D71" s="10" t="s">
        <v>697</v>
      </c>
      <c r="E71" s="10" t="s">
        <v>51</v>
      </c>
      <c r="F71" s="10" t="s">
        <v>668</v>
      </c>
      <c r="G71" s="11"/>
      <c r="H71" s="10" t="s">
        <v>575</v>
      </c>
      <c r="I71" s="10" t="s">
        <v>53</v>
      </c>
      <c r="J71" s="10" t="s">
        <v>54</v>
      </c>
      <c r="K71" s="11"/>
      <c r="L71" s="11"/>
      <c r="M71" s="11"/>
      <c r="N71" s="11"/>
      <c r="O71" s="11"/>
      <c r="P71" s="11"/>
      <c r="Q71" s="10" t="s">
        <v>698</v>
      </c>
      <c r="R71" s="11"/>
      <c r="S71" s="10" t="s">
        <v>670</v>
      </c>
      <c r="T71" s="10" t="s">
        <v>671</v>
      </c>
      <c r="U71" s="10" t="s">
        <v>672</v>
      </c>
      <c r="V71" s="11"/>
      <c r="W71" s="10" t="s">
        <v>673</v>
      </c>
      <c r="X71" s="10" t="s">
        <v>80</v>
      </c>
      <c r="Y71" s="10" t="s">
        <v>61</v>
      </c>
      <c r="Z71" s="10" t="s">
        <v>699</v>
      </c>
      <c r="AA71" s="10" t="s">
        <v>700</v>
      </c>
      <c r="AB71" s="11"/>
      <c r="AC71" s="11"/>
      <c r="AD71" s="10" t="s">
        <v>701</v>
      </c>
      <c r="AE71" s="11"/>
      <c r="AF71" s="12">
        <v>316403</v>
      </c>
      <c r="AG71" s="11"/>
      <c r="AH71" s="11"/>
      <c r="AI71" s="11"/>
      <c r="AJ71" s="11"/>
      <c r="AK71" s="11"/>
      <c r="AL71" s="10" t="s">
        <v>695</v>
      </c>
      <c r="AM71" s="11"/>
      <c r="AN71" s="11"/>
      <c r="AO71" s="11"/>
      <c r="AP71" s="11"/>
      <c r="AQ71" s="11"/>
      <c r="AR71" s="10" t="s">
        <v>325</v>
      </c>
      <c r="AS71" s="10" t="s">
        <v>66</v>
      </c>
      <c r="AT71" s="10" t="s">
        <v>53</v>
      </c>
    </row>
    <row r="72" spans="1:46" ht="20" hidden="1" customHeight="1" x14ac:dyDescent="0.15">
      <c r="A72" s="8" t="s">
        <v>702</v>
      </c>
      <c r="B72" s="9" t="s">
        <v>703</v>
      </c>
      <c r="C72" s="10" t="s">
        <v>704</v>
      </c>
      <c r="D72" s="10" t="s">
        <v>705</v>
      </c>
      <c r="E72" s="10" t="s">
        <v>51</v>
      </c>
      <c r="F72" s="10" t="s">
        <v>668</v>
      </c>
      <c r="G72" s="11"/>
      <c r="H72" s="10" t="s">
        <v>575</v>
      </c>
      <c r="I72" s="10" t="s">
        <v>53</v>
      </c>
      <c r="J72" s="10" t="s">
        <v>54</v>
      </c>
      <c r="K72" s="11"/>
      <c r="L72" s="11"/>
      <c r="M72" s="11"/>
      <c r="N72" s="11"/>
      <c r="O72" s="11"/>
      <c r="P72" s="11"/>
      <c r="Q72" s="10" t="s">
        <v>706</v>
      </c>
      <c r="R72" s="11"/>
      <c r="S72" s="10" t="s">
        <v>670</v>
      </c>
      <c r="T72" s="10" t="s">
        <v>671</v>
      </c>
      <c r="U72" s="10" t="s">
        <v>672</v>
      </c>
      <c r="V72" s="11"/>
      <c r="W72" s="10" t="s">
        <v>673</v>
      </c>
      <c r="X72" s="10" t="s">
        <v>80</v>
      </c>
      <c r="Y72" s="10" t="s">
        <v>61</v>
      </c>
      <c r="Z72" s="10" t="s">
        <v>707</v>
      </c>
      <c r="AA72" s="10" t="s">
        <v>708</v>
      </c>
      <c r="AB72" s="11"/>
      <c r="AC72" s="11"/>
      <c r="AD72" s="10" t="s">
        <v>709</v>
      </c>
      <c r="AE72" s="11"/>
      <c r="AF72" s="12">
        <v>7351</v>
      </c>
      <c r="AG72" s="11"/>
      <c r="AH72" s="11"/>
      <c r="AI72" s="11"/>
      <c r="AJ72" s="11"/>
      <c r="AK72" s="11"/>
      <c r="AL72" s="10" t="s">
        <v>703</v>
      </c>
      <c r="AM72" s="11"/>
      <c r="AN72" s="11"/>
      <c r="AO72" s="11"/>
      <c r="AP72" s="11"/>
      <c r="AQ72" s="11"/>
      <c r="AR72" s="10" t="s">
        <v>325</v>
      </c>
      <c r="AS72" s="10" t="s">
        <v>66</v>
      </c>
      <c r="AT72" s="10" t="s">
        <v>53</v>
      </c>
    </row>
    <row r="73" spans="1:46" ht="20" hidden="1" customHeight="1" x14ac:dyDescent="0.15">
      <c r="A73" s="8" t="s">
        <v>710</v>
      </c>
      <c r="B73" s="9" t="s">
        <v>711</v>
      </c>
      <c r="C73" s="10" t="s">
        <v>712</v>
      </c>
      <c r="D73" s="10" t="s">
        <v>713</v>
      </c>
      <c r="E73" s="10" t="s">
        <v>51</v>
      </c>
      <c r="F73" s="10" t="s">
        <v>668</v>
      </c>
      <c r="G73" s="11"/>
      <c r="H73" s="10" t="s">
        <v>714</v>
      </c>
      <c r="I73" s="10" t="s">
        <v>53</v>
      </c>
      <c r="J73" s="10" t="s">
        <v>54</v>
      </c>
      <c r="K73" s="11"/>
      <c r="L73" s="11"/>
      <c r="M73" s="11"/>
      <c r="N73" s="11"/>
      <c r="O73" s="11"/>
      <c r="P73" s="11"/>
      <c r="Q73" s="10" t="s">
        <v>75</v>
      </c>
      <c r="R73" s="11"/>
      <c r="S73" s="10" t="s">
        <v>670</v>
      </c>
      <c r="T73" s="10" t="s">
        <v>671</v>
      </c>
      <c r="U73" s="10" t="s">
        <v>672</v>
      </c>
      <c r="V73" s="11"/>
      <c r="W73" s="10" t="s">
        <v>673</v>
      </c>
      <c r="X73" s="10" t="s">
        <v>80</v>
      </c>
      <c r="Y73" s="10" t="s">
        <v>61</v>
      </c>
      <c r="Z73" s="10" t="s">
        <v>715</v>
      </c>
      <c r="AA73" s="10" t="s">
        <v>716</v>
      </c>
      <c r="AB73" s="11"/>
      <c r="AC73" s="11"/>
      <c r="AD73" s="10" t="s">
        <v>717</v>
      </c>
      <c r="AE73" s="11"/>
      <c r="AF73" s="12">
        <v>20269</v>
      </c>
      <c r="AG73" s="11"/>
      <c r="AH73" s="11"/>
      <c r="AI73" s="11"/>
      <c r="AJ73" s="11"/>
      <c r="AK73" s="11"/>
      <c r="AL73" s="10" t="s">
        <v>711</v>
      </c>
      <c r="AM73" s="11"/>
      <c r="AN73" s="11"/>
      <c r="AO73" s="11"/>
      <c r="AP73" s="11"/>
      <c r="AQ73" s="11"/>
      <c r="AR73" s="10" t="s">
        <v>718</v>
      </c>
      <c r="AS73" s="10" t="s">
        <v>66</v>
      </c>
      <c r="AT73" s="10" t="s">
        <v>53</v>
      </c>
    </row>
    <row r="74" spans="1:46" ht="20" customHeight="1" x14ac:dyDescent="0.15">
      <c r="A74" s="8" t="s">
        <v>719</v>
      </c>
      <c r="B74" s="9" t="s">
        <v>720</v>
      </c>
      <c r="C74" s="10" t="s">
        <v>721</v>
      </c>
      <c r="D74" s="10" t="s">
        <v>722</v>
      </c>
      <c r="E74" s="10" t="s">
        <v>51</v>
      </c>
      <c r="F74" s="10" t="s">
        <v>668</v>
      </c>
      <c r="G74" s="11"/>
      <c r="H74" s="10" t="s">
        <v>723</v>
      </c>
      <c r="I74" s="10" t="s">
        <v>53</v>
      </c>
      <c r="J74" s="10" t="s">
        <v>54</v>
      </c>
      <c r="K74" s="11"/>
      <c r="L74" s="11"/>
      <c r="M74" s="11"/>
      <c r="N74" s="11"/>
      <c r="O74" s="11"/>
      <c r="P74" s="11"/>
      <c r="Q74" s="10" t="s">
        <v>75</v>
      </c>
      <c r="R74" s="11"/>
      <c r="S74" s="10" t="s">
        <v>670</v>
      </c>
      <c r="T74" s="10" t="s">
        <v>671</v>
      </c>
      <c r="U74" s="10" t="s">
        <v>672</v>
      </c>
      <c r="V74" s="11"/>
      <c r="W74" s="10" t="s">
        <v>673</v>
      </c>
      <c r="X74" s="10" t="s">
        <v>80</v>
      </c>
      <c r="Y74" s="10" t="s">
        <v>61</v>
      </c>
      <c r="Z74" s="10" t="s">
        <v>724</v>
      </c>
      <c r="AA74" s="10" t="s">
        <v>725</v>
      </c>
      <c r="AB74" s="11"/>
      <c r="AC74" s="11"/>
      <c r="AD74" s="10" t="s">
        <v>726</v>
      </c>
      <c r="AE74" s="11"/>
      <c r="AF74" s="12">
        <v>25926</v>
      </c>
      <c r="AG74" s="11"/>
      <c r="AH74" s="11"/>
      <c r="AI74" s="11"/>
      <c r="AJ74" s="11"/>
      <c r="AK74" s="11"/>
      <c r="AL74" s="10" t="s">
        <v>720</v>
      </c>
      <c r="AM74" s="11"/>
      <c r="AN74" s="11"/>
      <c r="AO74" s="11"/>
      <c r="AP74" s="11"/>
      <c r="AQ74" s="11"/>
      <c r="AR74" s="10" t="s">
        <v>727</v>
      </c>
      <c r="AS74" s="10" t="s">
        <v>66</v>
      </c>
      <c r="AT74" s="10" t="s">
        <v>53</v>
      </c>
    </row>
    <row r="75" spans="1:46" ht="20" hidden="1" customHeight="1" x14ac:dyDescent="0.15">
      <c r="A75" s="8" t="s">
        <v>728</v>
      </c>
      <c r="B75" s="9" t="s">
        <v>729</v>
      </c>
      <c r="C75" s="10" t="s">
        <v>730</v>
      </c>
      <c r="D75" s="10" t="s">
        <v>731</v>
      </c>
      <c r="E75" s="10" t="s">
        <v>51</v>
      </c>
      <c r="F75" s="10" t="s">
        <v>732</v>
      </c>
      <c r="G75" s="11"/>
      <c r="H75" s="10" t="s">
        <v>91</v>
      </c>
      <c r="I75" s="10" t="s">
        <v>53</v>
      </c>
      <c r="J75" s="10" t="s">
        <v>54</v>
      </c>
      <c r="K75" s="11"/>
      <c r="L75" s="10" t="s">
        <v>733</v>
      </c>
      <c r="M75" s="11"/>
      <c r="N75" s="11"/>
      <c r="O75" s="11"/>
      <c r="P75" s="11"/>
      <c r="Q75" s="10" t="s">
        <v>603</v>
      </c>
      <c r="R75" s="11"/>
      <c r="S75" s="10" t="s">
        <v>734</v>
      </c>
      <c r="T75" s="10" t="s">
        <v>735</v>
      </c>
      <c r="U75" s="10" t="s">
        <v>736</v>
      </c>
      <c r="V75" s="11"/>
      <c r="W75" s="10" t="s">
        <v>737</v>
      </c>
      <c r="X75" s="10" t="s">
        <v>80</v>
      </c>
      <c r="Y75" s="10" t="s">
        <v>61</v>
      </c>
      <c r="Z75" s="10" t="s">
        <v>738</v>
      </c>
      <c r="AA75" s="10" t="s">
        <v>739</v>
      </c>
      <c r="AB75" s="11"/>
      <c r="AC75" s="11"/>
      <c r="AD75" s="11"/>
      <c r="AE75" s="11"/>
      <c r="AF75" s="12">
        <v>1424</v>
      </c>
      <c r="AG75" s="11"/>
      <c r="AH75" s="10" t="s">
        <v>740</v>
      </c>
      <c r="AI75" s="11"/>
      <c r="AJ75" s="10" t="s">
        <v>741</v>
      </c>
      <c r="AK75" s="10" t="s">
        <v>742</v>
      </c>
      <c r="AL75" s="10" t="s">
        <v>743</v>
      </c>
      <c r="AM75" s="11"/>
      <c r="AN75" s="11"/>
      <c r="AO75" s="11"/>
      <c r="AP75" s="11"/>
      <c r="AQ75" s="11"/>
      <c r="AR75" s="10" t="s">
        <v>325</v>
      </c>
      <c r="AS75" s="10" t="s">
        <v>66</v>
      </c>
      <c r="AT75" s="10" t="s">
        <v>53</v>
      </c>
    </row>
    <row r="76" spans="1:46" ht="20" hidden="1" customHeight="1" x14ac:dyDescent="0.15">
      <c r="A76" s="8" t="s">
        <v>744</v>
      </c>
      <c r="B76" s="9" t="s">
        <v>745</v>
      </c>
      <c r="C76" s="10" t="s">
        <v>746</v>
      </c>
      <c r="D76" s="10" t="s">
        <v>747</v>
      </c>
      <c r="E76" s="10" t="s">
        <v>51</v>
      </c>
      <c r="F76" s="10" t="s">
        <v>732</v>
      </c>
      <c r="G76" s="11"/>
      <c r="H76" s="10" t="s">
        <v>91</v>
      </c>
      <c r="I76" s="10" t="s">
        <v>53</v>
      </c>
      <c r="J76" s="10" t="s">
        <v>54</v>
      </c>
      <c r="K76" s="11"/>
      <c r="L76" s="10" t="s">
        <v>733</v>
      </c>
      <c r="M76" s="11"/>
      <c r="N76" s="11"/>
      <c r="O76" s="11"/>
      <c r="P76" s="11"/>
      <c r="Q76" s="10" t="s">
        <v>603</v>
      </c>
      <c r="R76" s="11"/>
      <c r="S76" s="10" t="s">
        <v>734</v>
      </c>
      <c r="T76" s="10" t="s">
        <v>735</v>
      </c>
      <c r="U76" s="10" t="s">
        <v>736</v>
      </c>
      <c r="V76" s="11"/>
      <c r="W76" s="10" t="s">
        <v>737</v>
      </c>
      <c r="X76" s="10" t="s">
        <v>80</v>
      </c>
      <c r="Y76" s="10" t="s">
        <v>61</v>
      </c>
      <c r="Z76" s="10" t="s">
        <v>748</v>
      </c>
      <c r="AA76" s="10" t="s">
        <v>749</v>
      </c>
      <c r="AB76" s="11"/>
      <c r="AC76" s="11"/>
      <c r="AD76" s="11"/>
      <c r="AE76" s="11"/>
      <c r="AF76" s="12">
        <v>11931</v>
      </c>
      <c r="AG76" s="11"/>
      <c r="AH76" s="10" t="s">
        <v>287</v>
      </c>
      <c r="AI76" s="11"/>
      <c r="AJ76" s="10" t="s">
        <v>741</v>
      </c>
      <c r="AK76" s="10" t="s">
        <v>742</v>
      </c>
      <c r="AL76" s="10" t="s">
        <v>743</v>
      </c>
      <c r="AM76" s="11"/>
      <c r="AN76" s="11"/>
      <c r="AO76" s="11"/>
      <c r="AP76" s="11"/>
      <c r="AQ76" s="11"/>
      <c r="AR76" s="10" t="s">
        <v>750</v>
      </c>
      <c r="AS76" s="10" t="s">
        <v>66</v>
      </c>
      <c r="AT76" s="10" t="s">
        <v>53</v>
      </c>
    </row>
    <row r="77" spans="1:46" ht="20" hidden="1" customHeight="1" x14ac:dyDescent="0.15">
      <c r="A77" s="8" t="s">
        <v>751</v>
      </c>
      <c r="B77" s="9" t="s">
        <v>752</v>
      </c>
      <c r="C77" s="10" t="s">
        <v>753</v>
      </c>
      <c r="D77" s="10" t="s">
        <v>754</v>
      </c>
      <c r="E77" s="10" t="s">
        <v>51</v>
      </c>
      <c r="F77" s="10" t="s">
        <v>732</v>
      </c>
      <c r="G77" s="11"/>
      <c r="H77" s="10" t="s">
        <v>91</v>
      </c>
      <c r="I77" s="10" t="s">
        <v>53</v>
      </c>
      <c r="J77" s="10" t="s">
        <v>54</v>
      </c>
      <c r="K77" s="11"/>
      <c r="L77" s="10" t="s">
        <v>733</v>
      </c>
      <c r="M77" s="11"/>
      <c r="N77" s="11"/>
      <c r="O77" s="11"/>
      <c r="P77" s="11"/>
      <c r="Q77" s="10" t="s">
        <v>603</v>
      </c>
      <c r="R77" s="11"/>
      <c r="S77" s="10" t="s">
        <v>734</v>
      </c>
      <c r="T77" s="10" t="s">
        <v>735</v>
      </c>
      <c r="U77" s="10" t="s">
        <v>736</v>
      </c>
      <c r="V77" s="11"/>
      <c r="W77" s="10" t="s">
        <v>737</v>
      </c>
      <c r="X77" s="10" t="s">
        <v>80</v>
      </c>
      <c r="Y77" s="10" t="s">
        <v>61</v>
      </c>
      <c r="Z77" s="10" t="s">
        <v>755</v>
      </c>
      <c r="AA77" s="10" t="s">
        <v>756</v>
      </c>
      <c r="AB77" s="11"/>
      <c r="AC77" s="11"/>
      <c r="AD77" s="11"/>
      <c r="AE77" s="11"/>
      <c r="AF77" s="12">
        <v>1677</v>
      </c>
      <c r="AG77" s="11"/>
      <c r="AH77" s="10" t="s">
        <v>276</v>
      </c>
      <c r="AI77" s="11"/>
      <c r="AJ77" s="10" t="s">
        <v>757</v>
      </c>
      <c r="AK77" s="10" t="s">
        <v>758</v>
      </c>
      <c r="AL77" s="10" t="s">
        <v>743</v>
      </c>
      <c r="AM77" s="11"/>
      <c r="AN77" s="11"/>
      <c r="AO77" s="11"/>
      <c r="AP77" s="11"/>
      <c r="AQ77" s="11"/>
      <c r="AR77" s="10" t="s">
        <v>325</v>
      </c>
      <c r="AS77" s="10" t="s">
        <v>66</v>
      </c>
      <c r="AT77" s="10" t="s">
        <v>53</v>
      </c>
    </row>
    <row r="78" spans="1:46" ht="20" hidden="1" customHeight="1" x14ac:dyDescent="0.15">
      <c r="A78" s="8" t="s">
        <v>759</v>
      </c>
      <c r="B78" s="9" t="s">
        <v>760</v>
      </c>
      <c r="C78" s="10" t="s">
        <v>761</v>
      </c>
      <c r="D78" s="10" t="s">
        <v>762</v>
      </c>
      <c r="E78" s="10" t="s">
        <v>51</v>
      </c>
      <c r="F78" s="10" t="s">
        <v>732</v>
      </c>
      <c r="G78" s="11"/>
      <c r="H78" s="10" t="s">
        <v>91</v>
      </c>
      <c r="I78" s="10" t="s">
        <v>53</v>
      </c>
      <c r="J78" s="10" t="s">
        <v>54</v>
      </c>
      <c r="K78" s="11"/>
      <c r="L78" s="10" t="s">
        <v>733</v>
      </c>
      <c r="M78" s="11"/>
      <c r="N78" s="11"/>
      <c r="O78" s="11"/>
      <c r="P78" s="11"/>
      <c r="Q78" s="10" t="s">
        <v>603</v>
      </c>
      <c r="R78" s="11"/>
      <c r="S78" s="10" t="s">
        <v>734</v>
      </c>
      <c r="T78" s="10" t="s">
        <v>735</v>
      </c>
      <c r="U78" s="10" t="s">
        <v>736</v>
      </c>
      <c r="V78" s="11"/>
      <c r="W78" s="10" t="s">
        <v>737</v>
      </c>
      <c r="X78" s="10" t="s">
        <v>80</v>
      </c>
      <c r="Y78" s="10" t="s">
        <v>61</v>
      </c>
      <c r="Z78" s="10" t="s">
        <v>763</v>
      </c>
      <c r="AA78" s="10" t="s">
        <v>764</v>
      </c>
      <c r="AB78" s="11"/>
      <c r="AC78" s="11"/>
      <c r="AD78" s="11"/>
      <c r="AE78" s="11"/>
      <c r="AF78" s="12">
        <v>1000</v>
      </c>
      <c r="AG78" s="11"/>
      <c r="AH78" s="10" t="s">
        <v>276</v>
      </c>
      <c r="AI78" s="11"/>
      <c r="AJ78" s="10" t="s">
        <v>757</v>
      </c>
      <c r="AK78" s="10" t="s">
        <v>758</v>
      </c>
      <c r="AL78" s="10" t="s">
        <v>743</v>
      </c>
      <c r="AM78" s="11"/>
      <c r="AN78" s="11"/>
      <c r="AO78" s="11"/>
      <c r="AP78" s="11"/>
      <c r="AQ78" s="11"/>
      <c r="AR78" s="10" t="s">
        <v>325</v>
      </c>
      <c r="AS78" s="10" t="s">
        <v>66</v>
      </c>
      <c r="AT78" s="10" t="s">
        <v>53</v>
      </c>
    </row>
    <row r="79" spans="1:46" ht="20" hidden="1" customHeight="1" x14ac:dyDescent="0.15">
      <c r="A79" s="8" t="s">
        <v>765</v>
      </c>
      <c r="B79" s="9" t="s">
        <v>766</v>
      </c>
      <c r="C79" s="10" t="s">
        <v>767</v>
      </c>
      <c r="D79" s="10" t="s">
        <v>768</v>
      </c>
      <c r="E79" s="10" t="s">
        <v>51</v>
      </c>
      <c r="F79" s="10" t="s">
        <v>732</v>
      </c>
      <c r="G79" s="11"/>
      <c r="H79" s="10" t="s">
        <v>91</v>
      </c>
      <c r="I79" s="10" t="s">
        <v>53</v>
      </c>
      <c r="J79" s="10" t="s">
        <v>54</v>
      </c>
      <c r="K79" s="11"/>
      <c r="L79" s="10" t="s">
        <v>733</v>
      </c>
      <c r="M79" s="11"/>
      <c r="N79" s="11"/>
      <c r="O79" s="11"/>
      <c r="P79" s="11"/>
      <c r="Q79" s="10" t="s">
        <v>603</v>
      </c>
      <c r="R79" s="11"/>
      <c r="S79" s="10" t="s">
        <v>734</v>
      </c>
      <c r="T79" s="10" t="s">
        <v>735</v>
      </c>
      <c r="U79" s="10" t="s">
        <v>736</v>
      </c>
      <c r="V79" s="11"/>
      <c r="W79" s="10" t="s">
        <v>737</v>
      </c>
      <c r="X79" s="10" t="s">
        <v>80</v>
      </c>
      <c r="Y79" s="10" t="s">
        <v>61</v>
      </c>
      <c r="Z79" s="10" t="s">
        <v>769</v>
      </c>
      <c r="AA79" s="10" t="s">
        <v>770</v>
      </c>
      <c r="AB79" s="11"/>
      <c r="AC79" s="11"/>
      <c r="AD79" s="11"/>
      <c r="AE79" s="11"/>
      <c r="AF79" s="12">
        <v>1000</v>
      </c>
      <c r="AG79" s="11"/>
      <c r="AH79" s="10" t="s">
        <v>276</v>
      </c>
      <c r="AI79" s="11"/>
      <c r="AJ79" s="10" t="s">
        <v>771</v>
      </c>
      <c r="AK79" s="10" t="s">
        <v>772</v>
      </c>
      <c r="AL79" s="10" t="s">
        <v>743</v>
      </c>
      <c r="AM79" s="11"/>
      <c r="AN79" s="11"/>
      <c r="AO79" s="11"/>
      <c r="AP79" s="11"/>
      <c r="AQ79" s="11"/>
      <c r="AR79" s="10" t="s">
        <v>325</v>
      </c>
      <c r="AS79" s="10" t="s">
        <v>66</v>
      </c>
      <c r="AT79" s="10" t="s">
        <v>53</v>
      </c>
    </row>
    <row r="80" spans="1:46" ht="20" hidden="1" customHeight="1" x14ac:dyDescent="0.15">
      <c r="A80" s="8" t="s">
        <v>773</v>
      </c>
      <c r="B80" s="9" t="s">
        <v>774</v>
      </c>
      <c r="C80" s="10" t="s">
        <v>775</v>
      </c>
      <c r="D80" s="10" t="s">
        <v>776</v>
      </c>
      <c r="E80" s="10" t="s">
        <v>51</v>
      </c>
      <c r="F80" s="10" t="s">
        <v>732</v>
      </c>
      <c r="G80" s="11"/>
      <c r="H80" s="10" t="s">
        <v>91</v>
      </c>
      <c r="I80" s="10" t="s">
        <v>53</v>
      </c>
      <c r="J80" s="10" t="s">
        <v>54</v>
      </c>
      <c r="K80" s="11"/>
      <c r="L80" s="10" t="s">
        <v>733</v>
      </c>
      <c r="M80" s="11"/>
      <c r="N80" s="11"/>
      <c r="O80" s="11"/>
      <c r="P80" s="11"/>
      <c r="Q80" s="10" t="s">
        <v>603</v>
      </c>
      <c r="R80" s="11"/>
      <c r="S80" s="10" t="s">
        <v>734</v>
      </c>
      <c r="T80" s="10" t="s">
        <v>735</v>
      </c>
      <c r="U80" s="10" t="s">
        <v>736</v>
      </c>
      <c r="V80" s="11"/>
      <c r="W80" s="10" t="s">
        <v>737</v>
      </c>
      <c r="X80" s="10" t="s">
        <v>80</v>
      </c>
      <c r="Y80" s="10" t="s">
        <v>61</v>
      </c>
      <c r="Z80" s="10" t="s">
        <v>777</v>
      </c>
      <c r="AA80" s="10" t="s">
        <v>778</v>
      </c>
      <c r="AB80" s="11"/>
      <c r="AC80" s="11"/>
      <c r="AD80" s="11"/>
      <c r="AE80" s="11"/>
      <c r="AF80" s="12">
        <v>4000</v>
      </c>
      <c r="AG80" s="11"/>
      <c r="AH80" s="10" t="s">
        <v>276</v>
      </c>
      <c r="AI80" s="11"/>
      <c r="AJ80" s="10" t="s">
        <v>771</v>
      </c>
      <c r="AK80" s="10" t="s">
        <v>758</v>
      </c>
      <c r="AL80" s="10" t="s">
        <v>743</v>
      </c>
      <c r="AM80" s="11"/>
      <c r="AN80" s="11"/>
      <c r="AO80" s="11"/>
      <c r="AP80" s="11"/>
      <c r="AQ80" s="11"/>
      <c r="AR80" s="10" t="s">
        <v>325</v>
      </c>
      <c r="AS80" s="10" t="s">
        <v>66</v>
      </c>
      <c r="AT80" s="10" t="s">
        <v>53</v>
      </c>
    </row>
    <row r="81" spans="1:46" ht="20" hidden="1" customHeight="1" x14ac:dyDescent="0.15">
      <c r="A81" s="8" t="s">
        <v>779</v>
      </c>
      <c r="B81" s="9" t="s">
        <v>780</v>
      </c>
      <c r="C81" s="10" t="s">
        <v>781</v>
      </c>
      <c r="D81" s="10" t="s">
        <v>782</v>
      </c>
      <c r="E81" s="10" t="s">
        <v>51</v>
      </c>
      <c r="F81" s="10" t="s">
        <v>732</v>
      </c>
      <c r="G81" s="11"/>
      <c r="H81" s="10" t="s">
        <v>91</v>
      </c>
      <c r="I81" s="10" t="s">
        <v>53</v>
      </c>
      <c r="J81" s="10" t="s">
        <v>54</v>
      </c>
      <c r="K81" s="11"/>
      <c r="L81" s="10" t="s">
        <v>733</v>
      </c>
      <c r="M81" s="11"/>
      <c r="N81" s="11"/>
      <c r="O81" s="11"/>
      <c r="P81" s="11"/>
      <c r="Q81" s="10" t="s">
        <v>603</v>
      </c>
      <c r="R81" s="11"/>
      <c r="S81" s="10" t="s">
        <v>734</v>
      </c>
      <c r="T81" s="10" t="s">
        <v>735</v>
      </c>
      <c r="U81" s="10" t="s">
        <v>736</v>
      </c>
      <c r="V81" s="11"/>
      <c r="W81" s="10" t="s">
        <v>737</v>
      </c>
      <c r="X81" s="10" t="s">
        <v>80</v>
      </c>
      <c r="Y81" s="10" t="s">
        <v>61</v>
      </c>
      <c r="Z81" s="10" t="s">
        <v>783</v>
      </c>
      <c r="AA81" s="10" t="s">
        <v>784</v>
      </c>
      <c r="AB81" s="11"/>
      <c r="AC81" s="11"/>
      <c r="AD81" s="11"/>
      <c r="AE81" s="11"/>
      <c r="AF81" s="12">
        <v>4000</v>
      </c>
      <c r="AG81" s="11"/>
      <c r="AH81" s="10" t="s">
        <v>276</v>
      </c>
      <c r="AI81" s="11"/>
      <c r="AJ81" s="10" t="s">
        <v>785</v>
      </c>
      <c r="AK81" s="10" t="s">
        <v>758</v>
      </c>
      <c r="AL81" s="10" t="s">
        <v>743</v>
      </c>
      <c r="AM81" s="11"/>
      <c r="AN81" s="11"/>
      <c r="AO81" s="11"/>
      <c r="AP81" s="11"/>
      <c r="AQ81" s="11"/>
      <c r="AR81" s="10" t="s">
        <v>325</v>
      </c>
      <c r="AS81" s="10" t="s">
        <v>66</v>
      </c>
      <c r="AT81" s="10" t="s">
        <v>53</v>
      </c>
    </row>
    <row r="82" spans="1:46" ht="20" hidden="1" customHeight="1" x14ac:dyDescent="0.15">
      <c r="A82" s="8" t="s">
        <v>786</v>
      </c>
      <c r="B82" s="9" t="s">
        <v>787</v>
      </c>
      <c r="C82" s="10" t="s">
        <v>788</v>
      </c>
      <c r="D82" s="10" t="s">
        <v>789</v>
      </c>
      <c r="E82" s="10" t="s">
        <v>51</v>
      </c>
      <c r="F82" s="10" t="s">
        <v>732</v>
      </c>
      <c r="G82" s="11"/>
      <c r="H82" s="10" t="s">
        <v>91</v>
      </c>
      <c r="I82" s="10" t="s">
        <v>53</v>
      </c>
      <c r="J82" s="10" t="s">
        <v>54</v>
      </c>
      <c r="K82" s="11"/>
      <c r="L82" s="10" t="s">
        <v>733</v>
      </c>
      <c r="M82" s="11"/>
      <c r="N82" s="11"/>
      <c r="O82" s="11"/>
      <c r="P82" s="11"/>
      <c r="Q82" s="10" t="s">
        <v>75</v>
      </c>
      <c r="R82" s="11"/>
      <c r="S82" s="10" t="s">
        <v>734</v>
      </c>
      <c r="T82" s="10" t="s">
        <v>735</v>
      </c>
      <c r="U82" s="10" t="s">
        <v>736</v>
      </c>
      <c r="V82" s="11"/>
      <c r="W82" s="10" t="s">
        <v>737</v>
      </c>
      <c r="X82" s="10" t="s">
        <v>80</v>
      </c>
      <c r="Y82" s="10" t="s">
        <v>61</v>
      </c>
      <c r="Z82" s="10" t="s">
        <v>790</v>
      </c>
      <c r="AA82" s="10" t="s">
        <v>791</v>
      </c>
      <c r="AB82" s="11"/>
      <c r="AC82" s="11"/>
      <c r="AD82" s="11"/>
      <c r="AE82" s="11"/>
      <c r="AF82" s="12">
        <v>27116</v>
      </c>
      <c r="AG82" s="11"/>
      <c r="AH82" s="10" t="s">
        <v>297</v>
      </c>
      <c r="AI82" s="11"/>
      <c r="AJ82" s="10" t="s">
        <v>785</v>
      </c>
      <c r="AK82" s="10" t="s">
        <v>792</v>
      </c>
      <c r="AL82" s="10" t="s">
        <v>743</v>
      </c>
      <c r="AM82" s="11"/>
      <c r="AN82" s="11"/>
      <c r="AO82" s="11"/>
      <c r="AP82" s="11"/>
      <c r="AQ82" s="11"/>
      <c r="AR82" s="10" t="s">
        <v>793</v>
      </c>
      <c r="AS82" s="10" t="s">
        <v>66</v>
      </c>
      <c r="AT82" s="10" t="s">
        <v>53</v>
      </c>
    </row>
    <row r="83" spans="1:46" ht="20" hidden="1" customHeight="1" x14ac:dyDescent="0.15">
      <c r="A83" s="8" t="s">
        <v>794</v>
      </c>
      <c r="B83" s="9" t="s">
        <v>795</v>
      </c>
      <c r="C83" s="10" t="s">
        <v>796</v>
      </c>
      <c r="D83" s="10" t="s">
        <v>797</v>
      </c>
      <c r="E83" s="10" t="s">
        <v>51</v>
      </c>
      <c r="F83" s="10" t="s">
        <v>732</v>
      </c>
      <c r="G83" s="11"/>
      <c r="H83" s="10" t="s">
        <v>91</v>
      </c>
      <c r="I83" s="10" t="s">
        <v>53</v>
      </c>
      <c r="J83" s="10" t="s">
        <v>54</v>
      </c>
      <c r="K83" s="11"/>
      <c r="L83" s="10" t="s">
        <v>733</v>
      </c>
      <c r="M83" s="11"/>
      <c r="N83" s="11"/>
      <c r="O83" s="11"/>
      <c r="P83" s="11"/>
      <c r="Q83" s="10" t="s">
        <v>603</v>
      </c>
      <c r="R83" s="11"/>
      <c r="S83" s="10" t="s">
        <v>734</v>
      </c>
      <c r="T83" s="10" t="s">
        <v>735</v>
      </c>
      <c r="U83" s="10" t="s">
        <v>736</v>
      </c>
      <c r="V83" s="11"/>
      <c r="W83" s="10" t="s">
        <v>737</v>
      </c>
      <c r="X83" s="10" t="s">
        <v>80</v>
      </c>
      <c r="Y83" s="10" t="s">
        <v>61</v>
      </c>
      <c r="Z83" s="10" t="s">
        <v>798</v>
      </c>
      <c r="AA83" s="10" t="s">
        <v>799</v>
      </c>
      <c r="AB83" s="11"/>
      <c r="AC83" s="11"/>
      <c r="AD83" s="11"/>
      <c r="AE83" s="11"/>
      <c r="AF83" s="12">
        <v>16041</v>
      </c>
      <c r="AG83" s="11"/>
      <c r="AH83" s="10" t="s">
        <v>297</v>
      </c>
      <c r="AI83" s="11"/>
      <c r="AJ83" s="10" t="s">
        <v>800</v>
      </c>
      <c r="AK83" s="10" t="s">
        <v>792</v>
      </c>
      <c r="AL83" s="10" t="s">
        <v>743</v>
      </c>
      <c r="AM83" s="11"/>
      <c r="AN83" s="11"/>
      <c r="AO83" s="11"/>
      <c r="AP83" s="11"/>
      <c r="AQ83" s="11"/>
      <c r="AR83" s="10" t="s">
        <v>801</v>
      </c>
      <c r="AS83" s="10" t="s">
        <v>66</v>
      </c>
      <c r="AT83" s="10" t="s">
        <v>53</v>
      </c>
    </row>
    <row r="84" spans="1:46" ht="20" hidden="1" customHeight="1" x14ac:dyDescent="0.15">
      <c r="A84" s="8" t="s">
        <v>802</v>
      </c>
      <c r="B84" s="9" t="s">
        <v>803</v>
      </c>
      <c r="C84" s="10" t="s">
        <v>804</v>
      </c>
      <c r="D84" s="10" t="s">
        <v>805</v>
      </c>
      <c r="E84" s="10" t="s">
        <v>51</v>
      </c>
      <c r="F84" s="10" t="s">
        <v>732</v>
      </c>
      <c r="G84" s="11"/>
      <c r="H84" s="10" t="s">
        <v>91</v>
      </c>
      <c r="I84" s="10" t="s">
        <v>53</v>
      </c>
      <c r="J84" s="10" t="s">
        <v>54</v>
      </c>
      <c r="K84" s="11"/>
      <c r="L84" s="10" t="s">
        <v>733</v>
      </c>
      <c r="M84" s="11"/>
      <c r="N84" s="11"/>
      <c r="O84" s="11"/>
      <c r="P84" s="11"/>
      <c r="Q84" s="10" t="s">
        <v>603</v>
      </c>
      <c r="R84" s="11"/>
      <c r="S84" s="10" t="s">
        <v>734</v>
      </c>
      <c r="T84" s="10" t="s">
        <v>735</v>
      </c>
      <c r="U84" s="10" t="s">
        <v>736</v>
      </c>
      <c r="V84" s="11"/>
      <c r="W84" s="10" t="s">
        <v>737</v>
      </c>
      <c r="X84" s="10" t="s">
        <v>80</v>
      </c>
      <c r="Y84" s="10" t="s">
        <v>61</v>
      </c>
      <c r="Z84" s="10" t="s">
        <v>806</v>
      </c>
      <c r="AA84" s="10" t="s">
        <v>807</v>
      </c>
      <c r="AB84" s="11"/>
      <c r="AC84" s="11"/>
      <c r="AD84" s="10" t="s">
        <v>808</v>
      </c>
      <c r="AE84" s="10" t="s">
        <v>809</v>
      </c>
      <c r="AF84" s="12">
        <v>35000</v>
      </c>
      <c r="AG84" s="11"/>
      <c r="AH84" s="10" t="s">
        <v>297</v>
      </c>
      <c r="AI84" s="11"/>
      <c r="AJ84" s="10" t="s">
        <v>800</v>
      </c>
      <c r="AK84" s="10" t="s">
        <v>810</v>
      </c>
      <c r="AL84" s="10" t="s">
        <v>743</v>
      </c>
      <c r="AM84" s="11"/>
      <c r="AN84" s="11"/>
      <c r="AO84" s="11"/>
      <c r="AP84" s="11"/>
      <c r="AQ84" s="11"/>
      <c r="AR84" s="10" t="s">
        <v>325</v>
      </c>
      <c r="AS84" s="10" t="s">
        <v>66</v>
      </c>
      <c r="AT84" s="10" t="s">
        <v>53</v>
      </c>
    </row>
    <row r="85" spans="1:46" ht="20" hidden="1" customHeight="1" x14ac:dyDescent="0.15">
      <c r="A85" s="8" t="s">
        <v>811</v>
      </c>
      <c r="B85" s="9" t="s">
        <v>812</v>
      </c>
      <c r="C85" s="10" t="s">
        <v>813</v>
      </c>
      <c r="D85" s="10" t="s">
        <v>814</v>
      </c>
      <c r="E85" s="10" t="s">
        <v>51</v>
      </c>
      <c r="F85" s="10" t="s">
        <v>732</v>
      </c>
      <c r="G85" s="11"/>
      <c r="H85" s="10" t="s">
        <v>91</v>
      </c>
      <c r="I85" s="10" t="s">
        <v>53</v>
      </c>
      <c r="J85" s="10" t="s">
        <v>54</v>
      </c>
      <c r="K85" s="11"/>
      <c r="L85" s="10" t="s">
        <v>733</v>
      </c>
      <c r="M85" s="11"/>
      <c r="N85" s="11"/>
      <c r="O85" s="11"/>
      <c r="P85" s="11"/>
      <c r="Q85" s="10" t="s">
        <v>603</v>
      </c>
      <c r="R85" s="11"/>
      <c r="S85" s="10" t="s">
        <v>734</v>
      </c>
      <c r="T85" s="10" t="s">
        <v>735</v>
      </c>
      <c r="U85" s="10" t="s">
        <v>736</v>
      </c>
      <c r="V85" s="11"/>
      <c r="W85" s="10" t="s">
        <v>737</v>
      </c>
      <c r="X85" s="10" t="s">
        <v>80</v>
      </c>
      <c r="Y85" s="10" t="s">
        <v>61</v>
      </c>
      <c r="Z85" s="10" t="s">
        <v>815</v>
      </c>
      <c r="AA85" s="10" t="s">
        <v>816</v>
      </c>
      <c r="AB85" s="11"/>
      <c r="AC85" s="11"/>
      <c r="AD85" s="11"/>
      <c r="AE85" s="11"/>
      <c r="AF85" s="12">
        <v>19723</v>
      </c>
      <c r="AG85" s="11"/>
      <c r="AH85" s="10" t="s">
        <v>297</v>
      </c>
      <c r="AI85" s="11"/>
      <c r="AJ85" s="10" t="s">
        <v>800</v>
      </c>
      <c r="AK85" s="10" t="s">
        <v>810</v>
      </c>
      <c r="AL85" s="10" t="s">
        <v>743</v>
      </c>
      <c r="AM85" s="11"/>
      <c r="AN85" s="11"/>
      <c r="AO85" s="11"/>
      <c r="AP85" s="11"/>
      <c r="AQ85" s="11"/>
      <c r="AR85" s="10" t="s">
        <v>817</v>
      </c>
      <c r="AS85" s="10" t="s">
        <v>66</v>
      </c>
      <c r="AT85" s="10" t="s">
        <v>53</v>
      </c>
    </row>
    <row r="86" spans="1:46" ht="20" hidden="1" customHeight="1" x14ac:dyDescent="0.15">
      <c r="A86" s="8" t="s">
        <v>818</v>
      </c>
      <c r="B86" s="9" t="s">
        <v>819</v>
      </c>
      <c r="C86" s="10" t="s">
        <v>820</v>
      </c>
      <c r="D86" s="10" t="s">
        <v>821</v>
      </c>
      <c r="E86" s="10" t="s">
        <v>51</v>
      </c>
      <c r="F86" s="10" t="s">
        <v>732</v>
      </c>
      <c r="G86" s="11"/>
      <c r="H86" s="10" t="s">
        <v>91</v>
      </c>
      <c r="I86" s="10" t="s">
        <v>53</v>
      </c>
      <c r="J86" s="10" t="s">
        <v>54</v>
      </c>
      <c r="K86" s="11"/>
      <c r="L86" s="10" t="s">
        <v>733</v>
      </c>
      <c r="M86" s="11"/>
      <c r="N86" s="11"/>
      <c r="O86" s="11"/>
      <c r="P86" s="11"/>
      <c r="Q86" s="10" t="s">
        <v>603</v>
      </c>
      <c r="R86" s="11"/>
      <c r="S86" s="10" t="s">
        <v>734</v>
      </c>
      <c r="T86" s="10" t="s">
        <v>735</v>
      </c>
      <c r="U86" s="10" t="s">
        <v>736</v>
      </c>
      <c r="V86" s="11"/>
      <c r="W86" s="10" t="s">
        <v>737</v>
      </c>
      <c r="X86" s="10" t="s">
        <v>80</v>
      </c>
      <c r="Y86" s="10" t="s">
        <v>61</v>
      </c>
      <c r="Z86" s="10" t="s">
        <v>822</v>
      </c>
      <c r="AA86" s="10" t="s">
        <v>823</v>
      </c>
      <c r="AB86" s="11"/>
      <c r="AC86" s="11"/>
      <c r="AD86" s="11"/>
      <c r="AE86" s="11"/>
      <c r="AF86" s="12">
        <v>19723</v>
      </c>
      <c r="AG86" s="11"/>
      <c r="AH86" s="10" t="s">
        <v>297</v>
      </c>
      <c r="AI86" s="11"/>
      <c r="AJ86" s="10" t="s">
        <v>800</v>
      </c>
      <c r="AK86" s="10" t="s">
        <v>824</v>
      </c>
      <c r="AL86" s="10" t="s">
        <v>743</v>
      </c>
      <c r="AM86" s="11"/>
      <c r="AN86" s="11"/>
      <c r="AO86" s="11"/>
      <c r="AP86" s="11"/>
      <c r="AQ86" s="11"/>
      <c r="AR86" s="10" t="s">
        <v>325</v>
      </c>
      <c r="AS86" s="10" t="s">
        <v>66</v>
      </c>
      <c r="AT86" s="10" t="s">
        <v>53</v>
      </c>
    </row>
    <row r="87" spans="1:46" ht="20" hidden="1" customHeight="1" x14ac:dyDescent="0.15">
      <c r="A87" s="8" t="s">
        <v>825</v>
      </c>
      <c r="B87" s="9" t="s">
        <v>826</v>
      </c>
      <c r="C87" s="10" t="s">
        <v>827</v>
      </c>
      <c r="D87" s="10" t="s">
        <v>828</v>
      </c>
      <c r="E87" s="10" t="s">
        <v>51</v>
      </c>
      <c r="F87" s="10" t="s">
        <v>732</v>
      </c>
      <c r="G87" s="11"/>
      <c r="H87" s="10" t="s">
        <v>91</v>
      </c>
      <c r="I87" s="10" t="s">
        <v>53</v>
      </c>
      <c r="J87" s="10" t="s">
        <v>54</v>
      </c>
      <c r="K87" s="11"/>
      <c r="L87" s="10" t="s">
        <v>733</v>
      </c>
      <c r="M87" s="11"/>
      <c r="N87" s="11"/>
      <c r="O87" s="11"/>
      <c r="P87" s="11"/>
      <c r="Q87" s="10" t="s">
        <v>603</v>
      </c>
      <c r="R87" s="11"/>
      <c r="S87" s="10" t="s">
        <v>734</v>
      </c>
      <c r="T87" s="10" t="s">
        <v>735</v>
      </c>
      <c r="U87" s="10" t="s">
        <v>736</v>
      </c>
      <c r="V87" s="11"/>
      <c r="W87" s="10" t="s">
        <v>737</v>
      </c>
      <c r="X87" s="10" t="s">
        <v>80</v>
      </c>
      <c r="Y87" s="10" t="s">
        <v>61</v>
      </c>
      <c r="Z87" s="10" t="s">
        <v>829</v>
      </c>
      <c r="AA87" s="10" t="s">
        <v>830</v>
      </c>
      <c r="AB87" s="11"/>
      <c r="AC87" s="11"/>
      <c r="AD87" s="11"/>
      <c r="AE87" s="11"/>
      <c r="AF87" s="12">
        <v>19723</v>
      </c>
      <c r="AG87" s="11"/>
      <c r="AH87" s="10" t="s">
        <v>297</v>
      </c>
      <c r="AI87" s="11"/>
      <c r="AJ87" s="10" t="s">
        <v>800</v>
      </c>
      <c r="AK87" s="10" t="s">
        <v>824</v>
      </c>
      <c r="AL87" s="10" t="s">
        <v>743</v>
      </c>
      <c r="AM87" s="11"/>
      <c r="AN87" s="11"/>
      <c r="AO87" s="11"/>
      <c r="AP87" s="11"/>
      <c r="AQ87" s="11"/>
      <c r="AR87" s="10" t="s">
        <v>831</v>
      </c>
      <c r="AS87" s="10" t="s">
        <v>66</v>
      </c>
      <c r="AT87" s="10" t="s">
        <v>53</v>
      </c>
    </row>
    <row r="88" spans="1:46" ht="20" hidden="1" customHeight="1" x14ac:dyDescent="0.15">
      <c r="A88" s="8" t="s">
        <v>832</v>
      </c>
      <c r="B88" s="9" t="s">
        <v>833</v>
      </c>
      <c r="C88" s="10" t="s">
        <v>834</v>
      </c>
      <c r="D88" s="10" t="s">
        <v>835</v>
      </c>
      <c r="E88" s="10" t="s">
        <v>51</v>
      </c>
      <c r="F88" s="10" t="s">
        <v>732</v>
      </c>
      <c r="G88" s="11"/>
      <c r="H88" s="10" t="s">
        <v>91</v>
      </c>
      <c r="I88" s="10" t="s">
        <v>53</v>
      </c>
      <c r="J88" s="10" t="s">
        <v>54</v>
      </c>
      <c r="K88" s="11"/>
      <c r="L88" s="10" t="s">
        <v>733</v>
      </c>
      <c r="M88" s="11"/>
      <c r="N88" s="11"/>
      <c r="O88" s="11"/>
      <c r="P88" s="11"/>
      <c r="Q88" s="10" t="s">
        <v>75</v>
      </c>
      <c r="R88" s="11"/>
      <c r="S88" s="10" t="s">
        <v>734</v>
      </c>
      <c r="T88" s="10" t="s">
        <v>735</v>
      </c>
      <c r="U88" s="10" t="s">
        <v>736</v>
      </c>
      <c r="V88" s="11"/>
      <c r="W88" s="10" t="s">
        <v>737</v>
      </c>
      <c r="X88" s="10" t="s">
        <v>80</v>
      </c>
      <c r="Y88" s="10" t="s">
        <v>61</v>
      </c>
      <c r="Z88" s="10" t="s">
        <v>836</v>
      </c>
      <c r="AA88" s="10" t="s">
        <v>837</v>
      </c>
      <c r="AB88" s="11"/>
      <c r="AC88" s="11"/>
      <c r="AD88" s="11"/>
      <c r="AE88" s="11"/>
      <c r="AF88" s="12">
        <v>19723</v>
      </c>
      <c r="AG88" s="11"/>
      <c r="AH88" s="10" t="s">
        <v>740</v>
      </c>
      <c r="AI88" s="11"/>
      <c r="AJ88" s="10" t="s">
        <v>800</v>
      </c>
      <c r="AK88" s="10" t="s">
        <v>824</v>
      </c>
      <c r="AL88" s="10" t="s">
        <v>743</v>
      </c>
      <c r="AM88" s="11"/>
      <c r="AN88" s="11"/>
      <c r="AO88" s="11"/>
      <c r="AP88" s="11"/>
      <c r="AQ88" s="11"/>
      <c r="AR88" s="10" t="s">
        <v>325</v>
      </c>
      <c r="AS88" s="10" t="s">
        <v>66</v>
      </c>
      <c r="AT88" s="10" t="s">
        <v>53</v>
      </c>
    </row>
    <row r="89" spans="1:46" ht="20" hidden="1" customHeight="1" x14ac:dyDescent="0.15">
      <c r="A89" s="8" t="s">
        <v>838</v>
      </c>
      <c r="B89" s="9" t="s">
        <v>839</v>
      </c>
      <c r="C89" s="10" t="s">
        <v>840</v>
      </c>
      <c r="D89" s="10" t="s">
        <v>841</v>
      </c>
      <c r="E89" s="10" t="s">
        <v>51</v>
      </c>
      <c r="F89" s="10" t="s">
        <v>732</v>
      </c>
      <c r="G89" s="11"/>
      <c r="H89" s="10" t="s">
        <v>91</v>
      </c>
      <c r="I89" s="10" t="s">
        <v>53</v>
      </c>
      <c r="J89" s="10" t="s">
        <v>54</v>
      </c>
      <c r="K89" s="11"/>
      <c r="L89" s="10" t="s">
        <v>733</v>
      </c>
      <c r="M89" s="11"/>
      <c r="N89" s="11"/>
      <c r="O89" s="11"/>
      <c r="P89" s="11"/>
      <c r="Q89" s="10" t="s">
        <v>603</v>
      </c>
      <c r="R89" s="11"/>
      <c r="S89" s="10" t="s">
        <v>734</v>
      </c>
      <c r="T89" s="10" t="s">
        <v>735</v>
      </c>
      <c r="U89" s="10" t="s">
        <v>736</v>
      </c>
      <c r="V89" s="11"/>
      <c r="W89" s="10" t="s">
        <v>737</v>
      </c>
      <c r="X89" s="10" t="s">
        <v>80</v>
      </c>
      <c r="Y89" s="10" t="s">
        <v>61</v>
      </c>
      <c r="Z89" s="10" t="s">
        <v>842</v>
      </c>
      <c r="AA89" s="10" t="s">
        <v>843</v>
      </c>
      <c r="AB89" s="11"/>
      <c r="AC89" s="11"/>
      <c r="AD89" s="11"/>
      <c r="AE89" s="11"/>
      <c r="AF89" s="12">
        <v>9439</v>
      </c>
      <c r="AG89" s="11"/>
      <c r="AH89" s="10" t="s">
        <v>740</v>
      </c>
      <c r="AI89" s="11"/>
      <c r="AJ89" s="10" t="s">
        <v>844</v>
      </c>
      <c r="AK89" s="10" t="s">
        <v>845</v>
      </c>
      <c r="AL89" s="10" t="s">
        <v>743</v>
      </c>
      <c r="AM89" s="11"/>
      <c r="AN89" s="11"/>
      <c r="AO89" s="11"/>
      <c r="AP89" s="11"/>
      <c r="AQ89" s="11"/>
      <c r="AR89" s="10" t="s">
        <v>846</v>
      </c>
      <c r="AS89" s="10" t="s">
        <v>66</v>
      </c>
      <c r="AT89" s="10" t="s">
        <v>53</v>
      </c>
    </row>
    <row r="90" spans="1:46" ht="20" hidden="1" customHeight="1" x14ac:dyDescent="0.15">
      <c r="A90" s="8" t="s">
        <v>847</v>
      </c>
      <c r="B90" s="9" t="s">
        <v>848</v>
      </c>
      <c r="C90" s="10" t="s">
        <v>849</v>
      </c>
      <c r="D90" s="10" t="s">
        <v>850</v>
      </c>
      <c r="E90" s="10" t="s">
        <v>51</v>
      </c>
      <c r="F90" s="10" t="s">
        <v>732</v>
      </c>
      <c r="G90" s="11"/>
      <c r="H90" s="10" t="s">
        <v>91</v>
      </c>
      <c r="I90" s="10" t="s">
        <v>53</v>
      </c>
      <c r="J90" s="10" t="s">
        <v>54</v>
      </c>
      <c r="K90" s="11"/>
      <c r="L90" s="10" t="s">
        <v>733</v>
      </c>
      <c r="M90" s="11"/>
      <c r="N90" s="11"/>
      <c r="O90" s="11"/>
      <c r="P90" s="11"/>
      <c r="Q90" s="10" t="s">
        <v>603</v>
      </c>
      <c r="R90" s="11"/>
      <c r="S90" s="10" t="s">
        <v>734</v>
      </c>
      <c r="T90" s="10" t="s">
        <v>735</v>
      </c>
      <c r="U90" s="10" t="s">
        <v>736</v>
      </c>
      <c r="V90" s="11"/>
      <c r="W90" s="10" t="s">
        <v>737</v>
      </c>
      <c r="X90" s="10" t="s">
        <v>80</v>
      </c>
      <c r="Y90" s="10" t="s">
        <v>61</v>
      </c>
      <c r="Z90" s="10" t="s">
        <v>851</v>
      </c>
      <c r="AA90" s="10" t="s">
        <v>852</v>
      </c>
      <c r="AB90" s="11"/>
      <c r="AC90" s="11"/>
      <c r="AD90" s="11"/>
      <c r="AE90" s="11"/>
      <c r="AF90" s="12">
        <v>1479</v>
      </c>
      <c r="AG90" s="11"/>
      <c r="AH90" s="10" t="s">
        <v>740</v>
      </c>
      <c r="AI90" s="11"/>
      <c r="AJ90" s="10" t="s">
        <v>853</v>
      </c>
      <c r="AK90" s="10" t="s">
        <v>854</v>
      </c>
      <c r="AL90" s="10" t="s">
        <v>743</v>
      </c>
      <c r="AM90" s="11"/>
      <c r="AN90" s="11"/>
      <c r="AO90" s="11"/>
      <c r="AP90" s="11"/>
      <c r="AQ90" s="11"/>
      <c r="AR90" s="10" t="s">
        <v>855</v>
      </c>
      <c r="AS90" s="10" t="s">
        <v>66</v>
      </c>
      <c r="AT90" s="10" t="s">
        <v>53</v>
      </c>
    </row>
    <row r="91" spans="1:46" ht="20" hidden="1" customHeight="1" x14ac:dyDescent="0.15">
      <c r="A91" s="8" t="s">
        <v>856</v>
      </c>
      <c r="B91" s="9" t="s">
        <v>857</v>
      </c>
      <c r="C91" s="10" t="s">
        <v>858</v>
      </c>
      <c r="D91" s="10" t="s">
        <v>859</v>
      </c>
      <c r="E91" s="10" t="s">
        <v>51</v>
      </c>
      <c r="F91" s="10" t="s">
        <v>732</v>
      </c>
      <c r="G91" s="11"/>
      <c r="H91" s="10" t="s">
        <v>91</v>
      </c>
      <c r="I91" s="10" t="s">
        <v>53</v>
      </c>
      <c r="J91" s="10" t="s">
        <v>54</v>
      </c>
      <c r="K91" s="11"/>
      <c r="L91" s="10" t="s">
        <v>733</v>
      </c>
      <c r="M91" s="11"/>
      <c r="N91" s="11"/>
      <c r="O91" s="11"/>
      <c r="P91" s="11"/>
      <c r="Q91" s="10" t="s">
        <v>603</v>
      </c>
      <c r="R91" s="11"/>
      <c r="S91" s="10" t="s">
        <v>734</v>
      </c>
      <c r="T91" s="10" t="s">
        <v>735</v>
      </c>
      <c r="U91" s="10" t="s">
        <v>736</v>
      </c>
      <c r="V91" s="11"/>
      <c r="W91" s="10" t="s">
        <v>737</v>
      </c>
      <c r="X91" s="10" t="s">
        <v>80</v>
      </c>
      <c r="Y91" s="10" t="s">
        <v>61</v>
      </c>
      <c r="Z91" s="10" t="s">
        <v>860</v>
      </c>
      <c r="AA91" s="10" t="s">
        <v>861</v>
      </c>
      <c r="AB91" s="11"/>
      <c r="AC91" s="11"/>
      <c r="AD91" s="11"/>
      <c r="AE91" s="11"/>
      <c r="AF91" s="12">
        <v>3077</v>
      </c>
      <c r="AG91" s="11"/>
      <c r="AH91" s="10" t="s">
        <v>276</v>
      </c>
      <c r="AI91" s="11"/>
      <c r="AJ91" s="10" t="s">
        <v>853</v>
      </c>
      <c r="AK91" s="10" t="s">
        <v>845</v>
      </c>
      <c r="AL91" s="10" t="s">
        <v>743</v>
      </c>
      <c r="AM91" s="11"/>
      <c r="AN91" s="11"/>
      <c r="AO91" s="11"/>
      <c r="AP91" s="11"/>
      <c r="AQ91" s="11"/>
      <c r="AR91" s="10" t="s">
        <v>846</v>
      </c>
      <c r="AS91" s="10" t="s">
        <v>66</v>
      </c>
      <c r="AT91" s="10" t="s">
        <v>53</v>
      </c>
    </row>
    <row r="92" spans="1:46" ht="20" hidden="1" customHeight="1" x14ac:dyDescent="0.15">
      <c r="A92" s="8" t="s">
        <v>862</v>
      </c>
      <c r="B92" s="9" t="s">
        <v>863</v>
      </c>
      <c r="C92" s="10" t="s">
        <v>864</v>
      </c>
      <c r="D92" s="10" t="s">
        <v>865</v>
      </c>
      <c r="E92" s="10" t="s">
        <v>51</v>
      </c>
      <c r="F92" s="10" t="s">
        <v>732</v>
      </c>
      <c r="G92" s="11"/>
      <c r="H92" s="10" t="s">
        <v>91</v>
      </c>
      <c r="I92" s="10" t="s">
        <v>53</v>
      </c>
      <c r="J92" s="10" t="s">
        <v>54</v>
      </c>
      <c r="K92" s="11"/>
      <c r="L92" s="10" t="s">
        <v>866</v>
      </c>
      <c r="M92" s="11"/>
      <c r="N92" s="11"/>
      <c r="O92" s="11"/>
      <c r="P92" s="11"/>
      <c r="Q92" s="10" t="s">
        <v>107</v>
      </c>
      <c r="R92" s="11"/>
      <c r="S92" s="10" t="s">
        <v>734</v>
      </c>
      <c r="T92" s="10" t="s">
        <v>735</v>
      </c>
      <c r="U92" s="10" t="s">
        <v>736</v>
      </c>
      <c r="V92" s="11"/>
      <c r="W92" s="10" t="s">
        <v>737</v>
      </c>
      <c r="X92" s="10" t="s">
        <v>80</v>
      </c>
      <c r="Y92" s="10" t="s">
        <v>80</v>
      </c>
      <c r="Z92" s="10" t="s">
        <v>867</v>
      </c>
      <c r="AA92" s="10" t="s">
        <v>867</v>
      </c>
      <c r="AB92" s="11"/>
      <c r="AC92" s="11"/>
      <c r="AD92" s="11"/>
      <c r="AE92" s="11"/>
      <c r="AF92" s="12">
        <v>2000</v>
      </c>
      <c r="AG92" s="11"/>
      <c r="AH92" s="10" t="s">
        <v>508</v>
      </c>
      <c r="AI92" s="11"/>
      <c r="AJ92" s="10" t="s">
        <v>868</v>
      </c>
      <c r="AK92" s="10" t="s">
        <v>869</v>
      </c>
      <c r="AL92" s="11"/>
      <c r="AM92" s="11"/>
      <c r="AN92" s="11"/>
      <c r="AO92" s="11"/>
      <c r="AP92" s="11"/>
      <c r="AQ92" s="11"/>
      <c r="AR92" s="10" t="s">
        <v>279</v>
      </c>
      <c r="AS92" s="10" t="s">
        <v>66</v>
      </c>
      <c r="AT92" s="10" t="s">
        <v>53</v>
      </c>
    </row>
    <row r="93" spans="1:46" ht="20" hidden="1" customHeight="1" x14ac:dyDescent="0.15">
      <c r="A93" s="8" t="s">
        <v>870</v>
      </c>
      <c r="B93" s="9" t="s">
        <v>871</v>
      </c>
      <c r="C93" s="10" t="s">
        <v>872</v>
      </c>
      <c r="D93" s="10" t="s">
        <v>873</v>
      </c>
      <c r="E93" s="10" t="s">
        <v>51</v>
      </c>
      <c r="F93" s="10" t="s">
        <v>732</v>
      </c>
      <c r="G93" s="11"/>
      <c r="H93" s="10" t="s">
        <v>91</v>
      </c>
      <c r="I93" s="10" t="s">
        <v>53</v>
      </c>
      <c r="J93" s="10" t="s">
        <v>54</v>
      </c>
      <c r="K93" s="11"/>
      <c r="L93" s="10" t="s">
        <v>866</v>
      </c>
      <c r="M93" s="11"/>
      <c r="N93" s="11"/>
      <c r="O93" s="11"/>
      <c r="P93" s="11"/>
      <c r="Q93" s="10" t="s">
        <v>107</v>
      </c>
      <c r="R93" s="11"/>
      <c r="S93" s="10" t="s">
        <v>734</v>
      </c>
      <c r="T93" s="10" t="s">
        <v>735</v>
      </c>
      <c r="U93" s="10" t="s">
        <v>736</v>
      </c>
      <c r="V93" s="11"/>
      <c r="W93" s="10" t="s">
        <v>737</v>
      </c>
      <c r="X93" s="10" t="s">
        <v>80</v>
      </c>
      <c r="Y93" s="10" t="s">
        <v>80</v>
      </c>
      <c r="Z93" s="10" t="s">
        <v>874</v>
      </c>
      <c r="AA93" s="10" t="s">
        <v>874</v>
      </c>
      <c r="AB93" s="11"/>
      <c r="AC93" s="11"/>
      <c r="AD93" s="11"/>
      <c r="AE93" s="11"/>
      <c r="AF93" s="12">
        <v>2000</v>
      </c>
      <c r="AG93" s="11"/>
      <c r="AH93" s="10" t="s">
        <v>508</v>
      </c>
      <c r="AI93" s="11"/>
      <c r="AJ93" s="10" t="s">
        <v>875</v>
      </c>
      <c r="AK93" s="10" t="s">
        <v>876</v>
      </c>
      <c r="AL93" s="11"/>
      <c r="AM93" s="11"/>
      <c r="AN93" s="11"/>
      <c r="AO93" s="11"/>
      <c r="AP93" s="11"/>
      <c r="AQ93" s="11"/>
      <c r="AR93" s="10" t="s">
        <v>279</v>
      </c>
      <c r="AS93" s="10" t="s">
        <v>66</v>
      </c>
      <c r="AT93" s="10" t="s">
        <v>53</v>
      </c>
    </row>
    <row r="94" spans="1:46" ht="20" hidden="1" customHeight="1" x14ac:dyDescent="0.15">
      <c r="A94" s="8" t="s">
        <v>877</v>
      </c>
      <c r="B94" s="9" t="s">
        <v>878</v>
      </c>
      <c r="C94" s="10" t="s">
        <v>879</v>
      </c>
      <c r="D94" s="10" t="s">
        <v>880</v>
      </c>
      <c r="E94" s="10" t="s">
        <v>51</v>
      </c>
      <c r="F94" s="10" t="s">
        <v>732</v>
      </c>
      <c r="G94" s="11"/>
      <c r="H94" s="10" t="s">
        <v>91</v>
      </c>
      <c r="I94" s="10" t="s">
        <v>53</v>
      </c>
      <c r="J94" s="10" t="s">
        <v>54</v>
      </c>
      <c r="K94" s="11"/>
      <c r="L94" s="10" t="s">
        <v>866</v>
      </c>
      <c r="M94" s="11"/>
      <c r="N94" s="11"/>
      <c r="O94" s="11"/>
      <c r="P94" s="11"/>
      <c r="Q94" s="10" t="s">
        <v>361</v>
      </c>
      <c r="R94" s="11"/>
      <c r="S94" s="10" t="s">
        <v>734</v>
      </c>
      <c r="T94" s="10" t="s">
        <v>735</v>
      </c>
      <c r="U94" s="10" t="s">
        <v>736</v>
      </c>
      <c r="V94" s="11"/>
      <c r="W94" s="10" t="s">
        <v>737</v>
      </c>
      <c r="X94" s="10" t="s">
        <v>80</v>
      </c>
      <c r="Y94" s="10" t="s">
        <v>80</v>
      </c>
      <c r="Z94" s="10" t="s">
        <v>881</v>
      </c>
      <c r="AA94" s="10" t="s">
        <v>881</v>
      </c>
      <c r="AB94" s="11"/>
      <c r="AC94" s="11"/>
      <c r="AD94" s="11"/>
      <c r="AE94" s="11"/>
      <c r="AF94" s="12">
        <v>94</v>
      </c>
      <c r="AG94" s="11"/>
      <c r="AH94" s="10" t="s">
        <v>508</v>
      </c>
      <c r="AI94" s="11"/>
      <c r="AJ94" s="10" t="s">
        <v>882</v>
      </c>
      <c r="AK94" s="10" t="s">
        <v>883</v>
      </c>
      <c r="AL94" s="11"/>
      <c r="AM94" s="11"/>
      <c r="AN94" s="11"/>
      <c r="AO94" s="11"/>
      <c r="AP94" s="11"/>
      <c r="AQ94" s="11"/>
      <c r="AR94" s="10" t="s">
        <v>325</v>
      </c>
      <c r="AS94" s="10" t="s">
        <v>66</v>
      </c>
      <c r="AT94" s="10" t="s">
        <v>53</v>
      </c>
    </row>
    <row r="95" spans="1:46" ht="20" hidden="1" customHeight="1" x14ac:dyDescent="0.15">
      <c r="A95" s="8" t="s">
        <v>884</v>
      </c>
      <c r="B95" s="9" t="s">
        <v>885</v>
      </c>
      <c r="C95" s="10" t="s">
        <v>886</v>
      </c>
      <c r="D95" s="10" t="s">
        <v>887</v>
      </c>
      <c r="E95" s="10" t="s">
        <v>51</v>
      </c>
      <c r="F95" s="10" t="s">
        <v>732</v>
      </c>
      <c r="G95" s="11"/>
      <c r="H95" s="10" t="s">
        <v>91</v>
      </c>
      <c r="I95" s="10" t="s">
        <v>53</v>
      </c>
      <c r="J95" s="10" t="s">
        <v>54</v>
      </c>
      <c r="K95" s="11"/>
      <c r="L95" s="10" t="s">
        <v>888</v>
      </c>
      <c r="M95" s="11"/>
      <c r="N95" s="11"/>
      <c r="O95" s="11"/>
      <c r="P95" s="11"/>
      <c r="Q95" s="11"/>
      <c r="R95" s="11"/>
      <c r="S95" s="10" t="s">
        <v>734</v>
      </c>
      <c r="T95" s="10" t="s">
        <v>735</v>
      </c>
      <c r="U95" s="10" t="s">
        <v>736</v>
      </c>
      <c r="V95" s="11"/>
      <c r="W95" s="10" t="s">
        <v>737</v>
      </c>
      <c r="X95" s="10" t="s">
        <v>80</v>
      </c>
      <c r="Y95" s="10" t="s">
        <v>80</v>
      </c>
      <c r="Z95" s="10" t="s">
        <v>889</v>
      </c>
      <c r="AA95" s="10" t="s">
        <v>889</v>
      </c>
      <c r="AB95" s="11"/>
      <c r="AC95" s="11"/>
      <c r="AD95" s="11"/>
      <c r="AE95" s="11"/>
      <c r="AF95" s="12">
        <v>30000</v>
      </c>
      <c r="AG95" s="11"/>
      <c r="AH95" s="10" t="s">
        <v>138</v>
      </c>
      <c r="AI95" s="11"/>
      <c r="AJ95" s="10" t="s">
        <v>890</v>
      </c>
      <c r="AK95" s="10" t="s">
        <v>883</v>
      </c>
      <c r="AL95" s="11"/>
      <c r="AM95" s="11"/>
      <c r="AN95" s="11"/>
      <c r="AO95" s="11"/>
      <c r="AP95" s="11"/>
      <c r="AQ95" s="11"/>
      <c r="AR95" s="10" t="s">
        <v>891</v>
      </c>
      <c r="AS95" s="10" t="s">
        <v>66</v>
      </c>
      <c r="AT95" s="10" t="s">
        <v>53</v>
      </c>
    </row>
    <row r="96" spans="1:46" ht="20" hidden="1" customHeight="1" x14ac:dyDescent="0.15">
      <c r="A96" s="8" t="s">
        <v>892</v>
      </c>
      <c r="B96" s="9" t="s">
        <v>893</v>
      </c>
      <c r="C96" s="10" t="s">
        <v>894</v>
      </c>
      <c r="D96" s="10" t="s">
        <v>895</v>
      </c>
      <c r="E96" s="10" t="s">
        <v>51</v>
      </c>
      <c r="F96" s="10" t="s">
        <v>732</v>
      </c>
      <c r="G96" s="11"/>
      <c r="H96" s="10" t="s">
        <v>91</v>
      </c>
      <c r="I96" s="10" t="s">
        <v>53</v>
      </c>
      <c r="J96" s="10" t="s">
        <v>54</v>
      </c>
      <c r="K96" s="11"/>
      <c r="L96" s="10" t="s">
        <v>888</v>
      </c>
      <c r="M96" s="11"/>
      <c r="N96" s="11"/>
      <c r="O96" s="11"/>
      <c r="P96" s="11"/>
      <c r="Q96" s="10" t="s">
        <v>94</v>
      </c>
      <c r="R96" s="11"/>
      <c r="S96" s="10" t="s">
        <v>734</v>
      </c>
      <c r="T96" s="10" t="s">
        <v>735</v>
      </c>
      <c r="U96" s="10" t="s">
        <v>736</v>
      </c>
      <c r="V96" s="11"/>
      <c r="W96" s="10" t="s">
        <v>737</v>
      </c>
      <c r="X96" s="10" t="s">
        <v>80</v>
      </c>
      <c r="Y96" s="10" t="s">
        <v>80</v>
      </c>
      <c r="Z96" s="10" t="s">
        <v>896</v>
      </c>
      <c r="AA96" s="10" t="s">
        <v>896</v>
      </c>
      <c r="AB96" s="11"/>
      <c r="AC96" s="11"/>
      <c r="AD96" s="11"/>
      <c r="AE96" s="11"/>
      <c r="AF96" s="12">
        <v>600</v>
      </c>
      <c r="AG96" s="11"/>
      <c r="AH96" s="10" t="s">
        <v>897</v>
      </c>
      <c r="AI96" s="11"/>
      <c r="AJ96" s="10" t="s">
        <v>898</v>
      </c>
      <c r="AK96" s="10" t="s">
        <v>899</v>
      </c>
      <c r="AL96" s="11"/>
      <c r="AM96" s="11"/>
      <c r="AN96" s="11"/>
      <c r="AO96" s="11"/>
      <c r="AP96" s="11"/>
      <c r="AQ96" s="11"/>
      <c r="AR96" s="10" t="s">
        <v>900</v>
      </c>
      <c r="AS96" s="10" t="s">
        <v>66</v>
      </c>
      <c r="AT96" s="10" t="s">
        <v>53</v>
      </c>
    </row>
    <row r="97" spans="1:46" ht="20" hidden="1" customHeight="1" x14ac:dyDescent="0.15">
      <c r="A97" s="8" t="s">
        <v>901</v>
      </c>
      <c r="B97" s="9" t="s">
        <v>902</v>
      </c>
      <c r="C97" s="10" t="s">
        <v>903</v>
      </c>
      <c r="D97" s="10" t="s">
        <v>904</v>
      </c>
      <c r="E97" s="10" t="s">
        <v>51</v>
      </c>
      <c r="F97" s="10" t="s">
        <v>732</v>
      </c>
      <c r="G97" s="11"/>
      <c r="H97" s="10" t="s">
        <v>91</v>
      </c>
      <c r="I97" s="10" t="s">
        <v>53</v>
      </c>
      <c r="J97" s="10" t="s">
        <v>54</v>
      </c>
      <c r="K97" s="11"/>
      <c r="L97" s="10" t="s">
        <v>888</v>
      </c>
      <c r="M97" s="11"/>
      <c r="N97" s="11"/>
      <c r="O97" s="11"/>
      <c r="P97" s="11"/>
      <c r="Q97" s="10" t="s">
        <v>94</v>
      </c>
      <c r="R97" s="11"/>
      <c r="S97" s="10" t="s">
        <v>734</v>
      </c>
      <c r="T97" s="10" t="s">
        <v>735</v>
      </c>
      <c r="U97" s="10" t="s">
        <v>736</v>
      </c>
      <c r="V97" s="11"/>
      <c r="W97" s="10" t="s">
        <v>737</v>
      </c>
      <c r="X97" s="10" t="s">
        <v>80</v>
      </c>
      <c r="Y97" s="10" t="s">
        <v>80</v>
      </c>
      <c r="Z97" s="10" t="s">
        <v>905</v>
      </c>
      <c r="AA97" s="10" t="s">
        <v>905</v>
      </c>
      <c r="AB97" s="11"/>
      <c r="AC97" s="11"/>
      <c r="AD97" s="11"/>
      <c r="AE97" s="11"/>
      <c r="AF97" s="12">
        <v>70</v>
      </c>
      <c r="AG97" s="11"/>
      <c r="AH97" s="10" t="s">
        <v>138</v>
      </c>
      <c r="AI97" s="11"/>
      <c r="AJ97" s="10" t="s">
        <v>906</v>
      </c>
      <c r="AK97" s="10" t="s">
        <v>907</v>
      </c>
      <c r="AL97" s="11"/>
      <c r="AM97" s="11"/>
      <c r="AN97" s="11"/>
      <c r="AO97" s="11"/>
      <c r="AP97" s="11"/>
      <c r="AQ97" s="11"/>
      <c r="AR97" s="10" t="s">
        <v>908</v>
      </c>
      <c r="AS97" s="10" t="s">
        <v>66</v>
      </c>
      <c r="AT97" s="10" t="s">
        <v>53</v>
      </c>
    </row>
    <row r="98" spans="1:46" ht="20" hidden="1" customHeight="1" x14ac:dyDescent="0.15">
      <c r="A98" s="8" t="s">
        <v>909</v>
      </c>
      <c r="B98" s="9" t="s">
        <v>910</v>
      </c>
      <c r="C98" s="10" t="s">
        <v>911</v>
      </c>
      <c r="D98" s="10" t="s">
        <v>912</v>
      </c>
      <c r="E98" s="10" t="s">
        <v>51</v>
      </c>
      <c r="F98" s="10" t="s">
        <v>732</v>
      </c>
      <c r="G98" s="11"/>
      <c r="H98" s="10" t="s">
        <v>91</v>
      </c>
      <c r="I98" s="10" t="s">
        <v>53</v>
      </c>
      <c r="J98" s="10" t="s">
        <v>54</v>
      </c>
      <c r="K98" s="11"/>
      <c r="L98" s="10" t="s">
        <v>888</v>
      </c>
      <c r="M98" s="11"/>
      <c r="N98" s="11"/>
      <c r="O98" s="11"/>
      <c r="P98" s="11"/>
      <c r="Q98" s="11"/>
      <c r="R98" s="11"/>
      <c r="S98" s="10" t="s">
        <v>734</v>
      </c>
      <c r="T98" s="10" t="s">
        <v>735</v>
      </c>
      <c r="U98" s="10" t="s">
        <v>736</v>
      </c>
      <c r="V98" s="11"/>
      <c r="W98" s="10" t="s">
        <v>737</v>
      </c>
      <c r="X98" s="10" t="s">
        <v>80</v>
      </c>
      <c r="Y98" s="10" t="s">
        <v>80</v>
      </c>
      <c r="Z98" s="10" t="s">
        <v>913</v>
      </c>
      <c r="AA98" s="10" t="s">
        <v>913</v>
      </c>
      <c r="AB98" s="11"/>
      <c r="AC98" s="11"/>
      <c r="AD98" s="11"/>
      <c r="AE98" s="11"/>
      <c r="AF98" s="12">
        <v>50000</v>
      </c>
      <c r="AG98" s="11"/>
      <c r="AH98" s="10" t="s">
        <v>138</v>
      </c>
      <c r="AI98" s="11"/>
      <c r="AJ98" s="10" t="s">
        <v>914</v>
      </c>
      <c r="AK98" s="10" t="s">
        <v>915</v>
      </c>
      <c r="AL98" s="11"/>
      <c r="AM98" s="11"/>
      <c r="AN98" s="11"/>
      <c r="AO98" s="11"/>
      <c r="AP98" s="11"/>
      <c r="AQ98" s="11"/>
      <c r="AR98" s="10" t="s">
        <v>916</v>
      </c>
      <c r="AS98" s="10" t="s">
        <v>66</v>
      </c>
      <c r="AT98" s="10" t="s">
        <v>53</v>
      </c>
    </row>
    <row r="99" spans="1:46" ht="20" hidden="1" customHeight="1" x14ac:dyDescent="0.15">
      <c r="A99" s="8" t="s">
        <v>917</v>
      </c>
      <c r="B99" s="9" t="s">
        <v>918</v>
      </c>
      <c r="C99" s="10" t="s">
        <v>919</v>
      </c>
      <c r="D99" s="10" t="s">
        <v>920</v>
      </c>
      <c r="E99" s="10" t="s">
        <v>51</v>
      </c>
      <c r="F99" s="10" t="s">
        <v>732</v>
      </c>
      <c r="G99" s="11"/>
      <c r="H99" s="10" t="s">
        <v>91</v>
      </c>
      <c r="I99" s="10" t="s">
        <v>53</v>
      </c>
      <c r="J99" s="10" t="s">
        <v>54</v>
      </c>
      <c r="K99" s="11"/>
      <c r="L99" s="10" t="s">
        <v>888</v>
      </c>
      <c r="M99" s="11"/>
      <c r="N99" s="11"/>
      <c r="O99" s="11"/>
      <c r="P99" s="11"/>
      <c r="Q99" s="11"/>
      <c r="R99" s="11"/>
      <c r="S99" s="10" t="s">
        <v>734</v>
      </c>
      <c r="T99" s="10" t="s">
        <v>735</v>
      </c>
      <c r="U99" s="10" t="s">
        <v>736</v>
      </c>
      <c r="V99" s="11"/>
      <c r="W99" s="10" t="s">
        <v>737</v>
      </c>
      <c r="X99" s="10" t="s">
        <v>80</v>
      </c>
      <c r="Y99" s="10" t="s">
        <v>80</v>
      </c>
      <c r="Z99" s="10" t="s">
        <v>921</v>
      </c>
      <c r="AA99" s="10" t="s">
        <v>921</v>
      </c>
      <c r="AB99" s="11"/>
      <c r="AC99" s="11"/>
      <c r="AD99" s="11"/>
      <c r="AE99" s="11"/>
      <c r="AF99" s="12">
        <v>200</v>
      </c>
      <c r="AG99" s="11"/>
      <c r="AH99" s="10" t="s">
        <v>922</v>
      </c>
      <c r="AI99" s="11"/>
      <c r="AJ99" s="10" t="s">
        <v>923</v>
      </c>
      <c r="AK99" s="10" t="s">
        <v>915</v>
      </c>
      <c r="AL99" s="11"/>
      <c r="AM99" s="11"/>
      <c r="AN99" s="11"/>
      <c r="AO99" s="11"/>
      <c r="AP99" s="11"/>
      <c r="AQ99" s="11"/>
      <c r="AR99" s="10" t="s">
        <v>325</v>
      </c>
      <c r="AS99" s="10" t="s">
        <v>66</v>
      </c>
      <c r="AT99" s="10" t="s">
        <v>53</v>
      </c>
    </row>
    <row r="100" spans="1:46" ht="20" hidden="1" customHeight="1" x14ac:dyDescent="0.15">
      <c r="A100" s="8" t="s">
        <v>924</v>
      </c>
      <c r="B100" s="9" t="s">
        <v>925</v>
      </c>
      <c r="C100" s="10" t="s">
        <v>926</v>
      </c>
      <c r="D100" s="10" t="s">
        <v>927</v>
      </c>
      <c r="E100" s="10" t="s">
        <v>51</v>
      </c>
      <c r="F100" s="10" t="s">
        <v>732</v>
      </c>
      <c r="G100" s="11"/>
      <c r="H100" s="10" t="s">
        <v>91</v>
      </c>
      <c r="I100" s="10" t="s">
        <v>53</v>
      </c>
      <c r="J100" s="10" t="s">
        <v>54</v>
      </c>
      <c r="K100" s="11"/>
      <c r="L100" s="10" t="s">
        <v>888</v>
      </c>
      <c r="M100" s="11"/>
      <c r="N100" s="11"/>
      <c r="O100" s="11"/>
      <c r="P100" s="11"/>
      <c r="Q100" s="10" t="s">
        <v>361</v>
      </c>
      <c r="R100" s="11"/>
      <c r="S100" s="10" t="s">
        <v>734</v>
      </c>
      <c r="T100" s="10" t="s">
        <v>735</v>
      </c>
      <c r="U100" s="10" t="s">
        <v>736</v>
      </c>
      <c r="V100" s="11"/>
      <c r="W100" s="10" t="s">
        <v>737</v>
      </c>
      <c r="X100" s="10" t="s">
        <v>80</v>
      </c>
      <c r="Y100" s="10" t="s">
        <v>80</v>
      </c>
      <c r="Z100" s="10" t="s">
        <v>928</v>
      </c>
      <c r="AA100" s="10" t="s">
        <v>928</v>
      </c>
      <c r="AB100" s="11"/>
      <c r="AC100" s="11"/>
      <c r="AD100" s="11"/>
      <c r="AE100" s="11"/>
      <c r="AF100" s="12">
        <v>700</v>
      </c>
      <c r="AG100" s="11"/>
      <c r="AH100" s="10" t="s">
        <v>929</v>
      </c>
      <c r="AI100" s="11"/>
      <c r="AJ100" s="10" t="s">
        <v>923</v>
      </c>
      <c r="AK100" s="10" t="s">
        <v>915</v>
      </c>
      <c r="AL100" s="11"/>
      <c r="AM100" s="11"/>
      <c r="AN100" s="11"/>
      <c r="AO100" s="11"/>
      <c r="AP100" s="11"/>
      <c r="AQ100" s="11"/>
      <c r="AR100" s="10" t="s">
        <v>930</v>
      </c>
      <c r="AS100" s="10" t="s">
        <v>66</v>
      </c>
      <c r="AT100" s="10" t="s">
        <v>53</v>
      </c>
    </row>
    <row r="101" spans="1:46" ht="20" hidden="1" customHeight="1" x14ac:dyDescent="0.15">
      <c r="A101" s="8" t="s">
        <v>931</v>
      </c>
      <c r="B101" s="9" t="s">
        <v>932</v>
      </c>
      <c r="C101" s="10" t="s">
        <v>933</v>
      </c>
      <c r="D101" s="10" t="s">
        <v>934</v>
      </c>
      <c r="E101" s="10" t="s">
        <v>51</v>
      </c>
      <c r="F101" s="10" t="s">
        <v>732</v>
      </c>
      <c r="G101" s="11"/>
      <c r="H101" s="10" t="s">
        <v>91</v>
      </c>
      <c r="I101" s="10" t="s">
        <v>53</v>
      </c>
      <c r="J101" s="10" t="s">
        <v>54</v>
      </c>
      <c r="K101" s="11"/>
      <c r="L101" s="10" t="s">
        <v>888</v>
      </c>
      <c r="M101" s="11"/>
      <c r="N101" s="11"/>
      <c r="O101" s="11"/>
      <c r="P101" s="11"/>
      <c r="Q101" s="10" t="s">
        <v>361</v>
      </c>
      <c r="R101" s="11"/>
      <c r="S101" s="10" t="s">
        <v>734</v>
      </c>
      <c r="T101" s="10" t="s">
        <v>735</v>
      </c>
      <c r="U101" s="10" t="s">
        <v>736</v>
      </c>
      <c r="V101" s="11"/>
      <c r="W101" s="10" t="s">
        <v>737</v>
      </c>
      <c r="X101" s="10" t="s">
        <v>80</v>
      </c>
      <c r="Y101" s="10" t="s">
        <v>80</v>
      </c>
      <c r="Z101" s="10" t="s">
        <v>935</v>
      </c>
      <c r="AA101" s="10" t="s">
        <v>935</v>
      </c>
      <c r="AB101" s="11"/>
      <c r="AC101" s="11"/>
      <c r="AD101" s="11"/>
      <c r="AE101" s="11"/>
      <c r="AF101" s="12">
        <v>1180</v>
      </c>
      <c r="AG101" s="11"/>
      <c r="AH101" s="10" t="s">
        <v>936</v>
      </c>
      <c r="AI101" s="11"/>
      <c r="AJ101" s="10" t="s">
        <v>937</v>
      </c>
      <c r="AK101" s="10" t="s">
        <v>915</v>
      </c>
      <c r="AL101" s="11"/>
      <c r="AM101" s="11"/>
      <c r="AN101" s="11"/>
      <c r="AO101" s="11"/>
      <c r="AP101" s="11"/>
      <c r="AQ101" s="11"/>
      <c r="AR101" s="10" t="s">
        <v>938</v>
      </c>
      <c r="AS101" s="10" t="s">
        <v>66</v>
      </c>
      <c r="AT101" s="10" t="s">
        <v>53</v>
      </c>
    </row>
    <row r="102" spans="1:46" ht="20" hidden="1" customHeight="1" x14ac:dyDescent="0.15">
      <c r="A102" s="8" t="s">
        <v>939</v>
      </c>
      <c r="B102" s="9" t="s">
        <v>940</v>
      </c>
      <c r="C102" s="10" t="s">
        <v>941</v>
      </c>
      <c r="D102" s="10" t="s">
        <v>942</v>
      </c>
      <c r="E102" s="10" t="s">
        <v>51</v>
      </c>
      <c r="F102" s="10" t="s">
        <v>732</v>
      </c>
      <c r="G102" s="11"/>
      <c r="H102" s="10" t="s">
        <v>91</v>
      </c>
      <c r="I102" s="10" t="s">
        <v>53</v>
      </c>
      <c r="J102" s="10" t="s">
        <v>54</v>
      </c>
      <c r="K102" s="11"/>
      <c r="L102" s="10" t="s">
        <v>888</v>
      </c>
      <c r="M102" s="11"/>
      <c r="N102" s="11"/>
      <c r="O102" s="11"/>
      <c r="P102" s="11"/>
      <c r="Q102" s="10" t="s">
        <v>361</v>
      </c>
      <c r="R102" s="11"/>
      <c r="S102" s="10" t="s">
        <v>734</v>
      </c>
      <c r="T102" s="10" t="s">
        <v>735</v>
      </c>
      <c r="U102" s="10" t="s">
        <v>736</v>
      </c>
      <c r="V102" s="11"/>
      <c r="W102" s="10" t="s">
        <v>737</v>
      </c>
      <c r="X102" s="10" t="s">
        <v>80</v>
      </c>
      <c r="Y102" s="10" t="s">
        <v>80</v>
      </c>
      <c r="Z102" s="10" t="s">
        <v>943</v>
      </c>
      <c r="AA102" s="10" t="s">
        <v>943</v>
      </c>
      <c r="AB102" s="11"/>
      <c r="AC102" s="11"/>
      <c r="AD102" s="11"/>
      <c r="AE102" s="11"/>
      <c r="AF102" s="12">
        <v>450</v>
      </c>
      <c r="AG102" s="11"/>
      <c r="AH102" s="10" t="s">
        <v>944</v>
      </c>
      <c r="AI102" s="11"/>
      <c r="AJ102" s="10" t="s">
        <v>937</v>
      </c>
      <c r="AK102" s="10" t="s">
        <v>899</v>
      </c>
      <c r="AL102" s="11"/>
      <c r="AM102" s="11"/>
      <c r="AN102" s="11"/>
      <c r="AO102" s="11"/>
      <c r="AP102" s="11"/>
      <c r="AQ102" s="11"/>
      <c r="AR102" s="10" t="s">
        <v>945</v>
      </c>
      <c r="AS102" s="10" t="s">
        <v>66</v>
      </c>
      <c r="AT102" s="10" t="s">
        <v>53</v>
      </c>
    </row>
    <row r="103" spans="1:46" ht="20" hidden="1" customHeight="1" x14ac:dyDescent="0.15">
      <c r="A103" s="8" t="s">
        <v>946</v>
      </c>
      <c r="B103" s="9" t="s">
        <v>947</v>
      </c>
      <c r="C103" s="10" t="s">
        <v>948</v>
      </c>
      <c r="D103" s="10" t="s">
        <v>949</v>
      </c>
      <c r="E103" s="10" t="s">
        <v>51</v>
      </c>
      <c r="F103" s="10" t="s">
        <v>732</v>
      </c>
      <c r="G103" s="11"/>
      <c r="H103" s="10" t="s">
        <v>91</v>
      </c>
      <c r="I103" s="10" t="s">
        <v>53</v>
      </c>
      <c r="J103" s="10" t="s">
        <v>54</v>
      </c>
      <c r="K103" s="11"/>
      <c r="L103" s="10" t="s">
        <v>888</v>
      </c>
      <c r="M103" s="11"/>
      <c r="N103" s="11"/>
      <c r="O103" s="11"/>
      <c r="P103" s="11"/>
      <c r="Q103" s="10" t="s">
        <v>361</v>
      </c>
      <c r="R103" s="11"/>
      <c r="S103" s="10" t="s">
        <v>734</v>
      </c>
      <c r="T103" s="10" t="s">
        <v>735</v>
      </c>
      <c r="U103" s="10" t="s">
        <v>736</v>
      </c>
      <c r="V103" s="11"/>
      <c r="W103" s="10" t="s">
        <v>737</v>
      </c>
      <c r="X103" s="10" t="s">
        <v>80</v>
      </c>
      <c r="Y103" s="10" t="s">
        <v>80</v>
      </c>
      <c r="Z103" s="10" t="s">
        <v>950</v>
      </c>
      <c r="AA103" s="10" t="s">
        <v>950</v>
      </c>
      <c r="AB103" s="11"/>
      <c r="AC103" s="11"/>
      <c r="AD103" s="11"/>
      <c r="AE103" s="11"/>
      <c r="AF103" s="12">
        <v>64</v>
      </c>
      <c r="AG103" s="11"/>
      <c r="AH103" s="10" t="s">
        <v>951</v>
      </c>
      <c r="AI103" s="11"/>
      <c r="AJ103" s="10" t="s">
        <v>952</v>
      </c>
      <c r="AK103" s="10" t="s">
        <v>907</v>
      </c>
      <c r="AL103" s="11"/>
      <c r="AM103" s="11"/>
      <c r="AN103" s="11"/>
      <c r="AO103" s="11"/>
      <c r="AP103" s="11"/>
      <c r="AQ103" s="11"/>
      <c r="AR103" s="10" t="s">
        <v>953</v>
      </c>
      <c r="AS103" s="10" t="s">
        <v>66</v>
      </c>
      <c r="AT103" s="10" t="s">
        <v>53</v>
      </c>
    </row>
    <row r="104" spans="1:46" ht="20" hidden="1" customHeight="1" x14ac:dyDescent="0.15">
      <c r="A104" s="8" t="s">
        <v>954</v>
      </c>
      <c r="B104" s="9" t="s">
        <v>955</v>
      </c>
      <c r="C104" s="10" t="s">
        <v>956</v>
      </c>
      <c r="D104" s="10" t="s">
        <v>957</v>
      </c>
      <c r="E104" s="10" t="s">
        <v>51</v>
      </c>
      <c r="F104" s="10" t="s">
        <v>732</v>
      </c>
      <c r="G104" s="11"/>
      <c r="H104" s="10" t="s">
        <v>91</v>
      </c>
      <c r="I104" s="10" t="s">
        <v>53</v>
      </c>
      <c r="J104" s="10" t="s">
        <v>54</v>
      </c>
      <c r="K104" s="11"/>
      <c r="L104" s="10" t="s">
        <v>888</v>
      </c>
      <c r="M104" s="11"/>
      <c r="N104" s="11"/>
      <c r="O104" s="11"/>
      <c r="P104" s="11"/>
      <c r="Q104" s="11"/>
      <c r="R104" s="11"/>
      <c r="S104" s="10" t="s">
        <v>734</v>
      </c>
      <c r="T104" s="10" t="s">
        <v>735</v>
      </c>
      <c r="U104" s="10" t="s">
        <v>736</v>
      </c>
      <c r="V104" s="11"/>
      <c r="W104" s="10" t="s">
        <v>737</v>
      </c>
      <c r="X104" s="10" t="s">
        <v>80</v>
      </c>
      <c r="Y104" s="10" t="s">
        <v>80</v>
      </c>
      <c r="Z104" s="10" t="s">
        <v>958</v>
      </c>
      <c r="AA104" s="10" t="s">
        <v>958</v>
      </c>
      <c r="AB104" s="11"/>
      <c r="AC104" s="11"/>
      <c r="AD104" s="11"/>
      <c r="AE104" s="11"/>
      <c r="AF104" s="12">
        <v>68</v>
      </c>
      <c r="AG104" s="11"/>
      <c r="AH104" s="10" t="s">
        <v>538</v>
      </c>
      <c r="AI104" s="11"/>
      <c r="AJ104" s="10" t="s">
        <v>959</v>
      </c>
      <c r="AK104" s="10" t="s">
        <v>907</v>
      </c>
      <c r="AL104" s="11"/>
      <c r="AM104" s="11"/>
      <c r="AN104" s="11"/>
      <c r="AO104" s="11"/>
      <c r="AP104" s="11"/>
      <c r="AQ104" s="11"/>
      <c r="AR104" s="10" t="s">
        <v>960</v>
      </c>
      <c r="AS104" s="10" t="s">
        <v>66</v>
      </c>
      <c r="AT104" s="10" t="s">
        <v>53</v>
      </c>
    </row>
    <row r="105" spans="1:46" ht="20" hidden="1" customHeight="1" x14ac:dyDescent="0.15">
      <c r="A105" s="8" t="s">
        <v>961</v>
      </c>
      <c r="B105" s="9" t="s">
        <v>962</v>
      </c>
      <c r="C105" s="10" t="s">
        <v>963</v>
      </c>
      <c r="D105" s="10" t="s">
        <v>964</v>
      </c>
      <c r="E105" s="10" t="s">
        <v>51</v>
      </c>
      <c r="F105" s="10" t="s">
        <v>732</v>
      </c>
      <c r="G105" s="11"/>
      <c r="H105" s="10" t="s">
        <v>91</v>
      </c>
      <c r="I105" s="10" t="s">
        <v>53</v>
      </c>
      <c r="J105" s="10" t="s">
        <v>54</v>
      </c>
      <c r="K105" s="11"/>
      <c r="L105" s="10" t="s">
        <v>888</v>
      </c>
      <c r="M105" s="11"/>
      <c r="N105" s="11"/>
      <c r="O105" s="11"/>
      <c r="P105" s="11"/>
      <c r="Q105" s="10" t="s">
        <v>361</v>
      </c>
      <c r="R105" s="11"/>
      <c r="S105" s="10" t="s">
        <v>734</v>
      </c>
      <c r="T105" s="10" t="s">
        <v>735</v>
      </c>
      <c r="U105" s="10" t="s">
        <v>736</v>
      </c>
      <c r="V105" s="11"/>
      <c r="W105" s="10" t="s">
        <v>737</v>
      </c>
      <c r="X105" s="10" t="s">
        <v>80</v>
      </c>
      <c r="Y105" s="10" t="s">
        <v>80</v>
      </c>
      <c r="Z105" s="10" t="s">
        <v>965</v>
      </c>
      <c r="AA105" s="10" t="s">
        <v>965</v>
      </c>
      <c r="AB105" s="11"/>
      <c r="AC105" s="11"/>
      <c r="AD105" s="11"/>
      <c r="AE105" s="11"/>
      <c r="AF105" s="12">
        <v>180</v>
      </c>
      <c r="AG105" s="11"/>
      <c r="AH105" s="10" t="s">
        <v>538</v>
      </c>
      <c r="AI105" s="11"/>
      <c r="AJ105" s="10" t="s">
        <v>966</v>
      </c>
      <c r="AK105" s="10" t="s">
        <v>967</v>
      </c>
      <c r="AL105" s="11"/>
      <c r="AM105" s="11"/>
      <c r="AN105" s="11"/>
      <c r="AO105" s="11"/>
      <c r="AP105" s="11"/>
      <c r="AQ105" s="11"/>
      <c r="AR105" s="10" t="s">
        <v>968</v>
      </c>
      <c r="AS105" s="10" t="s">
        <v>66</v>
      </c>
      <c r="AT105" s="10" t="s">
        <v>53</v>
      </c>
    </row>
    <row r="106" spans="1:46" ht="20" hidden="1" customHeight="1" x14ac:dyDescent="0.15">
      <c r="A106" s="8" t="s">
        <v>969</v>
      </c>
      <c r="B106" s="9" t="s">
        <v>970</v>
      </c>
      <c r="C106" s="10" t="s">
        <v>971</v>
      </c>
      <c r="D106" s="10" t="s">
        <v>972</v>
      </c>
      <c r="E106" s="10" t="s">
        <v>51</v>
      </c>
      <c r="F106" s="10" t="s">
        <v>732</v>
      </c>
      <c r="G106" s="11"/>
      <c r="H106" s="10" t="s">
        <v>91</v>
      </c>
      <c r="I106" s="10" t="s">
        <v>53</v>
      </c>
      <c r="J106" s="10" t="s">
        <v>54</v>
      </c>
      <c r="K106" s="11"/>
      <c r="L106" s="10" t="s">
        <v>888</v>
      </c>
      <c r="M106" s="11"/>
      <c r="N106" s="11"/>
      <c r="O106" s="11"/>
      <c r="P106" s="11"/>
      <c r="Q106" s="10" t="s">
        <v>94</v>
      </c>
      <c r="R106" s="11"/>
      <c r="S106" s="10" t="s">
        <v>734</v>
      </c>
      <c r="T106" s="10" t="s">
        <v>735</v>
      </c>
      <c r="U106" s="10" t="s">
        <v>736</v>
      </c>
      <c r="V106" s="11"/>
      <c r="W106" s="10" t="s">
        <v>737</v>
      </c>
      <c r="X106" s="10" t="s">
        <v>80</v>
      </c>
      <c r="Y106" s="10" t="s">
        <v>80</v>
      </c>
      <c r="Z106" s="10" t="s">
        <v>973</v>
      </c>
      <c r="AA106" s="10" t="s">
        <v>973</v>
      </c>
      <c r="AB106" s="11"/>
      <c r="AC106" s="11"/>
      <c r="AD106" s="11"/>
      <c r="AE106" s="11"/>
      <c r="AF106" s="12">
        <v>330</v>
      </c>
      <c r="AG106" s="11"/>
      <c r="AH106" s="10" t="s">
        <v>538</v>
      </c>
      <c r="AI106" s="11"/>
      <c r="AJ106" s="10" t="s">
        <v>974</v>
      </c>
      <c r="AK106" s="10" t="s">
        <v>975</v>
      </c>
      <c r="AL106" s="11"/>
      <c r="AM106" s="11"/>
      <c r="AN106" s="11"/>
      <c r="AO106" s="11"/>
      <c r="AP106" s="11"/>
      <c r="AQ106" s="11"/>
      <c r="AR106" s="10" t="s">
        <v>976</v>
      </c>
      <c r="AS106" s="10" t="s">
        <v>66</v>
      </c>
      <c r="AT106" s="10" t="s">
        <v>53</v>
      </c>
    </row>
    <row r="107" spans="1:46" ht="20" hidden="1" customHeight="1" x14ac:dyDescent="0.15">
      <c r="A107" s="8" t="s">
        <v>977</v>
      </c>
      <c r="B107" s="9" t="s">
        <v>978</v>
      </c>
      <c r="C107" s="10" t="s">
        <v>979</v>
      </c>
      <c r="D107" s="10" t="s">
        <v>980</v>
      </c>
      <c r="E107" s="10" t="s">
        <v>51</v>
      </c>
      <c r="F107" s="10" t="s">
        <v>732</v>
      </c>
      <c r="G107" s="11"/>
      <c r="H107" s="10" t="s">
        <v>91</v>
      </c>
      <c r="I107" s="10" t="s">
        <v>53</v>
      </c>
      <c r="J107" s="10" t="s">
        <v>54</v>
      </c>
      <c r="K107" s="11"/>
      <c r="L107" s="10" t="s">
        <v>888</v>
      </c>
      <c r="M107" s="11"/>
      <c r="N107" s="11"/>
      <c r="O107" s="11"/>
      <c r="P107" s="11"/>
      <c r="Q107" s="10" t="s">
        <v>361</v>
      </c>
      <c r="R107" s="11"/>
      <c r="S107" s="10" t="s">
        <v>734</v>
      </c>
      <c r="T107" s="10" t="s">
        <v>735</v>
      </c>
      <c r="U107" s="10" t="s">
        <v>736</v>
      </c>
      <c r="V107" s="11"/>
      <c r="W107" s="10" t="s">
        <v>737</v>
      </c>
      <c r="X107" s="10" t="s">
        <v>80</v>
      </c>
      <c r="Y107" s="10" t="s">
        <v>80</v>
      </c>
      <c r="Z107" s="10" t="s">
        <v>981</v>
      </c>
      <c r="AA107" s="10" t="s">
        <v>981</v>
      </c>
      <c r="AB107" s="11"/>
      <c r="AC107" s="11"/>
      <c r="AD107" s="11"/>
      <c r="AE107" s="11"/>
      <c r="AF107" s="12">
        <v>1</v>
      </c>
      <c r="AG107" s="11"/>
      <c r="AH107" s="10" t="s">
        <v>149</v>
      </c>
      <c r="AI107" s="11"/>
      <c r="AJ107" s="10" t="s">
        <v>982</v>
      </c>
      <c r="AK107" s="10" t="s">
        <v>975</v>
      </c>
      <c r="AL107" s="11"/>
      <c r="AM107" s="11"/>
      <c r="AN107" s="11"/>
      <c r="AO107" s="11"/>
      <c r="AP107" s="11"/>
      <c r="AQ107" s="11"/>
      <c r="AR107" s="10" t="s">
        <v>983</v>
      </c>
      <c r="AS107" s="10" t="s">
        <v>66</v>
      </c>
      <c r="AT107" s="10" t="s">
        <v>53</v>
      </c>
    </row>
    <row r="108" spans="1:46" ht="20" hidden="1" customHeight="1" x14ac:dyDescent="0.15">
      <c r="A108" s="8" t="s">
        <v>984</v>
      </c>
      <c r="B108" s="9" t="s">
        <v>985</v>
      </c>
      <c r="C108" s="10" t="s">
        <v>986</v>
      </c>
      <c r="D108" s="10" t="s">
        <v>987</v>
      </c>
      <c r="E108" s="10" t="s">
        <v>51</v>
      </c>
      <c r="F108" s="10" t="s">
        <v>732</v>
      </c>
      <c r="G108" s="11"/>
      <c r="H108" s="10" t="s">
        <v>91</v>
      </c>
      <c r="I108" s="10" t="s">
        <v>53</v>
      </c>
      <c r="J108" s="10" t="s">
        <v>54</v>
      </c>
      <c r="K108" s="11"/>
      <c r="L108" s="10" t="s">
        <v>888</v>
      </c>
      <c r="M108" s="11"/>
      <c r="N108" s="11"/>
      <c r="O108" s="11"/>
      <c r="P108" s="11"/>
      <c r="Q108" s="10" t="s">
        <v>361</v>
      </c>
      <c r="R108" s="11"/>
      <c r="S108" s="10" t="s">
        <v>734</v>
      </c>
      <c r="T108" s="10" t="s">
        <v>735</v>
      </c>
      <c r="U108" s="10" t="s">
        <v>736</v>
      </c>
      <c r="V108" s="11"/>
      <c r="W108" s="10" t="s">
        <v>737</v>
      </c>
      <c r="X108" s="10" t="s">
        <v>80</v>
      </c>
      <c r="Y108" s="10" t="s">
        <v>80</v>
      </c>
      <c r="Z108" s="10" t="s">
        <v>988</v>
      </c>
      <c r="AA108" s="10" t="s">
        <v>988</v>
      </c>
      <c r="AB108" s="11"/>
      <c r="AC108" s="11"/>
      <c r="AD108" s="11"/>
      <c r="AE108" s="11"/>
      <c r="AF108" s="12">
        <v>1</v>
      </c>
      <c r="AG108" s="11"/>
      <c r="AH108" s="10" t="s">
        <v>149</v>
      </c>
      <c r="AI108" s="11"/>
      <c r="AJ108" s="10" t="s">
        <v>989</v>
      </c>
      <c r="AK108" s="10" t="s">
        <v>975</v>
      </c>
      <c r="AL108" s="11"/>
      <c r="AM108" s="11"/>
      <c r="AN108" s="11"/>
      <c r="AO108" s="11"/>
      <c r="AP108" s="11"/>
      <c r="AQ108" s="11"/>
      <c r="AR108" s="10" t="s">
        <v>100</v>
      </c>
      <c r="AS108" s="10" t="s">
        <v>66</v>
      </c>
      <c r="AT108" s="10" t="s">
        <v>53</v>
      </c>
    </row>
    <row r="109" spans="1:46" ht="20" hidden="1" customHeight="1" x14ac:dyDescent="0.15">
      <c r="A109" s="8" t="s">
        <v>990</v>
      </c>
      <c r="B109" s="9" t="s">
        <v>991</v>
      </c>
      <c r="C109" s="10" t="s">
        <v>992</v>
      </c>
      <c r="D109" s="10" t="s">
        <v>993</v>
      </c>
      <c r="E109" s="10" t="s">
        <v>51</v>
      </c>
      <c r="F109" s="10" t="s">
        <v>732</v>
      </c>
      <c r="G109" s="11"/>
      <c r="H109" s="10" t="s">
        <v>91</v>
      </c>
      <c r="I109" s="10" t="s">
        <v>53</v>
      </c>
      <c r="J109" s="10" t="s">
        <v>54</v>
      </c>
      <c r="K109" s="11"/>
      <c r="L109" s="10" t="s">
        <v>888</v>
      </c>
      <c r="M109" s="11"/>
      <c r="N109" s="11"/>
      <c r="O109" s="11"/>
      <c r="P109" s="11"/>
      <c r="Q109" s="10" t="s">
        <v>361</v>
      </c>
      <c r="R109" s="11"/>
      <c r="S109" s="10" t="s">
        <v>734</v>
      </c>
      <c r="T109" s="10" t="s">
        <v>735</v>
      </c>
      <c r="U109" s="10" t="s">
        <v>736</v>
      </c>
      <c r="V109" s="11"/>
      <c r="W109" s="10" t="s">
        <v>737</v>
      </c>
      <c r="X109" s="10" t="s">
        <v>80</v>
      </c>
      <c r="Y109" s="10" t="s">
        <v>80</v>
      </c>
      <c r="Z109" s="10" t="s">
        <v>994</v>
      </c>
      <c r="AA109" s="10" t="s">
        <v>994</v>
      </c>
      <c r="AB109" s="11"/>
      <c r="AC109" s="11"/>
      <c r="AD109" s="11"/>
      <c r="AE109" s="11"/>
      <c r="AF109" s="12">
        <v>1</v>
      </c>
      <c r="AG109" s="11"/>
      <c r="AH109" s="10" t="s">
        <v>149</v>
      </c>
      <c r="AI109" s="11"/>
      <c r="AJ109" s="10" t="s">
        <v>989</v>
      </c>
      <c r="AK109" s="10" t="s">
        <v>975</v>
      </c>
      <c r="AL109" s="11"/>
      <c r="AM109" s="11"/>
      <c r="AN109" s="11"/>
      <c r="AO109" s="11"/>
      <c r="AP109" s="11"/>
      <c r="AQ109" s="11"/>
      <c r="AR109" s="10" t="s">
        <v>953</v>
      </c>
      <c r="AS109" s="10" t="s">
        <v>66</v>
      </c>
      <c r="AT109" s="10" t="s">
        <v>53</v>
      </c>
    </row>
    <row r="110" spans="1:46" ht="20" hidden="1" customHeight="1" x14ac:dyDescent="0.15">
      <c r="A110" s="8" t="s">
        <v>995</v>
      </c>
      <c r="B110" s="9" t="s">
        <v>996</v>
      </c>
      <c r="C110" s="10" t="s">
        <v>997</v>
      </c>
      <c r="D110" s="10" t="s">
        <v>998</v>
      </c>
      <c r="E110" s="10" t="s">
        <v>51</v>
      </c>
      <c r="F110" s="10" t="s">
        <v>732</v>
      </c>
      <c r="G110" s="11"/>
      <c r="H110" s="10" t="s">
        <v>91</v>
      </c>
      <c r="I110" s="10" t="s">
        <v>53</v>
      </c>
      <c r="J110" s="10" t="s">
        <v>54</v>
      </c>
      <c r="K110" s="11"/>
      <c r="L110" s="10" t="s">
        <v>888</v>
      </c>
      <c r="M110" s="11"/>
      <c r="N110" s="11"/>
      <c r="O110" s="11"/>
      <c r="P110" s="11"/>
      <c r="Q110" s="10" t="s">
        <v>361</v>
      </c>
      <c r="R110" s="11"/>
      <c r="S110" s="10" t="s">
        <v>734</v>
      </c>
      <c r="T110" s="10" t="s">
        <v>735</v>
      </c>
      <c r="U110" s="10" t="s">
        <v>736</v>
      </c>
      <c r="V110" s="11"/>
      <c r="W110" s="10" t="s">
        <v>737</v>
      </c>
      <c r="X110" s="10" t="s">
        <v>80</v>
      </c>
      <c r="Y110" s="10" t="s">
        <v>80</v>
      </c>
      <c r="Z110" s="10" t="s">
        <v>999</v>
      </c>
      <c r="AA110" s="10" t="s">
        <v>999</v>
      </c>
      <c r="AB110" s="11"/>
      <c r="AC110" s="11"/>
      <c r="AD110" s="11"/>
      <c r="AE110" s="11"/>
      <c r="AF110" s="12">
        <v>300</v>
      </c>
      <c r="AG110" s="11"/>
      <c r="AH110" s="10" t="s">
        <v>538</v>
      </c>
      <c r="AI110" s="11"/>
      <c r="AJ110" s="10" t="s">
        <v>1000</v>
      </c>
      <c r="AK110" s="10" t="s">
        <v>975</v>
      </c>
      <c r="AL110" s="11"/>
      <c r="AM110" s="11"/>
      <c r="AN110" s="11"/>
      <c r="AO110" s="11"/>
      <c r="AP110" s="11"/>
      <c r="AQ110" s="11"/>
      <c r="AR110" s="10" t="s">
        <v>1001</v>
      </c>
      <c r="AS110" s="10" t="s">
        <v>66</v>
      </c>
      <c r="AT110" s="10" t="s">
        <v>53</v>
      </c>
    </row>
    <row r="111" spans="1:46" ht="20" customHeight="1" x14ac:dyDescent="0.15">
      <c r="A111" s="8" t="s">
        <v>1002</v>
      </c>
      <c r="B111" s="9" t="s">
        <v>1003</v>
      </c>
      <c r="C111" s="10" t="s">
        <v>1004</v>
      </c>
      <c r="D111" s="10" t="s">
        <v>1005</v>
      </c>
      <c r="E111" s="10" t="s">
        <v>51</v>
      </c>
      <c r="F111" s="10" t="s">
        <v>732</v>
      </c>
      <c r="G111" s="11"/>
      <c r="H111" s="10" t="s">
        <v>72</v>
      </c>
      <c r="I111" s="10" t="s">
        <v>53</v>
      </c>
      <c r="J111" s="10" t="s">
        <v>54</v>
      </c>
      <c r="K111" s="11"/>
      <c r="L111" s="10" t="s">
        <v>1006</v>
      </c>
      <c r="M111" s="11"/>
      <c r="N111" s="11"/>
      <c r="O111" s="11"/>
      <c r="P111" s="11"/>
      <c r="Q111" s="10" t="s">
        <v>75</v>
      </c>
      <c r="R111" s="11"/>
      <c r="S111" s="10" t="s">
        <v>734</v>
      </c>
      <c r="T111" s="10" t="s">
        <v>735</v>
      </c>
      <c r="U111" s="10" t="s">
        <v>736</v>
      </c>
      <c r="V111" s="11"/>
      <c r="W111" s="10" t="s">
        <v>737</v>
      </c>
      <c r="X111" s="10" t="s">
        <v>80</v>
      </c>
      <c r="Y111" s="10" t="s">
        <v>80</v>
      </c>
      <c r="Z111" s="10" t="s">
        <v>1007</v>
      </c>
      <c r="AA111" s="10" t="s">
        <v>1007</v>
      </c>
      <c r="AB111" s="11"/>
      <c r="AC111" s="11"/>
      <c r="AD111" s="11"/>
      <c r="AE111" s="11"/>
      <c r="AF111" s="12">
        <v>1</v>
      </c>
      <c r="AG111" s="11"/>
      <c r="AH111" s="10" t="s">
        <v>1008</v>
      </c>
      <c r="AI111" s="11"/>
      <c r="AJ111" s="10" t="s">
        <v>1009</v>
      </c>
      <c r="AK111" s="10" t="s">
        <v>975</v>
      </c>
      <c r="AL111" s="11"/>
      <c r="AM111" s="11"/>
      <c r="AN111" s="11"/>
      <c r="AO111" s="11"/>
      <c r="AP111" s="11"/>
      <c r="AQ111" s="11"/>
      <c r="AR111" s="10" t="s">
        <v>1010</v>
      </c>
      <c r="AS111" s="10" t="s">
        <v>66</v>
      </c>
      <c r="AT111" s="10" t="s">
        <v>53</v>
      </c>
    </row>
    <row r="112" spans="1:46" ht="20" customHeight="1" x14ac:dyDescent="0.15">
      <c r="A112" s="8" t="s">
        <v>1011</v>
      </c>
      <c r="B112" s="9" t="s">
        <v>1012</v>
      </c>
      <c r="C112" s="10" t="s">
        <v>1013</v>
      </c>
      <c r="D112" s="10" t="s">
        <v>1014</v>
      </c>
      <c r="E112" s="10" t="s">
        <v>51</v>
      </c>
      <c r="F112" s="10" t="s">
        <v>732</v>
      </c>
      <c r="G112" s="11"/>
      <c r="H112" s="10" t="s">
        <v>72</v>
      </c>
      <c r="I112" s="10" t="s">
        <v>53</v>
      </c>
      <c r="J112" s="10" t="s">
        <v>54</v>
      </c>
      <c r="K112" s="11"/>
      <c r="L112" s="10" t="s">
        <v>1006</v>
      </c>
      <c r="M112" s="11"/>
      <c r="N112" s="11"/>
      <c r="O112" s="11"/>
      <c r="P112" s="11"/>
      <c r="Q112" s="10" t="s">
        <v>75</v>
      </c>
      <c r="R112" s="11"/>
      <c r="S112" s="10" t="s">
        <v>734</v>
      </c>
      <c r="T112" s="10" t="s">
        <v>735</v>
      </c>
      <c r="U112" s="10" t="s">
        <v>736</v>
      </c>
      <c r="V112" s="11"/>
      <c r="W112" s="10" t="s">
        <v>737</v>
      </c>
      <c r="X112" s="10" t="s">
        <v>80</v>
      </c>
      <c r="Y112" s="10" t="s">
        <v>80</v>
      </c>
      <c r="Z112" s="10" t="s">
        <v>1015</v>
      </c>
      <c r="AA112" s="10" t="s">
        <v>1015</v>
      </c>
      <c r="AB112" s="11"/>
      <c r="AC112" s="11"/>
      <c r="AD112" s="11"/>
      <c r="AE112" s="11"/>
      <c r="AF112" s="12">
        <v>1</v>
      </c>
      <c r="AG112" s="11"/>
      <c r="AH112" s="10" t="s">
        <v>1008</v>
      </c>
      <c r="AI112" s="11"/>
      <c r="AJ112" s="10" t="s">
        <v>1016</v>
      </c>
      <c r="AK112" s="10" t="s">
        <v>975</v>
      </c>
      <c r="AL112" s="11"/>
      <c r="AM112" s="11"/>
      <c r="AN112" s="11"/>
      <c r="AO112" s="11"/>
      <c r="AP112" s="11"/>
      <c r="AQ112" s="11"/>
      <c r="AR112" s="10" t="s">
        <v>1017</v>
      </c>
      <c r="AS112" s="10" t="s">
        <v>66</v>
      </c>
      <c r="AT112" s="10" t="s">
        <v>53</v>
      </c>
    </row>
    <row r="113" spans="1:46" ht="20" customHeight="1" x14ac:dyDescent="0.15">
      <c r="A113" s="8" t="s">
        <v>1018</v>
      </c>
      <c r="B113" s="9" t="s">
        <v>1019</v>
      </c>
      <c r="C113" s="10" t="s">
        <v>1013</v>
      </c>
      <c r="D113" s="10" t="s">
        <v>1020</v>
      </c>
      <c r="E113" s="10" t="s">
        <v>51</v>
      </c>
      <c r="F113" s="10" t="s">
        <v>732</v>
      </c>
      <c r="G113" s="11"/>
      <c r="H113" s="10" t="s">
        <v>72</v>
      </c>
      <c r="I113" s="10" t="s">
        <v>53</v>
      </c>
      <c r="J113" s="10" t="s">
        <v>54</v>
      </c>
      <c r="K113" s="11"/>
      <c r="L113" s="10" t="s">
        <v>1006</v>
      </c>
      <c r="M113" s="11"/>
      <c r="N113" s="11"/>
      <c r="O113" s="11"/>
      <c r="P113" s="11"/>
      <c r="Q113" s="10" t="s">
        <v>75</v>
      </c>
      <c r="R113" s="11"/>
      <c r="S113" s="10" t="s">
        <v>734</v>
      </c>
      <c r="T113" s="10" t="s">
        <v>735</v>
      </c>
      <c r="U113" s="10" t="s">
        <v>736</v>
      </c>
      <c r="V113" s="11"/>
      <c r="W113" s="10" t="s">
        <v>737</v>
      </c>
      <c r="X113" s="10" t="s">
        <v>80</v>
      </c>
      <c r="Y113" s="10" t="s">
        <v>80</v>
      </c>
      <c r="Z113" s="10" t="s">
        <v>1021</v>
      </c>
      <c r="AA113" s="10" t="s">
        <v>1022</v>
      </c>
      <c r="AB113" s="11"/>
      <c r="AC113" s="11"/>
      <c r="AD113" s="11"/>
      <c r="AE113" s="11"/>
      <c r="AF113" s="12">
        <v>1</v>
      </c>
      <c r="AG113" s="11"/>
      <c r="AH113" s="10" t="s">
        <v>1008</v>
      </c>
      <c r="AI113" s="11"/>
      <c r="AJ113" s="10" t="s">
        <v>1023</v>
      </c>
      <c r="AK113" s="10" t="s">
        <v>975</v>
      </c>
      <c r="AL113" s="11"/>
      <c r="AM113" s="11"/>
      <c r="AN113" s="11"/>
      <c r="AO113" s="11"/>
      <c r="AP113" s="11"/>
      <c r="AQ113" s="11"/>
      <c r="AR113" s="10" t="s">
        <v>1024</v>
      </c>
      <c r="AS113" s="10" t="s">
        <v>66</v>
      </c>
      <c r="AT113" s="10" t="s">
        <v>53</v>
      </c>
    </row>
    <row r="114" spans="1:46" ht="20" customHeight="1" x14ac:dyDescent="0.15">
      <c r="A114" s="8" t="s">
        <v>1025</v>
      </c>
      <c r="B114" s="9" t="s">
        <v>1026</v>
      </c>
      <c r="C114" s="10" t="s">
        <v>1027</v>
      </c>
      <c r="D114" s="10" t="s">
        <v>1028</v>
      </c>
      <c r="E114" s="10" t="s">
        <v>51</v>
      </c>
      <c r="F114" s="10" t="s">
        <v>732</v>
      </c>
      <c r="G114" s="11"/>
      <c r="H114" s="10" t="s">
        <v>72</v>
      </c>
      <c r="I114" s="10" t="s">
        <v>53</v>
      </c>
      <c r="J114" s="10" t="s">
        <v>54</v>
      </c>
      <c r="K114" s="11"/>
      <c r="L114" s="10" t="s">
        <v>1006</v>
      </c>
      <c r="M114" s="11"/>
      <c r="N114" s="11"/>
      <c r="O114" s="11"/>
      <c r="P114" s="11"/>
      <c r="Q114" s="10" t="s">
        <v>75</v>
      </c>
      <c r="R114" s="11"/>
      <c r="S114" s="10" t="s">
        <v>734</v>
      </c>
      <c r="T114" s="10" t="s">
        <v>735</v>
      </c>
      <c r="U114" s="10" t="s">
        <v>736</v>
      </c>
      <c r="V114" s="11"/>
      <c r="W114" s="10" t="s">
        <v>737</v>
      </c>
      <c r="X114" s="10" t="s">
        <v>80</v>
      </c>
      <c r="Y114" s="10" t="s">
        <v>80</v>
      </c>
      <c r="Z114" s="10" t="s">
        <v>1029</v>
      </c>
      <c r="AA114" s="10" t="s">
        <v>1029</v>
      </c>
      <c r="AB114" s="11"/>
      <c r="AC114" s="11"/>
      <c r="AD114" s="11"/>
      <c r="AE114" s="11"/>
      <c r="AF114" s="12">
        <v>400</v>
      </c>
      <c r="AG114" s="11"/>
      <c r="AH114" s="10" t="s">
        <v>538</v>
      </c>
      <c r="AI114" s="11"/>
      <c r="AJ114" s="10" t="s">
        <v>1030</v>
      </c>
      <c r="AK114" s="10" t="s">
        <v>975</v>
      </c>
      <c r="AL114" s="11"/>
      <c r="AM114" s="11"/>
      <c r="AN114" s="11"/>
      <c r="AO114" s="11"/>
      <c r="AP114" s="11"/>
      <c r="AQ114" s="11"/>
      <c r="AR114" s="10" t="s">
        <v>1031</v>
      </c>
      <c r="AS114" s="10" t="s">
        <v>66</v>
      </c>
      <c r="AT114" s="10" t="s">
        <v>53</v>
      </c>
    </row>
    <row r="115" spans="1:46" ht="20" customHeight="1" x14ac:dyDescent="0.15">
      <c r="A115" s="8" t="s">
        <v>1032</v>
      </c>
      <c r="B115" s="9" t="s">
        <v>1033</v>
      </c>
      <c r="C115" s="10" t="s">
        <v>1034</v>
      </c>
      <c r="D115" s="10" t="s">
        <v>1035</v>
      </c>
      <c r="E115" s="10" t="s">
        <v>51</v>
      </c>
      <c r="F115" s="10" t="s">
        <v>732</v>
      </c>
      <c r="G115" s="11"/>
      <c r="H115" s="10" t="s">
        <v>229</v>
      </c>
      <c r="I115" s="10" t="s">
        <v>53</v>
      </c>
      <c r="J115" s="10" t="s">
        <v>54</v>
      </c>
      <c r="K115" s="11"/>
      <c r="L115" s="10" t="s">
        <v>1006</v>
      </c>
      <c r="M115" s="11"/>
      <c r="N115" s="11"/>
      <c r="O115" s="11"/>
      <c r="P115" s="11"/>
      <c r="Q115" s="10" t="s">
        <v>75</v>
      </c>
      <c r="R115" s="11"/>
      <c r="S115" s="10" t="s">
        <v>734</v>
      </c>
      <c r="T115" s="10" t="s">
        <v>735</v>
      </c>
      <c r="U115" s="10" t="s">
        <v>736</v>
      </c>
      <c r="V115" s="11"/>
      <c r="W115" s="10" t="s">
        <v>737</v>
      </c>
      <c r="X115" s="10" t="s">
        <v>80</v>
      </c>
      <c r="Y115" s="10" t="s">
        <v>80</v>
      </c>
      <c r="Z115" s="10" t="s">
        <v>1036</v>
      </c>
      <c r="AA115" s="10" t="s">
        <v>1036</v>
      </c>
      <c r="AB115" s="11"/>
      <c r="AC115" s="11"/>
      <c r="AD115" s="11"/>
      <c r="AE115" s="11"/>
      <c r="AF115" s="12">
        <v>1500</v>
      </c>
      <c r="AG115" s="11"/>
      <c r="AH115" s="10" t="s">
        <v>433</v>
      </c>
      <c r="AI115" s="11"/>
      <c r="AJ115" s="10" t="s">
        <v>1037</v>
      </c>
      <c r="AK115" s="10" t="s">
        <v>975</v>
      </c>
      <c r="AL115" s="11"/>
      <c r="AM115" s="11"/>
      <c r="AN115" s="11"/>
      <c r="AO115" s="11"/>
      <c r="AP115" s="11"/>
      <c r="AQ115" s="11"/>
      <c r="AR115" s="10" t="s">
        <v>1038</v>
      </c>
      <c r="AS115" s="10" t="s">
        <v>66</v>
      </c>
      <c r="AT115" s="10" t="s">
        <v>53</v>
      </c>
    </row>
    <row r="116" spans="1:46" ht="20" customHeight="1" x14ac:dyDescent="0.15">
      <c r="A116" s="8" t="s">
        <v>1039</v>
      </c>
      <c r="B116" s="9" t="s">
        <v>1040</v>
      </c>
      <c r="C116" s="10" t="s">
        <v>1041</v>
      </c>
      <c r="D116" s="10" t="s">
        <v>1042</v>
      </c>
      <c r="E116" s="10" t="s">
        <v>51</v>
      </c>
      <c r="F116" s="10" t="s">
        <v>732</v>
      </c>
      <c r="G116" s="11"/>
      <c r="H116" s="10" t="s">
        <v>229</v>
      </c>
      <c r="I116" s="10" t="s">
        <v>53</v>
      </c>
      <c r="J116" s="10" t="s">
        <v>54</v>
      </c>
      <c r="K116" s="11"/>
      <c r="L116" s="10" t="s">
        <v>1006</v>
      </c>
      <c r="M116" s="11"/>
      <c r="N116" s="11"/>
      <c r="O116" s="11"/>
      <c r="P116" s="11"/>
      <c r="Q116" s="10" t="s">
        <v>75</v>
      </c>
      <c r="R116" s="11"/>
      <c r="S116" s="10" t="s">
        <v>734</v>
      </c>
      <c r="T116" s="10" t="s">
        <v>735</v>
      </c>
      <c r="U116" s="10" t="s">
        <v>736</v>
      </c>
      <c r="V116" s="11"/>
      <c r="W116" s="10" t="s">
        <v>737</v>
      </c>
      <c r="X116" s="10" t="s">
        <v>80</v>
      </c>
      <c r="Y116" s="10" t="s">
        <v>80</v>
      </c>
      <c r="Z116" s="10" t="s">
        <v>1043</v>
      </c>
      <c r="AA116" s="10" t="s">
        <v>1043</v>
      </c>
      <c r="AB116" s="11"/>
      <c r="AC116" s="11"/>
      <c r="AD116" s="11"/>
      <c r="AE116" s="11"/>
      <c r="AF116" s="12">
        <v>500</v>
      </c>
      <c r="AG116" s="11"/>
      <c r="AH116" s="10" t="s">
        <v>433</v>
      </c>
      <c r="AI116" s="11"/>
      <c r="AJ116" s="10" t="s">
        <v>1044</v>
      </c>
      <c r="AK116" s="10" t="s">
        <v>1045</v>
      </c>
      <c r="AL116" s="11"/>
      <c r="AM116" s="11"/>
      <c r="AN116" s="11"/>
      <c r="AO116" s="11"/>
      <c r="AP116" s="11"/>
      <c r="AQ116" s="11"/>
      <c r="AR116" s="10" t="s">
        <v>1046</v>
      </c>
      <c r="AS116" s="10" t="s">
        <v>66</v>
      </c>
      <c r="AT116" s="10" t="s">
        <v>53</v>
      </c>
    </row>
    <row r="117" spans="1:46" ht="20" customHeight="1" x14ac:dyDescent="0.15">
      <c r="A117" s="8" t="s">
        <v>1047</v>
      </c>
      <c r="B117" s="9" t="s">
        <v>1048</v>
      </c>
      <c r="C117" s="10" t="s">
        <v>1049</v>
      </c>
      <c r="D117" s="10" t="s">
        <v>1042</v>
      </c>
      <c r="E117" s="10" t="s">
        <v>51</v>
      </c>
      <c r="F117" s="10" t="s">
        <v>732</v>
      </c>
      <c r="G117" s="11"/>
      <c r="H117" s="10" t="s">
        <v>229</v>
      </c>
      <c r="I117" s="10" t="s">
        <v>53</v>
      </c>
      <c r="J117" s="10" t="s">
        <v>54</v>
      </c>
      <c r="K117" s="11"/>
      <c r="L117" s="10" t="s">
        <v>1006</v>
      </c>
      <c r="M117" s="11"/>
      <c r="N117" s="11"/>
      <c r="O117" s="11"/>
      <c r="P117" s="11"/>
      <c r="Q117" s="10" t="s">
        <v>75</v>
      </c>
      <c r="R117" s="11"/>
      <c r="S117" s="10" t="s">
        <v>734</v>
      </c>
      <c r="T117" s="10" t="s">
        <v>735</v>
      </c>
      <c r="U117" s="10" t="s">
        <v>736</v>
      </c>
      <c r="V117" s="11"/>
      <c r="W117" s="10" t="s">
        <v>737</v>
      </c>
      <c r="X117" s="10" t="s">
        <v>80</v>
      </c>
      <c r="Y117" s="10" t="s">
        <v>80</v>
      </c>
      <c r="Z117" s="10" t="s">
        <v>1050</v>
      </c>
      <c r="AA117" s="10" t="s">
        <v>1050</v>
      </c>
      <c r="AB117" s="11"/>
      <c r="AC117" s="11"/>
      <c r="AD117" s="11"/>
      <c r="AE117" s="11"/>
      <c r="AF117" s="12">
        <v>500</v>
      </c>
      <c r="AG117" s="11"/>
      <c r="AH117" s="10" t="s">
        <v>433</v>
      </c>
      <c r="AI117" s="11"/>
      <c r="AJ117" s="10" t="s">
        <v>1044</v>
      </c>
      <c r="AK117" s="10" t="s">
        <v>1045</v>
      </c>
      <c r="AL117" s="11"/>
      <c r="AM117" s="11"/>
      <c r="AN117" s="11"/>
      <c r="AO117" s="11"/>
      <c r="AP117" s="11"/>
      <c r="AQ117" s="11"/>
      <c r="AR117" s="10" t="s">
        <v>1046</v>
      </c>
      <c r="AS117" s="10" t="s">
        <v>66</v>
      </c>
      <c r="AT117" s="10" t="s">
        <v>53</v>
      </c>
    </row>
    <row r="118" spans="1:46" ht="20" customHeight="1" x14ac:dyDescent="0.15">
      <c r="A118" s="8" t="s">
        <v>1051</v>
      </c>
      <c r="B118" s="9" t="s">
        <v>1052</v>
      </c>
      <c r="C118" s="10" t="s">
        <v>1053</v>
      </c>
      <c r="D118" s="10" t="s">
        <v>1054</v>
      </c>
      <c r="E118" s="10" t="s">
        <v>51</v>
      </c>
      <c r="F118" s="10" t="s">
        <v>732</v>
      </c>
      <c r="G118" s="11"/>
      <c r="H118" s="10" t="s">
        <v>239</v>
      </c>
      <c r="I118" s="10" t="s">
        <v>53</v>
      </c>
      <c r="J118" s="10" t="s">
        <v>54</v>
      </c>
      <c r="K118" s="11"/>
      <c r="L118" s="10" t="s">
        <v>1006</v>
      </c>
      <c r="M118" s="11"/>
      <c r="N118" s="11"/>
      <c r="O118" s="11"/>
      <c r="P118" s="11"/>
      <c r="Q118" s="10" t="s">
        <v>75</v>
      </c>
      <c r="R118" s="11"/>
      <c r="S118" s="10" t="s">
        <v>734</v>
      </c>
      <c r="T118" s="10" t="s">
        <v>735</v>
      </c>
      <c r="U118" s="10" t="s">
        <v>736</v>
      </c>
      <c r="V118" s="11"/>
      <c r="W118" s="10" t="s">
        <v>737</v>
      </c>
      <c r="X118" s="10" t="s">
        <v>80</v>
      </c>
      <c r="Y118" s="10" t="s">
        <v>80</v>
      </c>
      <c r="Z118" s="10" t="s">
        <v>1055</v>
      </c>
      <c r="AA118" s="10" t="s">
        <v>1055</v>
      </c>
      <c r="AB118" s="11"/>
      <c r="AC118" s="11"/>
      <c r="AD118" s="11"/>
      <c r="AE118" s="11"/>
      <c r="AF118" s="12">
        <v>6000</v>
      </c>
      <c r="AG118" s="11"/>
      <c r="AH118" s="10" t="s">
        <v>126</v>
      </c>
      <c r="AI118" s="11"/>
      <c r="AJ118" s="10" t="s">
        <v>1044</v>
      </c>
      <c r="AK118" s="10" t="s">
        <v>1045</v>
      </c>
      <c r="AL118" s="11"/>
      <c r="AM118" s="11"/>
      <c r="AN118" s="11"/>
      <c r="AO118" s="11"/>
      <c r="AP118" s="11"/>
      <c r="AQ118" s="11"/>
      <c r="AR118" s="10" t="s">
        <v>1056</v>
      </c>
      <c r="AS118" s="10" t="s">
        <v>66</v>
      </c>
      <c r="AT118" s="10" t="s">
        <v>53</v>
      </c>
    </row>
    <row r="119" spans="1:46" ht="20" customHeight="1" x14ac:dyDescent="0.15">
      <c r="A119" s="8" t="s">
        <v>1057</v>
      </c>
      <c r="B119" s="9" t="s">
        <v>1058</v>
      </c>
      <c r="C119" s="10" t="s">
        <v>1059</v>
      </c>
      <c r="D119" s="10" t="s">
        <v>1060</v>
      </c>
      <c r="E119" s="10" t="s">
        <v>51</v>
      </c>
      <c r="F119" s="10" t="s">
        <v>732</v>
      </c>
      <c r="G119" s="11"/>
      <c r="H119" s="10" t="s">
        <v>239</v>
      </c>
      <c r="I119" s="10" t="s">
        <v>53</v>
      </c>
      <c r="J119" s="10" t="s">
        <v>54</v>
      </c>
      <c r="K119" s="11"/>
      <c r="L119" s="10" t="s">
        <v>1006</v>
      </c>
      <c r="M119" s="11"/>
      <c r="N119" s="11"/>
      <c r="O119" s="11"/>
      <c r="P119" s="11"/>
      <c r="Q119" s="10" t="s">
        <v>75</v>
      </c>
      <c r="R119" s="11"/>
      <c r="S119" s="10" t="s">
        <v>734</v>
      </c>
      <c r="T119" s="10" t="s">
        <v>735</v>
      </c>
      <c r="U119" s="10" t="s">
        <v>736</v>
      </c>
      <c r="V119" s="11"/>
      <c r="W119" s="10" t="s">
        <v>737</v>
      </c>
      <c r="X119" s="10" t="s">
        <v>80</v>
      </c>
      <c r="Y119" s="10" t="s">
        <v>80</v>
      </c>
      <c r="Z119" s="10" t="s">
        <v>1061</v>
      </c>
      <c r="AA119" s="10" t="s">
        <v>1061</v>
      </c>
      <c r="AB119" s="11"/>
      <c r="AC119" s="11"/>
      <c r="AD119" s="11"/>
      <c r="AE119" s="11"/>
      <c r="AF119" s="12">
        <v>2000</v>
      </c>
      <c r="AG119" s="11"/>
      <c r="AH119" s="10" t="s">
        <v>126</v>
      </c>
      <c r="AI119" s="11"/>
      <c r="AJ119" s="10" t="s">
        <v>1062</v>
      </c>
      <c r="AK119" s="10" t="s">
        <v>1045</v>
      </c>
      <c r="AL119" s="11"/>
      <c r="AM119" s="11"/>
      <c r="AN119" s="11"/>
      <c r="AO119" s="11"/>
      <c r="AP119" s="11"/>
      <c r="AQ119" s="11"/>
      <c r="AR119" s="10" t="s">
        <v>1063</v>
      </c>
      <c r="AS119" s="10" t="s">
        <v>66</v>
      </c>
      <c r="AT119" s="10" t="s">
        <v>53</v>
      </c>
    </row>
    <row r="120" spans="1:46" ht="20" customHeight="1" x14ac:dyDescent="0.15">
      <c r="A120" s="8" t="s">
        <v>1064</v>
      </c>
      <c r="B120" s="9" t="s">
        <v>1065</v>
      </c>
      <c r="C120" s="10" t="s">
        <v>1066</v>
      </c>
      <c r="D120" s="10" t="s">
        <v>1067</v>
      </c>
      <c r="E120" s="10" t="s">
        <v>51</v>
      </c>
      <c r="F120" s="10" t="s">
        <v>732</v>
      </c>
      <c r="G120" s="11"/>
      <c r="H120" s="10" t="s">
        <v>239</v>
      </c>
      <c r="I120" s="10" t="s">
        <v>53</v>
      </c>
      <c r="J120" s="10" t="s">
        <v>54</v>
      </c>
      <c r="K120" s="11"/>
      <c r="L120" s="10" t="s">
        <v>1006</v>
      </c>
      <c r="M120" s="11"/>
      <c r="N120" s="11"/>
      <c r="O120" s="11"/>
      <c r="P120" s="11"/>
      <c r="Q120" s="10" t="s">
        <v>75</v>
      </c>
      <c r="R120" s="11"/>
      <c r="S120" s="10" t="s">
        <v>734</v>
      </c>
      <c r="T120" s="10" t="s">
        <v>735</v>
      </c>
      <c r="U120" s="10" t="s">
        <v>736</v>
      </c>
      <c r="V120" s="11"/>
      <c r="W120" s="10" t="s">
        <v>737</v>
      </c>
      <c r="X120" s="10" t="s">
        <v>80</v>
      </c>
      <c r="Y120" s="10" t="s">
        <v>80</v>
      </c>
      <c r="Z120" s="10" t="s">
        <v>1068</v>
      </c>
      <c r="AA120" s="10" t="s">
        <v>1068</v>
      </c>
      <c r="AB120" s="11"/>
      <c r="AC120" s="11"/>
      <c r="AD120" s="11"/>
      <c r="AE120" s="11"/>
      <c r="AF120" s="12">
        <v>3000</v>
      </c>
      <c r="AG120" s="11"/>
      <c r="AH120" s="10" t="s">
        <v>126</v>
      </c>
      <c r="AI120" s="11"/>
      <c r="AJ120" s="10" t="s">
        <v>1062</v>
      </c>
      <c r="AK120" s="10" t="s">
        <v>1045</v>
      </c>
      <c r="AL120" s="11"/>
      <c r="AM120" s="11"/>
      <c r="AN120" s="11"/>
      <c r="AO120" s="11"/>
      <c r="AP120" s="11"/>
      <c r="AQ120" s="11"/>
      <c r="AR120" s="10" t="s">
        <v>1069</v>
      </c>
      <c r="AS120" s="10" t="s">
        <v>66</v>
      </c>
      <c r="AT120" s="10" t="s">
        <v>53</v>
      </c>
    </row>
    <row r="121" spans="1:46" ht="20" hidden="1" customHeight="1" x14ac:dyDescent="0.15">
      <c r="A121" s="8" t="s">
        <v>1070</v>
      </c>
      <c r="B121" s="9" t="s">
        <v>1071</v>
      </c>
      <c r="C121" s="10" t="s">
        <v>1072</v>
      </c>
      <c r="D121" s="10" t="s">
        <v>1073</v>
      </c>
      <c r="E121" s="10" t="s">
        <v>51</v>
      </c>
      <c r="F121" s="10" t="s">
        <v>732</v>
      </c>
      <c r="G121" s="11"/>
      <c r="H121" s="10" t="s">
        <v>1074</v>
      </c>
      <c r="I121" s="10" t="s">
        <v>53</v>
      </c>
      <c r="J121" s="10" t="s">
        <v>54</v>
      </c>
      <c r="K121" s="11"/>
      <c r="L121" s="10" t="s">
        <v>1006</v>
      </c>
      <c r="M121" s="11"/>
      <c r="N121" s="11"/>
      <c r="O121" s="11"/>
      <c r="P121" s="11"/>
      <c r="Q121" s="10" t="s">
        <v>75</v>
      </c>
      <c r="R121" s="11"/>
      <c r="S121" s="10" t="s">
        <v>734</v>
      </c>
      <c r="T121" s="10" t="s">
        <v>735</v>
      </c>
      <c r="U121" s="10" t="s">
        <v>736</v>
      </c>
      <c r="V121" s="11"/>
      <c r="W121" s="10" t="s">
        <v>737</v>
      </c>
      <c r="X121" s="10" t="s">
        <v>80</v>
      </c>
      <c r="Y121" s="10" t="s">
        <v>80</v>
      </c>
      <c r="Z121" s="10" t="s">
        <v>1075</v>
      </c>
      <c r="AA121" s="10" t="s">
        <v>1075</v>
      </c>
      <c r="AB121" s="11"/>
      <c r="AC121" s="11"/>
      <c r="AD121" s="11"/>
      <c r="AE121" s="11"/>
      <c r="AF121" s="12">
        <v>1</v>
      </c>
      <c r="AG121" s="11"/>
      <c r="AH121" s="10" t="s">
        <v>126</v>
      </c>
      <c r="AI121" s="11"/>
      <c r="AJ121" s="10" t="s">
        <v>1062</v>
      </c>
      <c r="AK121" s="10" t="s">
        <v>1045</v>
      </c>
      <c r="AL121" s="11"/>
      <c r="AM121" s="11"/>
      <c r="AN121" s="11"/>
      <c r="AO121" s="11"/>
      <c r="AP121" s="11"/>
      <c r="AQ121" s="11"/>
      <c r="AR121" s="10" t="s">
        <v>1076</v>
      </c>
      <c r="AS121" s="10" t="s">
        <v>66</v>
      </c>
      <c r="AT121" s="10" t="s">
        <v>53</v>
      </c>
    </row>
    <row r="122" spans="1:46" ht="20" customHeight="1" x14ac:dyDescent="0.15">
      <c r="A122" s="8" t="s">
        <v>1077</v>
      </c>
      <c r="B122" s="9" t="s">
        <v>1078</v>
      </c>
      <c r="C122" s="10" t="s">
        <v>1079</v>
      </c>
      <c r="D122" s="10" t="s">
        <v>1080</v>
      </c>
      <c r="E122" s="10" t="s">
        <v>51</v>
      </c>
      <c r="F122" s="10" t="s">
        <v>732</v>
      </c>
      <c r="G122" s="11"/>
      <c r="H122" s="10" t="s">
        <v>561</v>
      </c>
      <c r="I122" s="10" t="s">
        <v>53</v>
      </c>
      <c r="J122" s="10" t="s">
        <v>54</v>
      </c>
      <c r="K122" s="11"/>
      <c r="L122" s="10" t="s">
        <v>1006</v>
      </c>
      <c r="M122" s="11"/>
      <c r="N122" s="11"/>
      <c r="O122" s="11"/>
      <c r="P122" s="11"/>
      <c r="Q122" s="10" t="s">
        <v>75</v>
      </c>
      <c r="R122" s="11"/>
      <c r="S122" s="10" t="s">
        <v>734</v>
      </c>
      <c r="T122" s="10" t="s">
        <v>735</v>
      </c>
      <c r="U122" s="10" t="s">
        <v>736</v>
      </c>
      <c r="V122" s="11"/>
      <c r="W122" s="10" t="s">
        <v>737</v>
      </c>
      <c r="X122" s="10" t="s">
        <v>80</v>
      </c>
      <c r="Y122" s="10" t="s">
        <v>80</v>
      </c>
      <c r="Z122" s="10" t="s">
        <v>1081</v>
      </c>
      <c r="AA122" s="10" t="s">
        <v>1081</v>
      </c>
      <c r="AB122" s="11"/>
      <c r="AC122" s="11"/>
      <c r="AD122" s="11"/>
      <c r="AE122" s="11"/>
      <c r="AF122" s="12">
        <v>4000</v>
      </c>
      <c r="AG122" s="11"/>
      <c r="AH122" s="10" t="s">
        <v>126</v>
      </c>
      <c r="AI122" s="11"/>
      <c r="AJ122" s="10" t="s">
        <v>1082</v>
      </c>
      <c r="AK122" s="10" t="s">
        <v>1045</v>
      </c>
      <c r="AL122" s="11"/>
      <c r="AM122" s="11"/>
      <c r="AN122" s="11"/>
      <c r="AO122" s="11"/>
      <c r="AP122" s="11"/>
      <c r="AQ122" s="11"/>
      <c r="AR122" s="10" t="s">
        <v>1083</v>
      </c>
      <c r="AS122" s="10" t="s">
        <v>66</v>
      </c>
      <c r="AT122" s="10" t="s">
        <v>53</v>
      </c>
    </row>
    <row r="123" spans="1:46" ht="20" customHeight="1" x14ac:dyDescent="0.15">
      <c r="A123" s="8" t="s">
        <v>1084</v>
      </c>
      <c r="B123" s="9" t="s">
        <v>1085</v>
      </c>
      <c r="C123" s="10" t="s">
        <v>1086</v>
      </c>
      <c r="D123" s="10" t="s">
        <v>1087</v>
      </c>
      <c r="E123" s="10" t="s">
        <v>51</v>
      </c>
      <c r="F123" s="10" t="s">
        <v>732</v>
      </c>
      <c r="G123" s="11"/>
      <c r="H123" s="10" t="s">
        <v>561</v>
      </c>
      <c r="I123" s="10" t="s">
        <v>53</v>
      </c>
      <c r="J123" s="10" t="s">
        <v>54</v>
      </c>
      <c r="K123" s="11"/>
      <c r="L123" s="10" t="s">
        <v>1006</v>
      </c>
      <c r="M123" s="11"/>
      <c r="N123" s="11"/>
      <c r="O123" s="11"/>
      <c r="P123" s="11"/>
      <c r="Q123" s="10" t="s">
        <v>75</v>
      </c>
      <c r="R123" s="11"/>
      <c r="S123" s="10" t="s">
        <v>734</v>
      </c>
      <c r="T123" s="10" t="s">
        <v>735</v>
      </c>
      <c r="U123" s="10" t="s">
        <v>736</v>
      </c>
      <c r="V123" s="11"/>
      <c r="W123" s="10" t="s">
        <v>737</v>
      </c>
      <c r="X123" s="10" t="s">
        <v>80</v>
      </c>
      <c r="Y123" s="10" t="s">
        <v>80</v>
      </c>
      <c r="Z123" s="10" t="s">
        <v>1088</v>
      </c>
      <c r="AA123" s="10" t="s">
        <v>1088</v>
      </c>
      <c r="AB123" s="11"/>
      <c r="AC123" s="11"/>
      <c r="AD123" s="11"/>
      <c r="AE123" s="11"/>
      <c r="AF123" s="12">
        <v>500</v>
      </c>
      <c r="AG123" s="11"/>
      <c r="AH123" s="10" t="s">
        <v>126</v>
      </c>
      <c r="AI123" s="11"/>
      <c r="AJ123" s="10" t="s">
        <v>1089</v>
      </c>
      <c r="AK123" s="10" t="s">
        <v>1045</v>
      </c>
      <c r="AL123" s="11"/>
      <c r="AM123" s="11"/>
      <c r="AN123" s="11"/>
      <c r="AO123" s="11"/>
      <c r="AP123" s="11"/>
      <c r="AQ123" s="11"/>
      <c r="AR123" s="10" t="s">
        <v>1090</v>
      </c>
      <c r="AS123" s="10" t="s">
        <v>66</v>
      </c>
      <c r="AT123" s="10" t="s">
        <v>53</v>
      </c>
    </row>
    <row r="124" spans="1:46" ht="20" customHeight="1" x14ac:dyDescent="0.15">
      <c r="A124" s="8" t="s">
        <v>1091</v>
      </c>
      <c r="B124" s="9" t="s">
        <v>1092</v>
      </c>
      <c r="C124" s="10" t="s">
        <v>1093</v>
      </c>
      <c r="D124" s="10" t="s">
        <v>1094</v>
      </c>
      <c r="E124" s="10" t="s">
        <v>51</v>
      </c>
      <c r="F124" s="10" t="s">
        <v>732</v>
      </c>
      <c r="G124" s="11"/>
      <c r="H124" s="10" t="s">
        <v>561</v>
      </c>
      <c r="I124" s="10" t="s">
        <v>53</v>
      </c>
      <c r="J124" s="10" t="s">
        <v>54</v>
      </c>
      <c r="K124" s="11"/>
      <c r="L124" s="10" t="s">
        <v>1006</v>
      </c>
      <c r="M124" s="11"/>
      <c r="N124" s="11"/>
      <c r="O124" s="11"/>
      <c r="P124" s="11"/>
      <c r="Q124" s="10" t="s">
        <v>75</v>
      </c>
      <c r="R124" s="11"/>
      <c r="S124" s="10" t="s">
        <v>734</v>
      </c>
      <c r="T124" s="10" t="s">
        <v>735</v>
      </c>
      <c r="U124" s="10" t="s">
        <v>736</v>
      </c>
      <c r="V124" s="11"/>
      <c r="W124" s="10" t="s">
        <v>737</v>
      </c>
      <c r="X124" s="10" t="s">
        <v>80</v>
      </c>
      <c r="Y124" s="10" t="s">
        <v>80</v>
      </c>
      <c r="Z124" s="10" t="s">
        <v>1095</v>
      </c>
      <c r="AA124" s="10" t="s">
        <v>1095</v>
      </c>
      <c r="AB124" s="11"/>
      <c r="AC124" s="11"/>
      <c r="AD124" s="11"/>
      <c r="AE124" s="11"/>
      <c r="AF124" s="12">
        <v>100</v>
      </c>
      <c r="AG124" s="11"/>
      <c r="AH124" s="10" t="s">
        <v>126</v>
      </c>
      <c r="AI124" s="11"/>
      <c r="AJ124" s="10" t="s">
        <v>1089</v>
      </c>
      <c r="AK124" s="10" t="s">
        <v>1045</v>
      </c>
      <c r="AL124" s="11"/>
      <c r="AM124" s="11"/>
      <c r="AN124" s="11"/>
      <c r="AO124" s="11"/>
      <c r="AP124" s="11"/>
      <c r="AQ124" s="11"/>
      <c r="AR124" s="10" t="s">
        <v>1096</v>
      </c>
      <c r="AS124" s="10" t="s">
        <v>66</v>
      </c>
      <c r="AT124" s="10" t="s">
        <v>53</v>
      </c>
    </row>
    <row r="125" spans="1:46" ht="20" customHeight="1" x14ac:dyDescent="0.15">
      <c r="A125" s="8" t="s">
        <v>1097</v>
      </c>
      <c r="B125" s="9" t="s">
        <v>1098</v>
      </c>
      <c r="C125" s="10" t="s">
        <v>1099</v>
      </c>
      <c r="D125" s="10" t="s">
        <v>1100</v>
      </c>
      <c r="E125" s="10" t="s">
        <v>51</v>
      </c>
      <c r="F125" s="10" t="s">
        <v>732</v>
      </c>
      <c r="G125" s="11"/>
      <c r="H125" s="10" t="s">
        <v>561</v>
      </c>
      <c r="I125" s="10" t="s">
        <v>53</v>
      </c>
      <c r="J125" s="10" t="s">
        <v>54</v>
      </c>
      <c r="K125" s="11"/>
      <c r="L125" s="10" t="s">
        <v>1006</v>
      </c>
      <c r="M125" s="11"/>
      <c r="N125" s="11"/>
      <c r="O125" s="11"/>
      <c r="P125" s="11"/>
      <c r="Q125" s="10" t="s">
        <v>75</v>
      </c>
      <c r="R125" s="11"/>
      <c r="S125" s="10" t="s">
        <v>734</v>
      </c>
      <c r="T125" s="10" t="s">
        <v>735</v>
      </c>
      <c r="U125" s="10" t="s">
        <v>736</v>
      </c>
      <c r="V125" s="11"/>
      <c r="W125" s="10" t="s">
        <v>737</v>
      </c>
      <c r="X125" s="10" t="s">
        <v>80</v>
      </c>
      <c r="Y125" s="10" t="s">
        <v>80</v>
      </c>
      <c r="Z125" s="10" t="s">
        <v>1101</v>
      </c>
      <c r="AA125" s="10" t="s">
        <v>1101</v>
      </c>
      <c r="AB125" s="11"/>
      <c r="AC125" s="11"/>
      <c r="AD125" s="11"/>
      <c r="AE125" s="11"/>
      <c r="AF125" s="12">
        <v>200</v>
      </c>
      <c r="AG125" s="11"/>
      <c r="AH125" s="10" t="s">
        <v>126</v>
      </c>
      <c r="AI125" s="11"/>
      <c r="AJ125" s="10" t="s">
        <v>1102</v>
      </c>
      <c r="AK125" s="10" t="s">
        <v>1045</v>
      </c>
      <c r="AL125" s="11"/>
      <c r="AM125" s="11"/>
      <c r="AN125" s="11"/>
      <c r="AO125" s="11"/>
      <c r="AP125" s="11"/>
      <c r="AQ125" s="11"/>
      <c r="AR125" s="10" t="s">
        <v>1103</v>
      </c>
      <c r="AS125" s="10" t="s">
        <v>66</v>
      </c>
      <c r="AT125" s="10" t="s">
        <v>53</v>
      </c>
    </row>
    <row r="126" spans="1:46" ht="20" customHeight="1" x14ac:dyDescent="0.15">
      <c r="A126" s="8" t="s">
        <v>1104</v>
      </c>
      <c r="B126" s="9" t="s">
        <v>1105</v>
      </c>
      <c r="C126" s="10" t="s">
        <v>1106</v>
      </c>
      <c r="D126" s="10" t="s">
        <v>1107</v>
      </c>
      <c r="E126" s="10" t="s">
        <v>51</v>
      </c>
      <c r="F126" s="10" t="s">
        <v>732</v>
      </c>
      <c r="G126" s="11"/>
      <c r="H126" s="10" t="s">
        <v>561</v>
      </c>
      <c r="I126" s="10" t="s">
        <v>53</v>
      </c>
      <c r="J126" s="10" t="s">
        <v>54</v>
      </c>
      <c r="K126" s="11"/>
      <c r="L126" s="10" t="s">
        <v>1006</v>
      </c>
      <c r="M126" s="11"/>
      <c r="N126" s="11"/>
      <c r="O126" s="11"/>
      <c r="P126" s="11"/>
      <c r="Q126" s="10" t="s">
        <v>75</v>
      </c>
      <c r="R126" s="11"/>
      <c r="S126" s="10" t="s">
        <v>734</v>
      </c>
      <c r="T126" s="10" t="s">
        <v>735</v>
      </c>
      <c r="U126" s="10" t="s">
        <v>736</v>
      </c>
      <c r="V126" s="11"/>
      <c r="W126" s="10" t="s">
        <v>737</v>
      </c>
      <c r="X126" s="10" t="s">
        <v>80</v>
      </c>
      <c r="Y126" s="10" t="s">
        <v>80</v>
      </c>
      <c r="Z126" s="10" t="s">
        <v>1108</v>
      </c>
      <c r="AA126" s="10" t="s">
        <v>1108</v>
      </c>
      <c r="AB126" s="11"/>
      <c r="AC126" s="11"/>
      <c r="AD126" s="11"/>
      <c r="AE126" s="11"/>
      <c r="AF126" s="12">
        <v>800</v>
      </c>
      <c r="AG126" s="11"/>
      <c r="AH126" s="10" t="s">
        <v>126</v>
      </c>
      <c r="AI126" s="11"/>
      <c r="AJ126" s="10" t="s">
        <v>1109</v>
      </c>
      <c r="AK126" s="10" t="s">
        <v>1045</v>
      </c>
      <c r="AL126" s="11"/>
      <c r="AM126" s="11"/>
      <c r="AN126" s="11"/>
      <c r="AO126" s="11"/>
      <c r="AP126" s="11"/>
      <c r="AQ126" s="11"/>
      <c r="AR126" s="10" t="s">
        <v>1110</v>
      </c>
      <c r="AS126" s="10" t="s">
        <v>66</v>
      </c>
      <c r="AT126" s="10" t="s">
        <v>53</v>
      </c>
    </row>
    <row r="127" spans="1:46" ht="20" customHeight="1" x14ac:dyDescent="0.15">
      <c r="A127" s="8" t="s">
        <v>1111</v>
      </c>
      <c r="B127" s="9" t="s">
        <v>1112</v>
      </c>
      <c r="C127" s="10" t="s">
        <v>1113</v>
      </c>
      <c r="D127" s="10" t="s">
        <v>1114</v>
      </c>
      <c r="E127" s="10" t="s">
        <v>51</v>
      </c>
      <c r="F127" s="10" t="s">
        <v>732</v>
      </c>
      <c r="G127" s="11"/>
      <c r="H127" s="10" t="s">
        <v>561</v>
      </c>
      <c r="I127" s="10" t="s">
        <v>53</v>
      </c>
      <c r="J127" s="10" t="s">
        <v>54</v>
      </c>
      <c r="K127" s="11"/>
      <c r="L127" s="10" t="s">
        <v>1006</v>
      </c>
      <c r="M127" s="11"/>
      <c r="N127" s="11"/>
      <c r="O127" s="11"/>
      <c r="P127" s="11"/>
      <c r="Q127" s="10" t="s">
        <v>75</v>
      </c>
      <c r="R127" s="11"/>
      <c r="S127" s="10" t="s">
        <v>734</v>
      </c>
      <c r="T127" s="10" t="s">
        <v>735</v>
      </c>
      <c r="U127" s="10" t="s">
        <v>736</v>
      </c>
      <c r="V127" s="11"/>
      <c r="W127" s="10" t="s">
        <v>737</v>
      </c>
      <c r="X127" s="10" t="s">
        <v>80</v>
      </c>
      <c r="Y127" s="10" t="s">
        <v>80</v>
      </c>
      <c r="Z127" s="10" t="s">
        <v>1115</v>
      </c>
      <c r="AA127" s="10" t="s">
        <v>1115</v>
      </c>
      <c r="AB127" s="11"/>
      <c r="AC127" s="11"/>
      <c r="AD127" s="11"/>
      <c r="AE127" s="11"/>
      <c r="AF127" s="12">
        <v>3000</v>
      </c>
      <c r="AG127" s="11"/>
      <c r="AH127" s="10" t="s">
        <v>126</v>
      </c>
      <c r="AI127" s="11"/>
      <c r="AJ127" s="10" t="s">
        <v>1109</v>
      </c>
      <c r="AK127" s="10" t="s">
        <v>1045</v>
      </c>
      <c r="AL127" s="11"/>
      <c r="AM127" s="11"/>
      <c r="AN127" s="11"/>
      <c r="AO127" s="11"/>
      <c r="AP127" s="11"/>
      <c r="AQ127" s="11"/>
      <c r="AR127" s="10" t="s">
        <v>1116</v>
      </c>
      <c r="AS127" s="10" t="s">
        <v>66</v>
      </c>
      <c r="AT127" s="10" t="s">
        <v>53</v>
      </c>
    </row>
    <row r="128" spans="1:46" ht="20" customHeight="1" x14ac:dyDescent="0.15">
      <c r="A128" s="8" t="s">
        <v>1117</v>
      </c>
      <c r="B128" s="9" t="s">
        <v>1118</v>
      </c>
      <c r="C128" s="10" t="s">
        <v>1119</v>
      </c>
      <c r="D128" s="10" t="s">
        <v>1120</v>
      </c>
      <c r="E128" s="10" t="s">
        <v>51</v>
      </c>
      <c r="F128" s="10" t="s">
        <v>732</v>
      </c>
      <c r="G128" s="11"/>
      <c r="H128" s="10" t="s">
        <v>561</v>
      </c>
      <c r="I128" s="10" t="s">
        <v>53</v>
      </c>
      <c r="J128" s="10" t="s">
        <v>54</v>
      </c>
      <c r="K128" s="11"/>
      <c r="L128" s="10" t="s">
        <v>1006</v>
      </c>
      <c r="M128" s="11"/>
      <c r="N128" s="11"/>
      <c r="O128" s="11"/>
      <c r="P128" s="11"/>
      <c r="Q128" s="10" t="s">
        <v>75</v>
      </c>
      <c r="R128" s="11"/>
      <c r="S128" s="10" t="s">
        <v>734</v>
      </c>
      <c r="T128" s="10" t="s">
        <v>735</v>
      </c>
      <c r="U128" s="10" t="s">
        <v>736</v>
      </c>
      <c r="V128" s="11"/>
      <c r="W128" s="10" t="s">
        <v>737</v>
      </c>
      <c r="X128" s="10" t="s">
        <v>80</v>
      </c>
      <c r="Y128" s="10" t="s">
        <v>80</v>
      </c>
      <c r="Z128" s="10" t="s">
        <v>1121</v>
      </c>
      <c r="AA128" s="10" t="s">
        <v>1121</v>
      </c>
      <c r="AB128" s="11"/>
      <c r="AC128" s="11"/>
      <c r="AD128" s="11"/>
      <c r="AE128" s="11"/>
      <c r="AF128" s="12">
        <v>900</v>
      </c>
      <c r="AG128" s="11"/>
      <c r="AH128" s="10" t="s">
        <v>126</v>
      </c>
      <c r="AI128" s="11"/>
      <c r="AJ128" s="10" t="s">
        <v>1122</v>
      </c>
      <c r="AK128" s="10" t="s">
        <v>1045</v>
      </c>
      <c r="AL128" s="11"/>
      <c r="AM128" s="11"/>
      <c r="AN128" s="11"/>
      <c r="AO128" s="11"/>
      <c r="AP128" s="11"/>
      <c r="AQ128" s="11"/>
      <c r="AR128" s="10" t="s">
        <v>1123</v>
      </c>
      <c r="AS128" s="10" t="s">
        <v>66</v>
      </c>
      <c r="AT128" s="10" t="s">
        <v>53</v>
      </c>
    </row>
    <row r="129" spans="1:46" ht="20" customHeight="1" x14ac:dyDescent="0.15">
      <c r="A129" s="8" t="s">
        <v>1124</v>
      </c>
      <c r="B129" s="9" t="s">
        <v>1125</v>
      </c>
      <c r="C129" s="10" t="s">
        <v>1126</v>
      </c>
      <c r="D129" s="10" t="s">
        <v>1127</v>
      </c>
      <c r="E129" s="10" t="s">
        <v>51</v>
      </c>
      <c r="F129" s="10" t="s">
        <v>732</v>
      </c>
      <c r="G129" s="11"/>
      <c r="H129" s="10" t="s">
        <v>561</v>
      </c>
      <c r="I129" s="10" t="s">
        <v>53</v>
      </c>
      <c r="J129" s="10" t="s">
        <v>54</v>
      </c>
      <c r="K129" s="11"/>
      <c r="L129" s="10" t="s">
        <v>1006</v>
      </c>
      <c r="M129" s="11"/>
      <c r="N129" s="11"/>
      <c r="O129" s="11"/>
      <c r="P129" s="11"/>
      <c r="Q129" s="10" t="s">
        <v>75</v>
      </c>
      <c r="R129" s="11"/>
      <c r="S129" s="10" t="s">
        <v>734</v>
      </c>
      <c r="T129" s="10" t="s">
        <v>735</v>
      </c>
      <c r="U129" s="10" t="s">
        <v>736</v>
      </c>
      <c r="V129" s="11"/>
      <c r="W129" s="10" t="s">
        <v>737</v>
      </c>
      <c r="X129" s="10" t="s">
        <v>80</v>
      </c>
      <c r="Y129" s="10" t="s">
        <v>80</v>
      </c>
      <c r="Z129" s="10" t="s">
        <v>1128</v>
      </c>
      <c r="AA129" s="10" t="s">
        <v>1128</v>
      </c>
      <c r="AB129" s="11"/>
      <c r="AC129" s="11"/>
      <c r="AD129" s="11"/>
      <c r="AE129" s="11"/>
      <c r="AF129" s="12">
        <v>3000</v>
      </c>
      <c r="AG129" s="11"/>
      <c r="AH129" s="11"/>
      <c r="AI129" s="11"/>
      <c r="AJ129" s="10" t="s">
        <v>1044</v>
      </c>
      <c r="AK129" s="10" t="s">
        <v>1045</v>
      </c>
      <c r="AL129" s="11"/>
      <c r="AM129" s="11"/>
      <c r="AN129" s="11"/>
      <c r="AO129" s="11"/>
      <c r="AP129" s="11"/>
      <c r="AQ129" s="11"/>
      <c r="AR129" s="10" t="s">
        <v>1129</v>
      </c>
      <c r="AS129" s="10" t="s">
        <v>66</v>
      </c>
      <c r="AT129" s="10" t="s">
        <v>53</v>
      </c>
    </row>
    <row r="130" spans="1:46" ht="20" customHeight="1" x14ac:dyDescent="0.15">
      <c r="A130" s="8" t="s">
        <v>1130</v>
      </c>
      <c r="B130" s="9" t="s">
        <v>1131</v>
      </c>
      <c r="C130" s="10" t="s">
        <v>1132</v>
      </c>
      <c r="D130" s="10" t="s">
        <v>1133</v>
      </c>
      <c r="E130" s="10" t="s">
        <v>51</v>
      </c>
      <c r="F130" s="10" t="s">
        <v>732</v>
      </c>
      <c r="G130" s="11"/>
      <c r="H130" s="10" t="s">
        <v>568</v>
      </c>
      <c r="I130" s="10" t="s">
        <v>53</v>
      </c>
      <c r="J130" s="10" t="s">
        <v>54</v>
      </c>
      <c r="K130" s="11"/>
      <c r="L130" s="10" t="s">
        <v>1006</v>
      </c>
      <c r="M130" s="11"/>
      <c r="N130" s="11"/>
      <c r="O130" s="11"/>
      <c r="P130" s="11"/>
      <c r="Q130" s="10" t="s">
        <v>75</v>
      </c>
      <c r="R130" s="11"/>
      <c r="S130" s="10" t="s">
        <v>734</v>
      </c>
      <c r="T130" s="10" t="s">
        <v>735</v>
      </c>
      <c r="U130" s="10" t="s">
        <v>736</v>
      </c>
      <c r="V130" s="11"/>
      <c r="W130" s="10" t="s">
        <v>737</v>
      </c>
      <c r="X130" s="10" t="s">
        <v>80</v>
      </c>
      <c r="Y130" s="10" t="s">
        <v>80</v>
      </c>
      <c r="Z130" s="10" t="s">
        <v>1134</v>
      </c>
      <c r="AA130" s="10" t="s">
        <v>1134</v>
      </c>
      <c r="AB130" s="11"/>
      <c r="AC130" s="11"/>
      <c r="AD130" s="11"/>
      <c r="AE130" s="11"/>
      <c r="AF130" s="12">
        <v>600</v>
      </c>
      <c r="AG130" s="11"/>
      <c r="AH130" s="11"/>
      <c r="AI130" s="11"/>
      <c r="AJ130" s="10" t="s">
        <v>1135</v>
      </c>
      <c r="AK130" s="11"/>
      <c r="AL130" s="11"/>
      <c r="AM130" s="11"/>
      <c r="AN130" s="11"/>
      <c r="AO130" s="11"/>
      <c r="AP130" s="11"/>
      <c r="AQ130" s="11"/>
      <c r="AR130" s="10" t="s">
        <v>1136</v>
      </c>
      <c r="AS130" s="10" t="s">
        <v>66</v>
      </c>
      <c r="AT130" s="10" t="s">
        <v>53</v>
      </c>
    </row>
    <row r="131" spans="1:46" ht="20" customHeight="1" x14ac:dyDescent="0.15">
      <c r="A131" s="8" t="s">
        <v>1137</v>
      </c>
      <c r="B131" s="9" t="s">
        <v>1138</v>
      </c>
      <c r="C131" s="10" t="s">
        <v>1139</v>
      </c>
      <c r="D131" s="10" t="s">
        <v>1140</v>
      </c>
      <c r="E131" s="10" t="s">
        <v>51</v>
      </c>
      <c r="F131" s="10" t="s">
        <v>732</v>
      </c>
      <c r="G131" s="11"/>
      <c r="H131" s="10" t="s">
        <v>568</v>
      </c>
      <c r="I131" s="10" t="s">
        <v>53</v>
      </c>
      <c r="J131" s="10" t="s">
        <v>54</v>
      </c>
      <c r="K131" s="11"/>
      <c r="L131" s="10" t="s">
        <v>1006</v>
      </c>
      <c r="M131" s="11"/>
      <c r="N131" s="11"/>
      <c r="O131" s="11"/>
      <c r="P131" s="11"/>
      <c r="Q131" s="10" t="s">
        <v>75</v>
      </c>
      <c r="R131" s="11"/>
      <c r="S131" s="10" t="s">
        <v>734</v>
      </c>
      <c r="T131" s="10" t="s">
        <v>735</v>
      </c>
      <c r="U131" s="10" t="s">
        <v>736</v>
      </c>
      <c r="V131" s="11"/>
      <c r="W131" s="10" t="s">
        <v>737</v>
      </c>
      <c r="X131" s="10" t="s">
        <v>80</v>
      </c>
      <c r="Y131" s="10" t="s">
        <v>80</v>
      </c>
      <c r="Z131" s="10" t="s">
        <v>1141</v>
      </c>
      <c r="AA131" s="10" t="s">
        <v>1141</v>
      </c>
      <c r="AB131" s="11"/>
      <c r="AC131" s="11"/>
      <c r="AD131" s="11"/>
      <c r="AE131" s="11"/>
      <c r="AF131" s="12">
        <v>11000</v>
      </c>
      <c r="AG131" s="11"/>
      <c r="AH131" s="11"/>
      <c r="AI131" s="11"/>
      <c r="AJ131" s="10" t="s">
        <v>1142</v>
      </c>
      <c r="AK131" s="11"/>
      <c r="AL131" s="11"/>
      <c r="AM131" s="11"/>
      <c r="AN131" s="11"/>
      <c r="AO131" s="11"/>
      <c r="AP131" s="11"/>
      <c r="AQ131" s="11"/>
      <c r="AR131" s="10" t="s">
        <v>1143</v>
      </c>
      <c r="AS131" s="10" t="s">
        <v>66</v>
      </c>
      <c r="AT131" s="10" t="s">
        <v>53</v>
      </c>
    </row>
    <row r="132" spans="1:46" ht="20" customHeight="1" x14ac:dyDescent="0.15">
      <c r="A132" s="8" t="s">
        <v>1144</v>
      </c>
      <c r="B132" s="9" t="s">
        <v>1145</v>
      </c>
      <c r="C132" s="10" t="s">
        <v>1146</v>
      </c>
      <c r="D132" s="10" t="s">
        <v>1147</v>
      </c>
      <c r="E132" s="10" t="s">
        <v>51</v>
      </c>
      <c r="F132" s="10" t="s">
        <v>732</v>
      </c>
      <c r="G132" s="11"/>
      <c r="H132" s="10" t="s">
        <v>568</v>
      </c>
      <c r="I132" s="10" t="s">
        <v>53</v>
      </c>
      <c r="J132" s="10" t="s">
        <v>54</v>
      </c>
      <c r="K132" s="11"/>
      <c r="L132" s="10" t="s">
        <v>1006</v>
      </c>
      <c r="M132" s="11"/>
      <c r="N132" s="11"/>
      <c r="O132" s="11"/>
      <c r="P132" s="11"/>
      <c r="Q132" s="10" t="s">
        <v>75</v>
      </c>
      <c r="R132" s="11"/>
      <c r="S132" s="10" t="s">
        <v>734</v>
      </c>
      <c r="T132" s="10" t="s">
        <v>735</v>
      </c>
      <c r="U132" s="10" t="s">
        <v>736</v>
      </c>
      <c r="V132" s="11"/>
      <c r="W132" s="10" t="s">
        <v>737</v>
      </c>
      <c r="X132" s="10" t="s">
        <v>80</v>
      </c>
      <c r="Y132" s="10" t="s">
        <v>80</v>
      </c>
      <c r="Z132" s="10" t="s">
        <v>1148</v>
      </c>
      <c r="AA132" s="10" t="s">
        <v>1148</v>
      </c>
      <c r="AB132" s="11"/>
      <c r="AC132" s="11"/>
      <c r="AD132" s="11"/>
      <c r="AE132" s="11"/>
      <c r="AF132" s="12">
        <v>1</v>
      </c>
      <c r="AG132" s="11"/>
      <c r="AH132" s="11"/>
      <c r="AI132" s="11"/>
      <c r="AJ132" s="10" t="s">
        <v>1149</v>
      </c>
      <c r="AK132" s="11"/>
      <c r="AL132" s="11"/>
      <c r="AM132" s="11"/>
      <c r="AN132" s="11"/>
      <c r="AO132" s="11"/>
      <c r="AP132" s="11"/>
      <c r="AQ132" s="11"/>
      <c r="AR132" s="10" t="s">
        <v>1150</v>
      </c>
      <c r="AS132" s="10" t="s">
        <v>66</v>
      </c>
      <c r="AT132" s="10" t="s">
        <v>53</v>
      </c>
    </row>
    <row r="133" spans="1:46" ht="20" hidden="1" customHeight="1" x14ac:dyDescent="0.15">
      <c r="A133" s="8" t="s">
        <v>1151</v>
      </c>
      <c r="B133" s="9" t="s">
        <v>1152</v>
      </c>
      <c r="C133" s="10" t="s">
        <v>1153</v>
      </c>
      <c r="D133" s="10" t="s">
        <v>1154</v>
      </c>
      <c r="E133" s="10" t="s">
        <v>51</v>
      </c>
      <c r="F133" s="10" t="s">
        <v>732</v>
      </c>
      <c r="G133" s="11"/>
      <c r="H133" s="10" t="s">
        <v>1155</v>
      </c>
      <c r="I133" s="10" t="s">
        <v>53</v>
      </c>
      <c r="J133" s="10" t="s">
        <v>54</v>
      </c>
      <c r="K133" s="11"/>
      <c r="L133" s="10" t="s">
        <v>888</v>
      </c>
      <c r="M133" s="11"/>
      <c r="N133" s="11"/>
      <c r="O133" s="11"/>
      <c r="P133" s="11"/>
      <c r="Q133" s="11"/>
      <c r="R133" s="11"/>
      <c r="S133" s="10" t="s">
        <v>734</v>
      </c>
      <c r="T133" s="10" t="s">
        <v>735</v>
      </c>
      <c r="U133" s="10" t="s">
        <v>736</v>
      </c>
      <c r="V133" s="11"/>
      <c r="W133" s="10" t="s">
        <v>737</v>
      </c>
      <c r="X133" s="10" t="s">
        <v>80</v>
      </c>
      <c r="Y133" s="10" t="s">
        <v>80</v>
      </c>
      <c r="Z133" s="10" t="s">
        <v>1156</v>
      </c>
      <c r="AA133" s="10" t="s">
        <v>1157</v>
      </c>
      <c r="AB133" s="11"/>
      <c r="AC133" s="11"/>
      <c r="AD133" s="11"/>
      <c r="AE133" s="11"/>
      <c r="AF133" s="12">
        <v>30</v>
      </c>
      <c r="AG133" s="11"/>
      <c r="AH133" s="10" t="s">
        <v>593</v>
      </c>
      <c r="AI133" s="11"/>
      <c r="AJ133" s="10" t="s">
        <v>1158</v>
      </c>
      <c r="AK133" s="10" t="s">
        <v>899</v>
      </c>
      <c r="AL133" s="11"/>
      <c r="AM133" s="11"/>
      <c r="AN133" s="11"/>
      <c r="AO133" s="11"/>
      <c r="AP133" s="11"/>
      <c r="AQ133" s="11"/>
      <c r="AR133" s="10" t="s">
        <v>900</v>
      </c>
      <c r="AS133" s="10" t="s">
        <v>66</v>
      </c>
      <c r="AT133" s="10" t="s">
        <v>53</v>
      </c>
    </row>
    <row r="134" spans="1:46" ht="20" hidden="1" customHeight="1" x14ac:dyDescent="0.15">
      <c r="A134" s="8" t="s">
        <v>1159</v>
      </c>
      <c r="B134" s="9" t="s">
        <v>1160</v>
      </c>
      <c r="C134" s="10" t="s">
        <v>1161</v>
      </c>
      <c r="D134" s="10" t="s">
        <v>1162</v>
      </c>
      <c r="E134" s="10" t="s">
        <v>51</v>
      </c>
      <c r="F134" s="10" t="s">
        <v>732</v>
      </c>
      <c r="G134" s="11"/>
      <c r="H134" s="10" t="s">
        <v>91</v>
      </c>
      <c r="I134" s="10" t="s">
        <v>53</v>
      </c>
      <c r="J134" s="10" t="s">
        <v>54</v>
      </c>
      <c r="K134" s="11"/>
      <c r="L134" s="10" t="s">
        <v>888</v>
      </c>
      <c r="M134" s="11"/>
      <c r="N134" s="11"/>
      <c r="O134" s="11"/>
      <c r="P134" s="11"/>
      <c r="Q134" s="10" t="s">
        <v>94</v>
      </c>
      <c r="R134" s="11"/>
      <c r="S134" s="10" t="s">
        <v>734</v>
      </c>
      <c r="T134" s="10" t="s">
        <v>735</v>
      </c>
      <c r="U134" s="10" t="s">
        <v>736</v>
      </c>
      <c r="V134" s="11"/>
      <c r="W134" s="10" t="s">
        <v>737</v>
      </c>
      <c r="X134" s="10" t="s">
        <v>80</v>
      </c>
      <c r="Y134" s="10" t="s">
        <v>80</v>
      </c>
      <c r="Z134" s="10" t="s">
        <v>1163</v>
      </c>
      <c r="AA134" s="10" t="s">
        <v>1164</v>
      </c>
      <c r="AB134" s="11"/>
      <c r="AC134" s="11"/>
      <c r="AD134" s="11"/>
      <c r="AE134" s="11"/>
      <c r="AF134" s="12">
        <v>200</v>
      </c>
      <c r="AG134" s="11"/>
      <c r="AH134" s="10" t="s">
        <v>593</v>
      </c>
      <c r="AI134" s="11"/>
      <c r="AJ134" s="10" t="s">
        <v>1165</v>
      </c>
      <c r="AK134" s="10" t="s">
        <v>1166</v>
      </c>
      <c r="AL134" s="11"/>
      <c r="AM134" s="11"/>
      <c r="AN134" s="11"/>
      <c r="AO134" s="11"/>
      <c r="AP134" s="11"/>
      <c r="AQ134" s="11"/>
      <c r="AR134" s="10" t="s">
        <v>1167</v>
      </c>
      <c r="AS134" s="10" t="s">
        <v>66</v>
      </c>
      <c r="AT134" s="10" t="s">
        <v>53</v>
      </c>
    </row>
    <row r="135" spans="1:46" ht="20" hidden="1" customHeight="1" x14ac:dyDescent="0.15">
      <c r="A135" s="8" t="s">
        <v>1168</v>
      </c>
      <c r="B135" s="9" t="s">
        <v>1169</v>
      </c>
      <c r="C135" s="10" t="s">
        <v>1170</v>
      </c>
      <c r="D135" s="10" t="s">
        <v>1171</v>
      </c>
      <c r="E135" s="10" t="s">
        <v>51</v>
      </c>
      <c r="F135" s="10" t="s">
        <v>732</v>
      </c>
      <c r="G135" s="11"/>
      <c r="H135" s="10" t="s">
        <v>1172</v>
      </c>
      <c r="I135" s="10" t="s">
        <v>53</v>
      </c>
      <c r="J135" s="10" t="s">
        <v>54</v>
      </c>
      <c r="K135" s="11"/>
      <c r="L135" s="10" t="s">
        <v>888</v>
      </c>
      <c r="M135" s="11"/>
      <c r="N135" s="11"/>
      <c r="O135" s="11"/>
      <c r="P135" s="11"/>
      <c r="Q135" s="10" t="s">
        <v>135</v>
      </c>
      <c r="R135" s="11"/>
      <c r="S135" s="10" t="s">
        <v>734</v>
      </c>
      <c r="T135" s="10" t="s">
        <v>735</v>
      </c>
      <c r="U135" s="10" t="s">
        <v>736</v>
      </c>
      <c r="V135" s="11"/>
      <c r="W135" s="10" t="s">
        <v>737</v>
      </c>
      <c r="X135" s="10" t="s">
        <v>80</v>
      </c>
      <c r="Y135" s="10" t="s">
        <v>80</v>
      </c>
      <c r="Z135" s="10" t="s">
        <v>1173</v>
      </c>
      <c r="AA135" s="10" t="s">
        <v>1174</v>
      </c>
      <c r="AB135" s="11"/>
      <c r="AC135" s="11"/>
      <c r="AD135" s="11"/>
      <c r="AE135" s="11"/>
      <c r="AF135" s="12">
        <v>50</v>
      </c>
      <c r="AG135" s="11"/>
      <c r="AH135" s="11"/>
      <c r="AI135" s="11"/>
      <c r="AJ135" s="10" t="s">
        <v>1165</v>
      </c>
      <c r="AK135" s="10" t="s">
        <v>899</v>
      </c>
      <c r="AL135" s="11"/>
      <c r="AM135" s="11"/>
      <c r="AN135" s="11"/>
      <c r="AO135" s="11"/>
      <c r="AP135" s="11"/>
      <c r="AQ135" s="11"/>
      <c r="AR135" s="10" t="s">
        <v>945</v>
      </c>
      <c r="AS135" s="10" t="s">
        <v>66</v>
      </c>
      <c r="AT135" s="10" t="s">
        <v>53</v>
      </c>
    </row>
    <row r="136" spans="1:46" ht="20" hidden="1" customHeight="1" x14ac:dyDescent="0.15">
      <c r="A136" s="8" t="s">
        <v>1175</v>
      </c>
      <c r="B136" s="9" t="s">
        <v>1176</v>
      </c>
      <c r="C136" s="10" t="s">
        <v>1177</v>
      </c>
      <c r="D136" s="10" t="s">
        <v>1178</v>
      </c>
      <c r="E136" s="10" t="s">
        <v>51</v>
      </c>
      <c r="F136" s="10" t="s">
        <v>616</v>
      </c>
      <c r="G136" s="11"/>
      <c r="H136" s="10" t="s">
        <v>91</v>
      </c>
      <c r="I136" s="10" t="s">
        <v>53</v>
      </c>
      <c r="J136" s="10" t="s">
        <v>54</v>
      </c>
      <c r="K136" s="11"/>
      <c r="L136" s="10" t="s">
        <v>1179</v>
      </c>
      <c r="M136" s="12">
        <v>41327183958</v>
      </c>
      <c r="N136" s="11"/>
      <c r="O136" s="11"/>
      <c r="P136" s="11"/>
      <c r="Q136" s="10" t="s">
        <v>1180</v>
      </c>
      <c r="R136" s="11"/>
      <c r="S136" s="10" t="s">
        <v>1181</v>
      </c>
      <c r="T136" s="10" t="s">
        <v>1182</v>
      </c>
      <c r="U136" s="10" t="s">
        <v>1183</v>
      </c>
      <c r="V136" s="11"/>
      <c r="W136" s="10" t="s">
        <v>1184</v>
      </c>
      <c r="X136" s="10" t="s">
        <v>80</v>
      </c>
      <c r="Y136" s="10" t="s">
        <v>1185</v>
      </c>
      <c r="Z136" s="10" t="s">
        <v>1186</v>
      </c>
      <c r="AA136" s="10" t="s">
        <v>1187</v>
      </c>
      <c r="AB136" s="11"/>
      <c r="AC136" s="11"/>
      <c r="AD136" s="11"/>
      <c r="AE136" s="10" t="s">
        <v>1188</v>
      </c>
      <c r="AF136" s="12">
        <v>190000</v>
      </c>
      <c r="AG136" s="11"/>
      <c r="AH136" s="10" t="s">
        <v>1189</v>
      </c>
      <c r="AI136" s="10" t="s">
        <v>1190</v>
      </c>
      <c r="AJ136" s="10" t="s">
        <v>1190</v>
      </c>
      <c r="AK136" s="11"/>
      <c r="AL136" s="11"/>
      <c r="AM136" s="11"/>
      <c r="AN136" s="11"/>
      <c r="AO136" s="11"/>
      <c r="AP136" s="11"/>
      <c r="AQ136" s="11"/>
      <c r="AR136" s="10" t="s">
        <v>611</v>
      </c>
      <c r="AS136" s="10" t="s">
        <v>66</v>
      </c>
      <c r="AT136" s="10" t="s">
        <v>53</v>
      </c>
    </row>
    <row r="137" spans="1:46" ht="20" hidden="1" customHeight="1" x14ac:dyDescent="0.15">
      <c r="A137" s="8" t="s">
        <v>1191</v>
      </c>
      <c r="B137" s="9" t="s">
        <v>1192</v>
      </c>
      <c r="C137" s="10" t="s">
        <v>1193</v>
      </c>
      <c r="D137" s="10" t="s">
        <v>1194</v>
      </c>
      <c r="E137" s="10" t="s">
        <v>51</v>
      </c>
      <c r="F137" s="10" t="s">
        <v>616</v>
      </c>
      <c r="G137" s="10" t="s">
        <v>616</v>
      </c>
      <c r="H137" s="10" t="s">
        <v>91</v>
      </c>
      <c r="I137" s="10" t="s">
        <v>53</v>
      </c>
      <c r="J137" s="10" t="s">
        <v>54</v>
      </c>
      <c r="K137" s="11"/>
      <c r="L137" s="10" t="s">
        <v>1179</v>
      </c>
      <c r="M137" s="10" t="s">
        <v>1195</v>
      </c>
      <c r="N137" s="11"/>
      <c r="O137" s="11"/>
      <c r="P137" s="11"/>
      <c r="Q137" s="10" t="s">
        <v>135</v>
      </c>
      <c r="R137" s="11"/>
      <c r="S137" s="10" t="s">
        <v>1181</v>
      </c>
      <c r="T137" s="10" t="s">
        <v>1182</v>
      </c>
      <c r="U137" s="10" t="s">
        <v>1183</v>
      </c>
      <c r="V137" s="10" t="s">
        <v>1196</v>
      </c>
      <c r="W137" s="10" t="s">
        <v>1184</v>
      </c>
      <c r="X137" s="10" t="s">
        <v>80</v>
      </c>
      <c r="Y137" s="10" t="s">
        <v>1185</v>
      </c>
      <c r="Z137" s="10" t="s">
        <v>1197</v>
      </c>
      <c r="AA137" s="10" t="s">
        <v>1198</v>
      </c>
      <c r="AB137" s="11"/>
      <c r="AC137" s="11"/>
      <c r="AD137" s="10" t="s">
        <v>1199</v>
      </c>
      <c r="AE137" s="10" t="s">
        <v>1200</v>
      </c>
      <c r="AF137" s="12">
        <v>460000</v>
      </c>
      <c r="AG137" s="11"/>
      <c r="AH137" s="10" t="s">
        <v>1201</v>
      </c>
      <c r="AI137" s="10" t="s">
        <v>1202</v>
      </c>
      <c r="AJ137" s="10" t="s">
        <v>1203</v>
      </c>
      <c r="AK137" s="10" t="s">
        <v>1204</v>
      </c>
      <c r="AL137" s="10" t="s">
        <v>1205</v>
      </c>
      <c r="AM137" s="11"/>
      <c r="AN137" s="11"/>
      <c r="AO137" s="11"/>
      <c r="AP137" s="11"/>
      <c r="AQ137" s="11"/>
      <c r="AR137" s="10" t="s">
        <v>611</v>
      </c>
      <c r="AS137" s="10" t="s">
        <v>66</v>
      </c>
      <c r="AT137" s="10" t="s">
        <v>53</v>
      </c>
    </row>
    <row r="138" spans="1:46" ht="20" hidden="1" customHeight="1" x14ac:dyDescent="0.15">
      <c r="A138" s="8" t="s">
        <v>1206</v>
      </c>
      <c r="B138" s="9" t="s">
        <v>1207</v>
      </c>
      <c r="C138" s="10" t="s">
        <v>1208</v>
      </c>
      <c r="D138" s="10" t="s">
        <v>1209</v>
      </c>
      <c r="E138" s="10" t="s">
        <v>51</v>
      </c>
      <c r="F138" s="10" t="s">
        <v>1210</v>
      </c>
      <c r="G138" s="11"/>
      <c r="H138" s="10" t="s">
        <v>1211</v>
      </c>
      <c r="I138" s="10" t="s">
        <v>53</v>
      </c>
      <c r="J138" s="10" t="s">
        <v>54</v>
      </c>
      <c r="K138" s="11"/>
      <c r="L138" s="10" t="s">
        <v>1212</v>
      </c>
      <c r="M138" s="11"/>
      <c r="N138" s="11"/>
      <c r="O138" s="11"/>
      <c r="P138" s="11"/>
      <c r="Q138" s="11"/>
      <c r="R138" s="11"/>
      <c r="S138" s="10" t="s">
        <v>1213</v>
      </c>
      <c r="T138" s="10" t="s">
        <v>1214</v>
      </c>
      <c r="U138" s="10" t="s">
        <v>1215</v>
      </c>
      <c r="V138" s="11"/>
      <c r="W138" s="10" t="s">
        <v>1216</v>
      </c>
      <c r="X138" s="10" t="s">
        <v>80</v>
      </c>
      <c r="Y138" s="10" t="s">
        <v>80</v>
      </c>
      <c r="Z138" s="10" t="s">
        <v>1217</v>
      </c>
      <c r="AA138" s="10" t="s">
        <v>1218</v>
      </c>
      <c r="AB138" s="11"/>
      <c r="AC138" s="11"/>
      <c r="AD138" s="11"/>
      <c r="AE138" s="11"/>
      <c r="AF138" s="12">
        <v>40000</v>
      </c>
      <c r="AG138" s="11"/>
      <c r="AH138" s="10" t="s">
        <v>1201</v>
      </c>
      <c r="AI138" s="10" t="s">
        <v>1219</v>
      </c>
      <c r="AJ138" s="10" t="s">
        <v>1203</v>
      </c>
      <c r="AK138" s="10" t="s">
        <v>1220</v>
      </c>
      <c r="AL138" s="11"/>
      <c r="AM138" s="11"/>
      <c r="AN138" s="11"/>
      <c r="AO138" s="11"/>
      <c r="AP138" s="11"/>
      <c r="AQ138" s="11"/>
      <c r="AR138" s="10" t="s">
        <v>1221</v>
      </c>
      <c r="AS138" s="10" t="s">
        <v>66</v>
      </c>
      <c r="AT138" s="10" t="s">
        <v>53</v>
      </c>
    </row>
    <row r="139" spans="1:46" ht="20" hidden="1" customHeight="1" x14ac:dyDescent="0.15">
      <c r="A139" s="8" t="s">
        <v>1222</v>
      </c>
      <c r="B139" s="9" t="s">
        <v>1223</v>
      </c>
      <c r="C139" s="10" t="s">
        <v>1224</v>
      </c>
      <c r="D139" s="10" t="s">
        <v>1225</v>
      </c>
      <c r="E139" s="10" t="s">
        <v>51</v>
      </c>
      <c r="F139" s="10" t="s">
        <v>385</v>
      </c>
      <c r="G139" s="11"/>
      <c r="H139" s="10" t="s">
        <v>1226</v>
      </c>
      <c r="I139" s="10" t="s">
        <v>53</v>
      </c>
      <c r="J139" s="10" t="s">
        <v>54</v>
      </c>
      <c r="K139" s="11"/>
      <c r="L139" s="10" t="s">
        <v>1227</v>
      </c>
      <c r="M139" s="11"/>
      <c r="N139" s="11"/>
      <c r="O139" s="11"/>
      <c r="P139" s="11"/>
      <c r="Q139" s="10" t="s">
        <v>75</v>
      </c>
      <c r="R139" s="11"/>
      <c r="S139" s="10" t="s">
        <v>1213</v>
      </c>
      <c r="T139" s="10" t="s">
        <v>1214</v>
      </c>
      <c r="U139" s="10" t="s">
        <v>1215</v>
      </c>
      <c r="V139" s="11"/>
      <c r="W139" s="10" t="s">
        <v>1228</v>
      </c>
      <c r="X139" s="10" t="s">
        <v>80</v>
      </c>
      <c r="Y139" s="10" t="s">
        <v>80</v>
      </c>
      <c r="Z139" s="10" t="s">
        <v>1229</v>
      </c>
      <c r="AA139" s="10" t="s">
        <v>1230</v>
      </c>
      <c r="AB139" s="11"/>
      <c r="AC139" s="11"/>
      <c r="AD139" s="11"/>
      <c r="AE139" s="11"/>
      <c r="AF139" s="11"/>
      <c r="AG139" s="11"/>
      <c r="AH139" s="10" t="s">
        <v>1201</v>
      </c>
      <c r="AI139" s="10" t="s">
        <v>1231</v>
      </c>
      <c r="AJ139" s="10" t="s">
        <v>1203</v>
      </c>
      <c r="AK139" s="10" t="s">
        <v>1220</v>
      </c>
      <c r="AL139" s="11"/>
      <c r="AM139" s="11"/>
      <c r="AN139" s="11"/>
      <c r="AO139" s="11"/>
      <c r="AP139" s="11"/>
      <c r="AQ139" s="11"/>
      <c r="AR139" s="10" t="s">
        <v>1232</v>
      </c>
      <c r="AS139" s="10" t="s">
        <v>66</v>
      </c>
      <c r="AT139" s="10" t="s">
        <v>53</v>
      </c>
    </row>
    <row r="140" spans="1:46" ht="20" hidden="1" customHeight="1" x14ac:dyDescent="0.15">
      <c r="A140" s="8" t="s">
        <v>1233</v>
      </c>
      <c r="B140" s="9" t="s">
        <v>1234</v>
      </c>
      <c r="C140" s="10" t="s">
        <v>1235</v>
      </c>
      <c r="D140" s="10" t="s">
        <v>1236</v>
      </c>
      <c r="E140" s="10" t="s">
        <v>51</v>
      </c>
      <c r="F140" s="10" t="s">
        <v>385</v>
      </c>
      <c r="G140" s="11"/>
      <c r="H140" s="10" t="s">
        <v>1237</v>
      </c>
      <c r="I140" s="10" t="s">
        <v>53</v>
      </c>
      <c r="J140" s="10" t="s">
        <v>54</v>
      </c>
      <c r="K140" s="11"/>
      <c r="L140" s="10" t="s">
        <v>1238</v>
      </c>
      <c r="M140" s="11"/>
      <c r="N140" s="11"/>
      <c r="O140" s="11"/>
      <c r="P140" s="11"/>
      <c r="Q140" s="10" t="s">
        <v>1239</v>
      </c>
      <c r="R140" s="11"/>
      <c r="S140" s="10" t="s">
        <v>1213</v>
      </c>
      <c r="T140" s="10" t="s">
        <v>1214</v>
      </c>
      <c r="U140" s="10" t="s">
        <v>1215</v>
      </c>
      <c r="V140" s="11"/>
      <c r="W140" s="10" t="s">
        <v>1228</v>
      </c>
      <c r="X140" s="10" t="s">
        <v>80</v>
      </c>
      <c r="Y140" s="10" t="s">
        <v>80</v>
      </c>
      <c r="Z140" s="10" t="s">
        <v>1240</v>
      </c>
      <c r="AA140" s="10" t="s">
        <v>1241</v>
      </c>
      <c r="AB140" s="11"/>
      <c r="AC140" s="11"/>
      <c r="AD140" s="11"/>
      <c r="AE140" s="11"/>
      <c r="AF140" s="12">
        <v>100000</v>
      </c>
      <c r="AG140" s="11"/>
      <c r="AH140" s="10" t="s">
        <v>593</v>
      </c>
      <c r="AI140" s="10" t="s">
        <v>1231</v>
      </c>
      <c r="AJ140" s="10" t="s">
        <v>1203</v>
      </c>
      <c r="AK140" s="10" t="s">
        <v>1220</v>
      </c>
      <c r="AL140" s="11"/>
      <c r="AM140" s="11"/>
      <c r="AN140" s="11"/>
      <c r="AO140" s="11"/>
      <c r="AP140" s="11"/>
      <c r="AQ140" s="11"/>
      <c r="AR140" s="10" t="s">
        <v>1242</v>
      </c>
      <c r="AS140" s="10" t="s">
        <v>66</v>
      </c>
      <c r="AT140" s="10" t="s">
        <v>53</v>
      </c>
    </row>
    <row r="141" spans="1:46" ht="20" hidden="1" customHeight="1" x14ac:dyDescent="0.15">
      <c r="A141" s="8" t="s">
        <v>1243</v>
      </c>
      <c r="B141" s="9" t="s">
        <v>1244</v>
      </c>
      <c r="C141" s="10" t="s">
        <v>1245</v>
      </c>
      <c r="D141" s="10" t="s">
        <v>1246</v>
      </c>
      <c r="E141" s="10" t="s">
        <v>51</v>
      </c>
      <c r="F141" s="10" t="s">
        <v>385</v>
      </c>
      <c r="G141" s="11"/>
      <c r="H141" s="10" t="s">
        <v>1247</v>
      </c>
      <c r="I141" s="10" t="s">
        <v>53</v>
      </c>
      <c r="J141" s="10" t="s">
        <v>54</v>
      </c>
      <c r="K141" s="11"/>
      <c r="L141" s="10" t="s">
        <v>1248</v>
      </c>
      <c r="M141" s="11"/>
      <c r="N141" s="11"/>
      <c r="O141" s="11"/>
      <c r="P141" s="11"/>
      <c r="Q141" s="10" t="s">
        <v>75</v>
      </c>
      <c r="R141" s="11"/>
      <c r="S141" s="10" t="s">
        <v>1213</v>
      </c>
      <c r="T141" s="10" t="s">
        <v>1214</v>
      </c>
      <c r="U141" s="10" t="s">
        <v>1215</v>
      </c>
      <c r="V141" s="11"/>
      <c r="W141" s="10" t="s">
        <v>1228</v>
      </c>
      <c r="X141" s="10" t="s">
        <v>80</v>
      </c>
      <c r="Y141" s="10" t="s">
        <v>80</v>
      </c>
      <c r="Z141" s="10" t="s">
        <v>1249</v>
      </c>
      <c r="AA141" s="10" t="s">
        <v>1250</v>
      </c>
      <c r="AB141" s="11"/>
      <c r="AC141" s="11"/>
      <c r="AD141" s="11"/>
      <c r="AE141" s="11"/>
      <c r="AF141" s="12">
        <v>37100</v>
      </c>
      <c r="AG141" s="11"/>
      <c r="AH141" s="10" t="s">
        <v>232</v>
      </c>
      <c r="AI141" s="10" t="s">
        <v>1231</v>
      </c>
      <c r="AJ141" s="10" t="s">
        <v>1203</v>
      </c>
      <c r="AK141" s="10" t="s">
        <v>1220</v>
      </c>
      <c r="AL141" s="11"/>
      <c r="AM141" s="11"/>
      <c r="AN141" s="11"/>
      <c r="AO141" s="11"/>
      <c r="AP141" s="11"/>
      <c r="AQ141" s="11"/>
      <c r="AR141" s="10" t="s">
        <v>1251</v>
      </c>
      <c r="AS141" s="10" t="s">
        <v>66</v>
      </c>
      <c r="AT141" s="10" t="s">
        <v>53</v>
      </c>
    </row>
    <row r="142" spans="1:46" ht="20" hidden="1" customHeight="1" x14ac:dyDescent="0.15">
      <c r="A142" s="8" t="s">
        <v>1252</v>
      </c>
      <c r="B142" s="9" t="s">
        <v>1253</v>
      </c>
      <c r="C142" s="10" t="s">
        <v>1254</v>
      </c>
      <c r="D142" s="10" t="s">
        <v>1255</v>
      </c>
      <c r="E142" s="10" t="s">
        <v>51</v>
      </c>
      <c r="F142" s="10" t="s">
        <v>385</v>
      </c>
      <c r="G142" s="11"/>
      <c r="H142" s="10" t="s">
        <v>1256</v>
      </c>
      <c r="I142" s="10" t="s">
        <v>53</v>
      </c>
      <c r="J142" s="10" t="s">
        <v>54</v>
      </c>
      <c r="K142" s="11"/>
      <c r="L142" s="10" t="s">
        <v>1257</v>
      </c>
      <c r="M142" s="11"/>
      <c r="N142" s="11"/>
      <c r="O142" s="11"/>
      <c r="P142" s="11"/>
      <c r="Q142" s="10" t="s">
        <v>1258</v>
      </c>
      <c r="R142" s="11"/>
      <c r="S142" s="10" t="s">
        <v>1213</v>
      </c>
      <c r="T142" s="10" t="s">
        <v>1214</v>
      </c>
      <c r="U142" s="10" t="s">
        <v>1215</v>
      </c>
      <c r="V142" s="11"/>
      <c r="W142" s="10" t="s">
        <v>1228</v>
      </c>
      <c r="X142" s="10" t="s">
        <v>80</v>
      </c>
      <c r="Y142" s="10" t="s">
        <v>80</v>
      </c>
      <c r="Z142" s="10" t="s">
        <v>1259</v>
      </c>
      <c r="AA142" s="10" t="s">
        <v>1260</v>
      </c>
      <c r="AB142" s="11"/>
      <c r="AC142" s="11"/>
      <c r="AD142" s="11"/>
      <c r="AE142" s="11"/>
      <c r="AF142" s="12">
        <v>8500</v>
      </c>
      <c r="AG142" s="11"/>
      <c r="AH142" s="10" t="s">
        <v>232</v>
      </c>
      <c r="AI142" s="10" t="s">
        <v>1231</v>
      </c>
      <c r="AJ142" s="10" t="s">
        <v>1203</v>
      </c>
      <c r="AK142" s="10" t="s">
        <v>1220</v>
      </c>
      <c r="AL142" s="11"/>
      <c r="AM142" s="11"/>
      <c r="AN142" s="11"/>
      <c r="AO142" s="11"/>
      <c r="AP142" s="11"/>
      <c r="AQ142" s="11"/>
      <c r="AR142" s="10" t="s">
        <v>1221</v>
      </c>
      <c r="AS142" s="10" t="s">
        <v>66</v>
      </c>
      <c r="AT142" s="10" t="s">
        <v>53</v>
      </c>
    </row>
    <row r="143" spans="1:46" ht="20" customHeight="1" x14ac:dyDescent="0.15">
      <c r="A143" s="8" t="s">
        <v>1261</v>
      </c>
      <c r="B143" s="9" t="s">
        <v>1262</v>
      </c>
      <c r="C143" s="10" t="s">
        <v>1263</v>
      </c>
      <c r="D143" s="10" t="s">
        <v>1264</v>
      </c>
      <c r="E143" s="10" t="s">
        <v>51</v>
      </c>
      <c r="F143" s="10" t="s">
        <v>1265</v>
      </c>
      <c r="G143" s="11"/>
      <c r="H143" s="10" t="s">
        <v>568</v>
      </c>
      <c r="I143" s="10" t="s">
        <v>53</v>
      </c>
      <c r="J143" s="10" t="s">
        <v>54</v>
      </c>
      <c r="K143" s="11"/>
      <c r="L143" s="10" t="s">
        <v>1266</v>
      </c>
      <c r="M143" s="11"/>
      <c r="N143" s="11"/>
      <c r="O143" s="11"/>
      <c r="P143" s="11"/>
      <c r="Q143" s="10" t="s">
        <v>75</v>
      </c>
      <c r="R143" s="11"/>
      <c r="S143" s="10" t="s">
        <v>1267</v>
      </c>
      <c r="T143" s="10" t="s">
        <v>1268</v>
      </c>
      <c r="U143" s="10" t="s">
        <v>1269</v>
      </c>
      <c r="V143" s="11"/>
      <c r="W143" s="10" t="s">
        <v>1270</v>
      </c>
      <c r="X143" s="10" t="s">
        <v>80</v>
      </c>
      <c r="Y143" s="10" t="s">
        <v>80</v>
      </c>
      <c r="Z143" s="10" t="s">
        <v>1271</v>
      </c>
      <c r="AA143" s="10" t="s">
        <v>1272</v>
      </c>
      <c r="AB143" s="11"/>
      <c r="AC143" s="11"/>
      <c r="AD143" s="11"/>
      <c r="AE143" s="11"/>
      <c r="AF143" s="12">
        <v>1000</v>
      </c>
      <c r="AG143" s="11"/>
      <c r="AH143" s="10" t="s">
        <v>1273</v>
      </c>
      <c r="AI143" s="10" t="s">
        <v>1274</v>
      </c>
      <c r="AJ143" s="10" t="s">
        <v>1203</v>
      </c>
      <c r="AK143" s="10" t="s">
        <v>1220</v>
      </c>
      <c r="AL143" s="11"/>
      <c r="AM143" s="11"/>
      <c r="AN143" s="11"/>
      <c r="AO143" s="11"/>
      <c r="AP143" s="11"/>
      <c r="AQ143" s="11"/>
      <c r="AR143" s="10" t="s">
        <v>563</v>
      </c>
      <c r="AS143" s="10" t="s">
        <v>66</v>
      </c>
      <c r="AT143" s="10" t="s">
        <v>53</v>
      </c>
    </row>
    <row r="144" spans="1:46" ht="20" hidden="1" customHeight="1" x14ac:dyDescent="0.15">
      <c r="A144" s="8" t="s">
        <v>1275</v>
      </c>
      <c r="B144" s="9" t="s">
        <v>1276</v>
      </c>
      <c r="C144" s="10" t="s">
        <v>1277</v>
      </c>
      <c r="D144" s="10" t="s">
        <v>1278</v>
      </c>
      <c r="E144" s="10" t="s">
        <v>51</v>
      </c>
      <c r="F144" s="10" t="s">
        <v>1265</v>
      </c>
      <c r="G144" s="11"/>
      <c r="H144" s="10" t="s">
        <v>91</v>
      </c>
      <c r="I144" s="10" t="s">
        <v>53</v>
      </c>
      <c r="J144" s="10" t="s">
        <v>54</v>
      </c>
      <c r="K144" s="11"/>
      <c r="L144" s="10" t="s">
        <v>1266</v>
      </c>
      <c r="M144" s="11"/>
      <c r="N144" s="11"/>
      <c r="O144" s="11"/>
      <c r="P144" s="11"/>
      <c r="Q144" s="10" t="s">
        <v>75</v>
      </c>
      <c r="R144" s="11"/>
      <c r="S144" s="10" t="s">
        <v>1267</v>
      </c>
      <c r="T144" s="10" t="s">
        <v>1268</v>
      </c>
      <c r="U144" s="10" t="s">
        <v>1269</v>
      </c>
      <c r="V144" s="11"/>
      <c r="W144" s="10" t="s">
        <v>1270</v>
      </c>
      <c r="X144" s="10" t="s">
        <v>80</v>
      </c>
      <c r="Y144" s="10" t="s">
        <v>80</v>
      </c>
      <c r="Z144" s="10" t="s">
        <v>1279</v>
      </c>
      <c r="AA144" s="10" t="s">
        <v>1280</v>
      </c>
      <c r="AB144" s="11"/>
      <c r="AC144" s="11"/>
      <c r="AD144" s="11"/>
      <c r="AE144" s="11"/>
      <c r="AF144" s="12">
        <v>2130</v>
      </c>
      <c r="AG144" s="11"/>
      <c r="AH144" s="10" t="s">
        <v>1273</v>
      </c>
      <c r="AI144" s="10" t="s">
        <v>1281</v>
      </c>
      <c r="AJ144" s="10" t="s">
        <v>1282</v>
      </c>
      <c r="AK144" s="10" t="s">
        <v>1283</v>
      </c>
      <c r="AL144" s="11"/>
      <c r="AM144" s="11"/>
      <c r="AN144" s="11"/>
      <c r="AO144" s="11"/>
      <c r="AP144" s="11"/>
      <c r="AQ144" s="11"/>
      <c r="AR144" s="10" t="s">
        <v>1284</v>
      </c>
      <c r="AS144" s="10" t="s">
        <v>66</v>
      </c>
      <c r="AT144" s="10" t="s">
        <v>53</v>
      </c>
    </row>
    <row r="145" spans="1:46" ht="20" hidden="1" customHeight="1" x14ac:dyDescent="0.15">
      <c r="A145" s="8" t="s">
        <v>1285</v>
      </c>
      <c r="B145" s="9" t="s">
        <v>1286</v>
      </c>
      <c r="C145" s="10" t="s">
        <v>1287</v>
      </c>
      <c r="D145" s="10" t="s">
        <v>1288</v>
      </c>
      <c r="E145" s="10" t="s">
        <v>51</v>
      </c>
      <c r="F145" s="10" t="s">
        <v>1265</v>
      </c>
      <c r="G145" s="11"/>
      <c r="H145" s="10" t="s">
        <v>1289</v>
      </c>
      <c r="I145" s="10" t="s">
        <v>53</v>
      </c>
      <c r="J145" s="10" t="s">
        <v>54</v>
      </c>
      <c r="K145" s="11"/>
      <c r="L145" s="10" t="s">
        <v>1266</v>
      </c>
      <c r="M145" s="11"/>
      <c r="N145" s="11"/>
      <c r="O145" s="11"/>
      <c r="P145" s="11"/>
      <c r="Q145" s="10" t="s">
        <v>75</v>
      </c>
      <c r="R145" s="11"/>
      <c r="S145" s="10" t="s">
        <v>1267</v>
      </c>
      <c r="T145" s="10" t="s">
        <v>1268</v>
      </c>
      <c r="U145" s="10" t="s">
        <v>1269</v>
      </c>
      <c r="V145" s="11"/>
      <c r="W145" s="10" t="s">
        <v>1270</v>
      </c>
      <c r="X145" s="10" t="s">
        <v>80</v>
      </c>
      <c r="Y145" s="10" t="s">
        <v>80</v>
      </c>
      <c r="Z145" s="10" t="s">
        <v>1290</v>
      </c>
      <c r="AA145" s="10" t="s">
        <v>1291</v>
      </c>
      <c r="AB145" s="11"/>
      <c r="AC145" s="11"/>
      <c r="AD145" s="11"/>
      <c r="AE145" s="11"/>
      <c r="AF145" s="12">
        <v>40</v>
      </c>
      <c r="AG145" s="11"/>
      <c r="AH145" s="10" t="s">
        <v>1273</v>
      </c>
      <c r="AI145" s="10" t="s">
        <v>1292</v>
      </c>
      <c r="AJ145" s="10" t="s">
        <v>1282</v>
      </c>
      <c r="AK145" s="10" t="s">
        <v>1293</v>
      </c>
      <c r="AL145" s="11"/>
      <c r="AM145" s="11"/>
      <c r="AN145" s="11"/>
      <c r="AO145" s="11"/>
      <c r="AP145" s="11"/>
      <c r="AQ145" s="11"/>
      <c r="AR145" s="10" t="s">
        <v>1284</v>
      </c>
      <c r="AS145" s="10" t="s">
        <v>66</v>
      </c>
      <c r="AT145" s="10" t="s">
        <v>53</v>
      </c>
    </row>
    <row r="146" spans="1:46" ht="20" hidden="1" customHeight="1" x14ac:dyDescent="0.15">
      <c r="A146" s="8" t="s">
        <v>1294</v>
      </c>
      <c r="B146" s="9" t="s">
        <v>1295</v>
      </c>
      <c r="C146" s="10" t="s">
        <v>1296</v>
      </c>
      <c r="D146" s="10" t="s">
        <v>1297</v>
      </c>
      <c r="E146" s="10" t="s">
        <v>51</v>
      </c>
      <c r="F146" s="10" t="s">
        <v>1298</v>
      </c>
      <c r="G146" s="11"/>
      <c r="H146" s="10" t="s">
        <v>91</v>
      </c>
      <c r="I146" s="10" t="s">
        <v>53</v>
      </c>
      <c r="J146" s="10" t="s">
        <v>54</v>
      </c>
      <c r="K146" s="11"/>
      <c r="L146" s="10" t="s">
        <v>1299</v>
      </c>
      <c r="M146" s="11"/>
      <c r="N146" s="11"/>
      <c r="O146" s="11"/>
      <c r="P146" s="11"/>
      <c r="Q146" s="10" t="s">
        <v>1300</v>
      </c>
      <c r="R146" s="11"/>
      <c r="S146" s="10" t="s">
        <v>1301</v>
      </c>
      <c r="T146" s="10" t="s">
        <v>1302</v>
      </c>
      <c r="U146" s="10" t="s">
        <v>1303</v>
      </c>
      <c r="V146" s="11"/>
      <c r="W146" s="10" t="s">
        <v>1304</v>
      </c>
      <c r="X146" s="10" t="s">
        <v>80</v>
      </c>
      <c r="Y146" s="10" t="s">
        <v>80</v>
      </c>
      <c r="Z146" s="10" t="s">
        <v>1305</v>
      </c>
      <c r="AA146" s="10" t="s">
        <v>1306</v>
      </c>
      <c r="AB146" s="11"/>
      <c r="AC146" s="11"/>
      <c r="AD146" s="11"/>
      <c r="AE146" s="11"/>
      <c r="AF146" s="12">
        <v>53200</v>
      </c>
      <c r="AG146" s="11"/>
      <c r="AH146" s="10" t="s">
        <v>1273</v>
      </c>
      <c r="AI146" s="10" t="s">
        <v>1307</v>
      </c>
      <c r="AJ146" s="10" t="s">
        <v>1308</v>
      </c>
      <c r="AK146" s="10" t="s">
        <v>1309</v>
      </c>
      <c r="AL146" s="11"/>
      <c r="AM146" s="11"/>
      <c r="AN146" s="11"/>
      <c r="AO146" s="11"/>
      <c r="AP146" s="11"/>
      <c r="AQ146" s="11"/>
      <c r="AR146" s="10" t="s">
        <v>1310</v>
      </c>
      <c r="AS146" s="10" t="s">
        <v>66</v>
      </c>
      <c r="AT146" s="10" t="s">
        <v>53</v>
      </c>
    </row>
    <row r="147" spans="1:46" ht="20" hidden="1" customHeight="1" x14ac:dyDescent="0.15">
      <c r="A147" s="8" t="s">
        <v>1311</v>
      </c>
      <c r="B147" s="9" t="s">
        <v>1312</v>
      </c>
      <c r="C147" s="10" t="s">
        <v>1313</v>
      </c>
      <c r="D147" s="10" t="s">
        <v>1314</v>
      </c>
      <c r="E147" s="10" t="s">
        <v>51</v>
      </c>
      <c r="F147" s="10" t="s">
        <v>732</v>
      </c>
      <c r="G147" s="11"/>
      <c r="H147" s="10" t="s">
        <v>91</v>
      </c>
      <c r="I147" s="10" t="s">
        <v>53</v>
      </c>
      <c r="J147" s="10" t="s">
        <v>54</v>
      </c>
      <c r="K147" s="11"/>
      <c r="L147" s="10" t="s">
        <v>866</v>
      </c>
      <c r="M147" s="11"/>
      <c r="N147" s="11"/>
      <c r="O147" s="11"/>
      <c r="P147" s="11"/>
      <c r="Q147" s="10" t="s">
        <v>1315</v>
      </c>
      <c r="R147" s="11"/>
      <c r="S147" s="10" t="s">
        <v>734</v>
      </c>
      <c r="T147" s="10" t="s">
        <v>735</v>
      </c>
      <c r="U147" s="10" t="s">
        <v>736</v>
      </c>
      <c r="V147" s="11"/>
      <c r="W147" s="10" t="s">
        <v>737</v>
      </c>
      <c r="X147" s="10" t="s">
        <v>80</v>
      </c>
      <c r="Y147" s="10" t="s">
        <v>80</v>
      </c>
      <c r="Z147" s="10" t="s">
        <v>1316</v>
      </c>
      <c r="AA147" s="10" t="s">
        <v>1317</v>
      </c>
      <c r="AB147" s="11"/>
      <c r="AC147" s="11"/>
      <c r="AD147" s="11"/>
      <c r="AE147" s="11"/>
      <c r="AF147" s="12">
        <v>57000</v>
      </c>
      <c r="AG147" s="11"/>
      <c r="AH147" s="10" t="s">
        <v>1318</v>
      </c>
      <c r="AI147" s="10" t="s">
        <v>1319</v>
      </c>
      <c r="AJ147" s="10" t="s">
        <v>1308</v>
      </c>
      <c r="AK147" s="10" t="s">
        <v>1320</v>
      </c>
      <c r="AL147" s="11"/>
      <c r="AM147" s="11"/>
      <c r="AN147" s="11"/>
      <c r="AO147" s="11"/>
      <c r="AP147" s="11"/>
      <c r="AQ147" s="11"/>
      <c r="AR147" s="10" t="s">
        <v>1321</v>
      </c>
      <c r="AS147" s="10" t="s">
        <v>66</v>
      </c>
      <c r="AT147" s="10" t="s">
        <v>53</v>
      </c>
    </row>
    <row r="148" spans="1:46" ht="20" hidden="1" customHeight="1" x14ac:dyDescent="0.15">
      <c r="A148" s="8" t="s">
        <v>1322</v>
      </c>
      <c r="B148" s="9" t="s">
        <v>1323</v>
      </c>
      <c r="C148" s="10" t="s">
        <v>1324</v>
      </c>
      <c r="D148" s="10" t="s">
        <v>1325</v>
      </c>
      <c r="E148" s="10" t="s">
        <v>51</v>
      </c>
      <c r="F148" s="10" t="s">
        <v>732</v>
      </c>
      <c r="G148" s="11"/>
      <c r="H148" s="10" t="s">
        <v>91</v>
      </c>
      <c r="I148" s="10" t="s">
        <v>53</v>
      </c>
      <c r="J148" s="10" t="s">
        <v>54</v>
      </c>
      <c r="K148" s="11"/>
      <c r="L148" s="10" t="s">
        <v>866</v>
      </c>
      <c r="M148" s="11"/>
      <c r="N148" s="11"/>
      <c r="O148" s="11"/>
      <c r="P148" s="11"/>
      <c r="Q148" s="10" t="s">
        <v>1315</v>
      </c>
      <c r="R148" s="11"/>
      <c r="S148" s="10" t="s">
        <v>734</v>
      </c>
      <c r="T148" s="10" t="s">
        <v>735</v>
      </c>
      <c r="U148" s="10" t="s">
        <v>736</v>
      </c>
      <c r="V148" s="11"/>
      <c r="W148" s="10" t="s">
        <v>737</v>
      </c>
      <c r="X148" s="10" t="s">
        <v>80</v>
      </c>
      <c r="Y148" s="10" t="s">
        <v>80</v>
      </c>
      <c r="Z148" s="10" t="s">
        <v>1326</v>
      </c>
      <c r="AA148" s="10" t="s">
        <v>1327</v>
      </c>
      <c r="AB148" s="11"/>
      <c r="AC148" s="11"/>
      <c r="AD148" s="11"/>
      <c r="AE148" s="11"/>
      <c r="AF148" s="12">
        <v>60000</v>
      </c>
      <c r="AG148" s="11"/>
      <c r="AH148" s="10" t="s">
        <v>1318</v>
      </c>
      <c r="AI148" s="10" t="s">
        <v>1319</v>
      </c>
      <c r="AJ148" s="10" t="s">
        <v>1328</v>
      </c>
      <c r="AK148" s="10" t="s">
        <v>967</v>
      </c>
      <c r="AL148" s="11"/>
      <c r="AM148" s="11"/>
      <c r="AN148" s="11"/>
      <c r="AO148" s="11"/>
      <c r="AP148" s="11"/>
      <c r="AQ148" s="11"/>
      <c r="AR148" s="10" t="s">
        <v>968</v>
      </c>
      <c r="AS148" s="10" t="s">
        <v>66</v>
      </c>
      <c r="AT148" s="10" t="s">
        <v>53</v>
      </c>
    </row>
    <row r="149" spans="1:46" ht="20" hidden="1" customHeight="1" x14ac:dyDescent="0.15">
      <c r="A149" s="8" t="s">
        <v>1329</v>
      </c>
      <c r="B149" s="9" t="s">
        <v>1330</v>
      </c>
      <c r="C149" s="10" t="s">
        <v>1331</v>
      </c>
      <c r="D149" s="10" t="s">
        <v>1332</v>
      </c>
      <c r="E149" s="10" t="s">
        <v>51</v>
      </c>
      <c r="F149" s="10" t="s">
        <v>732</v>
      </c>
      <c r="G149" s="11"/>
      <c r="H149" s="10" t="s">
        <v>91</v>
      </c>
      <c r="I149" s="10" t="s">
        <v>53</v>
      </c>
      <c r="J149" s="10" t="s">
        <v>54</v>
      </c>
      <c r="K149" s="11"/>
      <c r="L149" s="10" t="s">
        <v>866</v>
      </c>
      <c r="M149" s="11"/>
      <c r="N149" s="11"/>
      <c r="O149" s="11"/>
      <c r="P149" s="11"/>
      <c r="Q149" s="10" t="s">
        <v>1315</v>
      </c>
      <c r="R149" s="11"/>
      <c r="S149" s="10" t="s">
        <v>734</v>
      </c>
      <c r="T149" s="10" t="s">
        <v>735</v>
      </c>
      <c r="U149" s="10" t="s">
        <v>736</v>
      </c>
      <c r="V149" s="11"/>
      <c r="W149" s="10" t="s">
        <v>737</v>
      </c>
      <c r="X149" s="10" t="s">
        <v>80</v>
      </c>
      <c r="Y149" s="10" t="s">
        <v>80</v>
      </c>
      <c r="Z149" s="10" t="s">
        <v>1333</v>
      </c>
      <c r="AA149" s="10" t="s">
        <v>1334</v>
      </c>
      <c r="AB149" s="11"/>
      <c r="AC149" s="11"/>
      <c r="AD149" s="11"/>
      <c r="AE149" s="11"/>
      <c r="AF149" s="12">
        <v>35000</v>
      </c>
      <c r="AG149" s="11"/>
      <c r="AH149" s="10" t="s">
        <v>1318</v>
      </c>
      <c r="AI149" s="10" t="s">
        <v>1335</v>
      </c>
      <c r="AJ149" s="10" t="s">
        <v>1336</v>
      </c>
      <c r="AK149" s="10" t="s">
        <v>1337</v>
      </c>
      <c r="AL149" s="11"/>
      <c r="AM149" s="11"/>
      <c r="AN149" s="11"/>
      <c r="AO149" s="11"/>
      <c r="AP149" s="11"/>
      <c r="AQ149" s="11"/>
      <c r="AR149" s="10" t="s">
        <v>1338</v>
      </c>
      <c r="AS149" s="10" t="s">
        <v>66</v>
      </c>
      <c r="AT149" s="10" t="s">
        <v>53</v>
      </c>
    </row>
    <row r="150" spans="1:46" ht="20" hidden="1" customHeight="1" x14ac:dyDescent="0.15">
      <c r="A150" s="8" t="s">
        <v>1339</v>
      </c>
      <c r="B150" s="9" t="s">
        <v>1340</v>
      </c>
      <c r="C150" s="10" t="s">
        <v>1341</v>
      </c>
      <c r="D150" s="10" t="s">
        <v>1342</v>
      </c>
      <c r="E150" s="10" t="s">
        <v>51</v>
      </c>
      <c r="F150" s="10" t="s">
        <v>732</v>
      </c>
      <c r="G150" s="11"/>
      <c r="H150" s="10" t="s">
        <v>91</v>
      </c>
      <c r="I150" s="10" t="s">
        <v>53</v>
      </c>
      <c r="J150" s="10" t="s">
        <v>54</v>
      </c>
      <c r="K150" s="11"/>
      <c r="L150" s="10" t="s">
        <v>866</v>
      </c>
      <c r="M150" s="11"/>
      <c r="N150" s="11"/>
      <c r="O150" s="11"/>
      <c r="P150" s="11"/>
      <c r="Q150" s="10" t="s">
        <v>75</v>
      </c>
      <c r="R150" s="11"/>
      <c r="S150" s="10" t="s">
        <v>734</v>
      </c>
      <c r="T150" s="10" t="s">
        <v>735</v>
      </c>
      <c r="U150" s="10" t="s">
        <v>736</v>
      </c>
      <c r="V150" s="11"/>
      <c r="W150" s="10" t="s">
        <v>737</v>
      </c>
      <c r="X150" s="10" t="s">
        <v>80</v>
      </c>
      <c r="Y150" s="10" t="s">
        <v>80</v>
      </c>
      <c r="Z150" s="10" t="s">
        <v>1343</v>
      </c>
      <c r="AA150" s="10" t="s">
        <v>1344</v>
      </c>
      <c r="AB150" s="11"/>
      <c r="AC150" s="11"/>
      <c r="AD150" s="11"/>
      <c r="AE150" s="11"/>
      <c r="AF150" s="12">
        <v>100</v>
      </c>
      <c r="AG150" s="11"/>
      <c r="AH150" s="10" t="s">
        <v>1345</v>
      </c>
      <c r="AI150" s="10" t="s">
        <v>1335</v>
      </c>
      <c r="AJ150" s="10" t="s">
        <v>1346</v>
      </c>
      <c r="AK150" s="10" t="s">
        <v>1337</v>
      </c>
      <c r="AL150" s="11"/>
      <c r="AM150" s="11"/>
      <c r="AN150" s="11"/>
      <c r="AO150" s="11"/>
      <c r="AP150" s="11"/>
      <c r="AQ150" s="11"/>
      <c r="AR150" s="10" t="s">
        <v>1347</v>
      </c>
      <c r="AS150" s="10" t="s">
        <v>66</v>
      </c>
      <c r="AT150" s="10" t="s">
        <v>53</v>
      </c>
    </row>
    <row r="151" spans="1:46" ht="20" hidden="1" customHeight="1" x14ac:dyDescent="0.15">
      <c r="A151" s="8" t="s">
        <v>1348</v>
      </c>
      <c r="B151" s="9" t="s">
        <v>1349</v>
      </c>
      <c r="C151" s="10" t="s">
        <v>1350</v>
      </c>
      <c r="D151" s="10" t="s">
        <v>1351</v>
      </c>
      <c r="E151" s="10" t="s">
        <v>51</v>
      </c>
      <c r="F151" s="10" t="s">
        <v>732</v>
      </c>
      <c r="G151" s="11"/>
      <c r="H151" s="10" t="s">
        <v>91</v>
      </c>
      <c r="I151" s="10" t="s">
        <v>53</v>
      </c>
      <c r="J151" s="10" t="s">
        <v>54</v>
      </c>
      <c r="K151" s="11"/>
      <c r="L151" s="10" t="s">
        <v>866</v>
      </c>
      <c r="M151" s="11"/>
      <c r="N151" s="11"/>
      <c r="O151" s="11"/>
      <c r="P151" s="11"/>
      <c r="Q151" s="10" t="s">
        <v>1352</v>
      </c>
      <c r="R151" s="11"/>
      <c r="S151" s="10" t="s">
        <v>734</v>
      </c>
      <c r="T151" s="10" t="s">
        <v>735</v>
      </c>
      <c r="U151" s="10" t="s">
        <v>736</v>
      </c>
      <c r="V151" s="11"/>
      <c r="W151" s="10" t="s">
        <v>737</v>
      </c>
      <c r="X151" s="10" t="s">
        <v>80</v>
      </c>
      <c r="Y151" s="10" t="s">
        <v>80</v>
      </c>
      <c r="Z151" s="10" t="s">
        <v>1353</v>
      </c>
      <c r="AA151" s="10" t="s">
        <v>1354</v>
      </c>
      <c r="AB151" s="11"/>
      <c r="AC151" s="11"/>
      <c r="AD151" s="11"/>
      <c r="AE151" s="11"/>
      <c r="AF151" s="12">
        <v>5000</v>
      </c>
      <c r="AG151" s="11"/>
      <c r="AH151" s="10" t="s">
        <v>1355</v>
      </c>
      <c r="AI151" s="10" t="s">
        <v>1335</v>
      </c>
      <c r="AJ151" s="10" t="s">
        <v>1356</v>
      </c>
      <c r="AK151" s="10" t="s">
        <v>1337</v>
      </c>
      <c r="AL151" s="11"/>
      <c r="AM151" s="11"/>
      <c r="AN151" s="11"/>
      <c r="AO151" s="11"/>
      <c r="AP151" s="11"/>
      <c r="AQ151" s="11"/>
      <c r="AR151" s="10" t="s">
        <v>1347</v>
      </c>
      <c r="AS151" s="10" t="s">
        <v>66</v>
      </c>
      <c r="AT151" s="10" t="s">
        <v>53</v>
      </c>
    </row>
    <row r="152" spans="1:46" ht="20" hidden="1" customHeight="1" x14ac:dyDescent="0.15">
      <c r="A152" s="8" t="s">
        <v>1357</v>
      </c>
      <c r="B152" s="9" t="s">
        <v>1358</v>
      </c>
      <c r="C152" s="10" t="s">
        <v>1359</v>
      </c>
      <c r="D152" s="10" t="s">
        <v>1360</v>
      </c>
      <c r="E152" s="10" t="s">
        <v>51</v>
      </c>
      <c r="F152" s="10" t="s">
        <v>732</v>
      </c>
      <c r="G152" s="11"/>
      <c r="H152" s="10" t="s">
        <v>91</v>
      </c>
      <c r="I152" s="10" t="s">
        <v>53</v>
      </c>
      <c r="J152" s="10" t="s">
        <v>54</v>
      </c>
      <c r="K152" s="11"/>
      <c r="L152" s="10" t="s">
        <v>866</v>
      </c>
      <c r="M152" s="11"/>
      <c r="N152" s="11"/>
      <c r="O152" s="11"/>
      <c r="P152" s="11"/>
      <c r="Q152" s="10" t="s">
        <v>1361</v>
      </c>
      <c r="R152" s="11"/>
      <c r="S152" s="10" t="s">
        <v>734</v>
      </c>
      <c r="T152" s="10" t="s">
        <v>735</v>
      </c>
      <c r="U152" s="10" t="s">
        <v>736</v>
      </c>
      <c r="V152" s="11"/>
      <c r="W152" s="10" t="s">
        <v>737</v>
      </c>
      <c r="X152" s="10" t="s">
        <v>80</v>
      </c>
      <c r="Y152" s="10" t="s">
        <v>80</v>
      </c>
      <c r="Z152" s="10" t="s">
        <v>1362</v>
      </c>
      <c r="AA152" s="10" t="s">
        <v>1363</v>
      </c>
      <c r="AB152" s="11"/>
      <c r="AC152" s="11"/>
      <c r="AD152" s="11"/>
      <c r="AE152" s="11"/>
      <c r="AF152" s="12">
        <v>1000</v>
      </c>
      <c r="AG152" s="11"/>
      <c r="AH152" s="10" t="s">
        <v>1364</v>
      </c>
      <c r="AI152" s="10" t="s">
        <v>1335</v>
      </c>
      <c r="AJ152" s="10" t="s">
        <v>1365</v>
      </c>
      <c r="AK152" s="10" t="s">
        <v>1337</v>
      </c>
      <c r="AL152" s="11"/>
      <c r="AM152" s="11"/>
      <c r="AN152" s="11"/>
      <c r="AO152" s="11"/>
      <c r="AP152" s="11"/>
      <c r="AQ152" s="11"/>
      <c r="AR152" s="10" t="s">
        <v>1347</v>
      </c>
      <c r="AS152" s="10" t="s">
        <v>66</v>
      </c>
      <c r="AT152" s="10" t="s">
        <v>53</v>
      </c>
    </row>
    <row r="153" spans="1:46" ht="20" hidden="1" customHeight="1" x14ac:dyDescent="0.15">
      <c r="A153" s="8" t="s">
        <v>1366</v>
      </c>
      <c r="B153" s="9" t="s">
        <v>1367</v>
      </c>
      <c r="C153" s="10" t="s">
        <v>1368</v>
      </c>
      <c r="D153" s="10" t="s">
        <v>1351</v>
      </c>
      <c r="E153" s="10" t="s">
        <v>51</v>
      </c>
      <c r="F153" s="10" t="s">
        <v>732</v>
      </c>
      <c r="G153" s="11"/>
      <c r="H153" s="10" t="s">
        <v>91</v>
      </c>
      <c r="I153" s="10" t="s">
        <v>53</v>
      </c>
      <c r="J153" s="10" t="s">
        <v>54</v>
      </c>
      <c r="K153" s="11"/>
      <c r="L153" s="10" t="s">
        <v>866</v>
      </c>
      <c r="M153" s="11"/>
      <c r="N153" s="11"/>
      <c r="O153" s="11"/>
      <c r="P153" s="11"/>
      <c r="Q153" s="10" t="s">
        <v>1352</v>
      </c>
      <c r="R153" s="11"/>
      <c r="S153" s="10" t="s">
        <v>734</v>
      </c>
      <c r="T153" s="10" t="s">
        <v>735</v>
      </c>
      <c r="U153" s="10" t="s">
        <v>736</v>
      </c>
      <c r="V153" s="11"/>
      <c r="W153" s="10" t="s">
        <v>737</v>
      </c>
      <c r="X153" s="10" t="s">
        <v>80</v>
      </c>
      <c r="Y153" s="10" t="s">
        <v>80</v>
      </c>
      <c r="Z153" s="10" t="s">
        <v>1369</v>
      </c>
      <c r="AA153" s="10" t="s">
        <v>1370</v>
      </c>
      <c r="AB153" s="11"/>
      <c r="AC153" s="11"/>
      <c r="AD153" s="11"/>
      <c r="AE153" s="11"/>
      <c r="AF153" s="12">
        <v>5000</v>
      </c>
      <c r="AG153" s="11"/>
      <c r="AH153" s="10" t="s">
        <v>1371</v>
      </c>
      <c r="AI153" s="10" t="s">
        <v>1335</v>
      </c>
      <c r="AJ153" s="10" t="s">
        <v>1372</v>
      </c>
      <c r="AK153" s="10" t="s">
        <v>1337</v>
      </c>
      <c r="AL153" s="11"/>
      <c r="AM153" s="11"/>
      <c r="AN153" s="11"/>
      <c r="AO153" s="11"/>
      <c r="AP153" s="11"/>
      <c r="AQ153" s="11"/>
      <c r="AR153" s="10" t="s">
        <v>1347</v>
      </c>
      <c r="AS153" s="10" t="s">
        <v>66</v>
      </c>
      <c r="AT153" s="10" t="s">
        <v>53</v>
      </c>
    </row>
    <row r="154" spans="1:46" ht="20" hidden="1" customHeight="1" x14ac:dyDescent="0.15">
      <c r="A154" s="8" t="s">
        <v>1373</v>
      </c>
      <c r="B154" s="9" t="s">
        <v>1374</v>
      </c>
      <c r="C154" s="10" t="s">
        <v>1375</v>
      </c>
      <c r="D154" s="10" t="s">
        <v>1376</v>
      </c>
      <c r="E154" s="10" t="s">
        <v>51</v>
      </c>
      <c r="F154" s="10" t="s">
        <v>732</v>
      </c>
      <c r="G154" s="11"/>
      <c r="H154" s="10" t="s">
        <v>91</v>
      </c>
      <c r="I154" s="10" t="s">
        <v>53</v>
      </c>
      <c r="J154" s="10" t="s">
        <v>54</v>
      </c>
      <c r="K154" s="11"/>
      <c r="L154" s="10" t="s">
        <v>866</v>
      </c>
      <c r="M154" s="11"/>
      <c r="N154" s="11"/>
      <c r="O154" s="11"/>
      <c r="P154" s="11"/>
      <c r="Q154" s="10" t="s">
        <v>1315</v>
      </c>
      <c r="R154" s="11"/>
      <c r="S154" s="10" t="s">
        <v>734</v>
      </c>
      <c r="T154" s="10" t="s">
        <v>735</v>
      </c>
      <c r="U154" s="10" t="s">
        <v>736</v>
      </c>
      <c r="V154" s="11"/>
      <c r="W154" s="10" t="s">
        <v>737</v>
      </c>
      <c r="X154" s="10" t="s">
        <v>80</v>
      </c>
      <c r="Y154" s="10" t="s">
        <v>80</v>
      </c>
      <c r="Z154" s="10" t="s">
        <v>1377</v>
      </c>
      <c r="AA154" s="10" t="s">
        <v>1378</v>
      </c>
      <c r="AB154" s="11"/>
      <c r="AC154" s="11"/>
      <c r="AD154" s="11"/>
      <c r="AE154" s="11"/>
      <c r="AF154" s="12">
        <v>13000</v>
      </c>
      <c r="AG154" s="11"/>
      <c r="AH154" s="10" t="s">
        <v>1371</v>
      </c>
      <c r="AI154" s="10" t="s">
        <v>1319</v>
      </c>
      <c r="AJ154" s="10" t="s">
        <v>1379</v>
      </c>
      <c r="AK154" s="10" t="s">
        <v>967</v>
      </c>
      <c r="AL154" s="11"/>
      <c r="AM154" s="11"/>
      <c r="AN154" s="11"/>
      <c r="AO154" s="11"/>
      <c r="AP154" s="11"/>
      <c r="AQ154" s="11"/>
      <c r="AR154" s="10" t="s">
        <v>968</v>
      </c>
      <c r="AS154" s="10" t="s">
        <v>66</v>
      </c>
      <c r="AT154" s="10" t="s">
        <v>53</v>
      </c>
    </row>
    <row r="155" spans="1:46" ht="20" hidden="1" customHeight="1" x14ac:dyDescent="0.15">
      <c r="A155" s="8" t="s">
        <v>1380</v>
      </c>
      <c r="B155" s="9" t="s">
        <v>1381</v>
      </c>
      <c r="C155" s="10" t="s">
        <v>1382</v>
      </c>
      <c r="D155" s="10" t="s">
        <v>1383</v>
      </c>
      <c r="E155" s="10" t="s">
        <v>51</v>
      </c>
      <c r="F155" s="10" t="s">
        <v>732</v>
      </c>
      <c r="G155" s="11"/>
      <c r="H155" s="10" t="s">
        <v>91</v>
      </c>
      <c r="I155" s="10" t="s">
        <v>53</v>
      </c>
      <c r="J155" s="10" t="s">
        <v>54</v>
      </c>
      <c r="K155" s="11"/>
      <c r="L155" s="10" t="s">
        <v>866</v>
      </c>
      <c r="M155" s="11"/>
      <c r="N155" s="11"/>
      <c r="O155" s="11"/>
      <c r="P155" s="11"/>
      <c r="Q155" s="10" t="s">
        <v>1315</v>
      </c>
      <c r="R155" s="11"/>
      <c r="S155" s="10" t="s">
        <v>734</v>
      </c>
      <c r="T155" s="10" t="s">
        <v>735</v>
      </c>
      <c r="U155" s="10" t="s">
        <v>736</v>
      </c>
      <c r="V155" s="11"/>
      <c r="W155" s="10" t="s">
        <v>737</v>
      </c>
      <c r="X155" s="10" t="s">
        <v>80</v>
      </c>
      <c r="Y155" s="10" t="s">
        <v>80</v>
      </c>
      <c r="Z155" s="10" t="s">
        <v>1384</v>
      </c>
      <c r="AA155" s="10" t="s">
        <v>1385</v>
      </c>
      <c r="AB155" s="11"/>
      <c r="AC155" s="11"/>
      <c r="AD155" s="11"/>
      <c r="AE155" s="11"/>
      <c r="AF155" s="12">
        <v>13000</v>
      </c>
      <c r="AG155" s="11"/>
      <c r="AH155" s="10" t="s">
        <v>1386</v>
      </c>
      <c r="AI155" s="10" t="s">
        <v>1387</v>
      </c>
      <c r="AJ155" s="10" t="s">
        <v>1388</v>
      </c>
      <c r="AK155" s="10" t="s">
        <v>1389</v>
      </c>
      <c r="AL155" s="11"/>
      <c r="AM155" s="11"/>
      <c r="AN155" s="11"/>
      <c r="AO155" s="11"/>
      <c r="AP155" s="11"/>
      <c r="AQ155" s="11"/>
      <c r="AR155" s="10" t="s">
        <v>1390</v>
      </c>
      <c r="AS155" s="10" t="s">
        <v>66</v>
      </c>
      <c r="AT155" s="10" t="s">
        <v>53</v>
      </c>
    </row>
    <row r="156" spans="1:46" ht="20" hidden="1" customHeight="1" x14ac:dyDescent="0.15">
      <c r="A156" s="8" t="s">
        <v>1391</v>
      </c>
      <c r="B156" s="9" t="s">
        <v>1392</v>
      </c>
      <c r="C156" s="10" t="s">
        <v>1393</v>
      </c>
      <c r="D156" s="10" t="s">
        <v>1394</v>
      </c>
      <c r="E156" s="10" t="s">
        <v>51</v>
      </c>
      <c r="F156" s="10" t="s">
        <v>732</v>
      </c>
      <c r="G156" s="11"/>
      <c r="H156" s="10" t="s">
        <v>91</v>
      </c>
      <c r="I156" s="10" t="s">
        <v>53</v>
      </c>
      <c r="J156" s="10" t="s">
        <v>54</v>
      </c>
      <c r="K156" s="11"/>
      <c r="L156" s="10" t="s">
        <v>866</v>
      </c>
      <c r="M156" s="11"/>
      <c r="N156" s="11"/>
      <c r="O156" s="11"/>
      <c r="P156" s="11"/>
      <c r="Q156" s="10" t="s">
        <v>1315</v>
      </c>
      <c r="R156" s="11"/>
      <c r="S156" s="10" t="s">
        <v>734</v>
      </c>
      <c r="T156" s="10" t="s">
        <v>735</v>
      </c>
      <c r="U156" s="10" t="s">
        <v>736</v>
      </c>
      <c r="V156" s="11"/>
      <c r="W156" s="10" t="s">
        <v>737</v>
      </c>
      <c r="X156" s="10" t="s">
        <v>80</v>
      </c>
      <c r="Y156" s="10" t="s">
        <v>80</v>
      </c>
      <c r="Z156" s="10" t="s">
        <v>1395</v>
      </c>
      <c r="AA156" s="10" t="s">
        <v>1396</v>
      </c>
      <c r="AB156" s="11"/>
      <c r="AC156" s="11"/>
      <c r="AD156" s="11"/>
      <c r="AE156" s="11"/>
      <c r="AF156" s="12">
        <v>8000</v>
      </c>
      <c r="AG156" s="11"/>
      <c r="AH156" s="10" t="s">
        <v>1386</v>
      </c>
      <c r="AI156" s="10" t="s">
        <v>1397</v>
      </c>
      <c r="AJ156" s="10" t="s">
        <v>1398</v>
      </c>
      <c r="AK156" s="10" t="s">
        <v>1399</v>
      </c>
      <c r="AL156" s="11"/>
      <c r="AM156" s="11"/>
      <c r="AN156" s="11"/>
      <c r="AO156" s="11"/>
      <c r="AP156" s="11"/>
      <c r="AQ156" s="11"/>
      <c r="AR156" s="10" t="s">
        <v>1400</v>
      </c>
      <c r="AS156" s="10" t="s">
        <v>66</v>
      </c>
      <c r="AT156" s="10" t="s">
        <v>53</v>
      </c>
    </row>
    <row r="157" spans="1:46" ht="20" hidden="1" customHeight="1" x14ac:dyDescent="0.15">
      <c r="A157" s="8" t="s">
        <v>1401</v>
      </c>
      <c r="B157" s="9" t="s">
        <v>1402</v>
      </c>
      <c r="C157" s="10" t="s">
        <v>1403</v>
      </c>
      <c r="D157" s="10" t="s">
        <v>1404</v>
      </c>
      <c r="E157" s="10" t="s">
        <v>51</v>
      </c>
      <c r="F157" s="10" t="s">
        <v>732</v>
      </c>
      <c r="G157" s="11"/>
      <c r="H157" s="10" t="s">
        <v>91</v>
      </c>
      <c r="I157" s="10" t="s">
        <v>53</v>
      </c>
      <c r="J157" s="10" t="s">
        <v>54</v>
      </c>
      <c r="K157" s="11"/>
      <c r="L157" s="10" t="s">
        <v>866</v>
      </c>
      <c r="M157" s="11"/>
      <c r="N157" s="11"/>
      <c r="O157" s="11"/>
      <c r="P157" s="11"/>
      <c r="Q157" s="10" t="s">
        <v>1315</v>
      </c>
      <c r="R157" s="11"/>
      <c r="S157" s="10" t="s">
        <v>734</v>
      </c>
      <c r="T157" s="10" t="s">
        <v>735</v>
      </c>
      <c r="U157" s="10" t="s">
        <v>736</v>
      </c>
      <c r="V157" s="11"/>
      <c r="W157" s="10" t="s">
        <v>737</v>
      </c>
      <c r="X157" s="10" t="s">
        <v>80</v>
      </c>
      <c r="Y157" s="10" t="s">
        <v>80</v>
      </c>
      <c r="Z157" s="10" t="s">
        <v>1405</v>
      </c>
      <c r="AA157" s="10" t="s">
        <v>1406</v>
      </c>
      <c r="AB157" s="11"/>
      <c r="AC157" s="11"/>
      <c r="AD157" s="11"/>
      <c r="AE157" s="11"/>
      <c r="AF157" s="12">
        <v>35000</v>
      </c>
      <c r="AG157" s="11"/>
      <c r="AH157" s="10" t="s">
        <v>1386</v>
      </c>
      <c r="AI157" s="10" t="s">
        <v>1319</v>
      </c>
      <c r="AJ157" s="10" t="s">
        <v>1407</v>
      </c>
      <c r="AK157" s="10" t="s">
        <v>1408</v>
      </c>
      <c r="AL157" s="11"/>
      <c r="AM157" s="11"/>
      <c r="AN157" s="11"/>
      <c r="AO157" s="11"/>
      <c r="AP157" s="11"/>
      <c r="AQ157" s="11"/>
      <c r="AR157" s="10" t="s">
        <v>1409</v>
      </c>
      <c r="AS157" s="10" t="s">
        <v>66</v>
      </c>
      <c r="AT157" s="10" t="s">
        <v>53</v>
      </c>
    </row>
    <row r="158" spans="1:46" ht="20" hidden="1" customHeight="1" x14ac:dyDescent="0.15">
      <c r="A158" s="8" t="s">
        <v>1410</v>
      </c>
      <c r="B158" s="9" t="s">
        <v>1411</v>
      </c>
      <c r="C158" s="10" t="s">
        <v>1412</v>
      </c>
      <c r="D158" s="10" t="s">
        <v>1413</v>
      </c>
      <c r="E158" s="10" t="s">
        <v>51</v>
      </c>
      <c r="F158" s="10" t="s">
        <v>732</v>
      </c>
      <c r="G158" s="11"/>
      <c r="H158" s="10" t="s">
        <v>91</v>
      </c>
      <c r="I158" s="10" t="s">
        <v>53</v>
      </c>
      <c r="J158" s="10" t="s">
        <v>54</v>
      </c>
      <c r="K158" s="11"/>
      <c r="L158" s="10" t="s">
        <v>866</v>
      </c>
      <c r="M158" s="11"/>
      <c r="N158" s="11"/>
      <c r="O158" s="11"/>
      <c r="P158" s="11"/>
      <c r="Q158" s="10" t="s">
        <v>1315</v>
      </c>
      <c r="R158" s="11"/>
      <c r="S158" s="10" t="s">
        <v>734</v>
      </c>
      <c r="T158" s="10" t="s">
        <v>735</v>
      </c>
      <c r="U158" s="10" t="s">
        <v>736</v>
      </c>
      <c r="V158" s="11"/>
      <c r="W158" s="10" t="s">
        <v>737</v>
      </c>
      <c r="X158" s="10" t="s">
        <v>80</v>
      </c>
      <c r="Y158" s="10" t="s">
        <v>80</v>
      </c>
      <c r="Z158" s="10" t="s">
        <v>1414</v>
      </c>
      <c r="AA158" s="10" t="s">
        <v>1415</v>
      </c>
      <c r="AB158" s="11"/>
      <c r="AC158" s="11"/>
      <c r="AD158" s="11"/>
      <c r="AE158" s="11"/>
      <c r="AF158" s="12">
        <v>8000</v>
      </c>
      <c r="AG158" s="11"/>
      <c r="AH158" s="10" t="s">
        <v>1386</v>
      </c>
      <c r="AI158" s="10" t="s">
        <v>1319</v>
      </c>
      <c r="AJ158" s="10" t="s">
        <v>1416</v>
      </c>
      <c r="AK158" s="10" t="s">
        <v>1417</v>
      </c>
      <c r="AL158" s="11"/>
      <c r="AM158" s="11"/>
      <c r="AN158" s="11"/>
      <c r="AO158" s="11"/>
      <c r="AP158" s="11"/>
      <c r="AQ158" s="11"/>
      <c r="AR158" s="10" t="s">
        <v>1418</v>
      </c>
      <c r="AS158" s="10" t="s">
        <v>66</v>
      </c>
      <c r="AT158" s="10" t="s">
        <v>53</v>
      </c>
    </row>
    <row r="159" spans="1:46" ht="20" hidden="1" customHeight="1" x14ac:dyDescent="0.15">
      <c r="A159" s="8" t="s">
        <v>1419</v>
      </c>
      <c r="B159" s="9" t="s">
        <v>1420</v>
      </c>
      <c r="C159" s="10" t="s">
        <v>1421</v>
      </c>
      <c r="D159" s="10" t="s">
        <v>1422</v>
      </c>
      <c r="E159" s="10" t="s">
        <v>51</v>
      </c>
      <c r="F159" s="10" t="s">
        <v>732</v>
      </c>
      <c r="G159" s="11"/>
      <c r="H159" s="10" t="s">
        <v>91</v>
      </c>
      <c r="I159" s="10" t="s">
        <v>53</v>
      </c>
      <c r="J159" s="10" t="s">
        <v>54</v>
      </c>
      <c r="K159" s="11"/>
      <c r="L159" s="10" t="s">
        <v>866</v>
      </c>
      <c r="M159" s="11"/>
      <c r="N159" s="11"/>
      <c r="O159" s="11"/>
      <c r="P159" s="11"/>
      <c r="Q159" s="10" t="s">
        <v>1315</v>
      </c>
      <c r="R159" s="11"/>
      <c r="S159" s="10" t="s">
        <v>734</v>
      </c>
      <c r="T159" s="10" t="s">
        <v>735</v>
      </c>
      <c r="U159" s="10" t="s">
        <v>736</v>
      </c>
      <c r="V159" s="11"/>
      <c r="W159" s="10" t="s">
        <v>737</v>
      </c>
      <c r="X159" s="10" t="s">
        <v>80</v>
      </c>
      <c r="Y159" s="10" t="s">
        <v>80</v>
      </c>
      <c r="Z159" s="10" t="s">
        <v>1423</v>
      </c>
      <c r="AA159" s="10" t="s">
        <v>1424</v>
      </c>
      <c r="AB159" s="11"/>
      <c r="AC159" s="11"/>
      <c r="AD159" s="11"/>
      <c r="AE159" s="11"/>
      <c r="AF159" s="12">
        <v>615</v>
      </c>
      <c r="AG159" s="11"/>
      <c r="AH159" s="10" t="s">
        <v>1386</v>
      </c>
      <c r="AI159" s="10" t="s">
        <v>1335</v>
      </c>
      <c r="AJ159" s="10" t="s">
        <v>1425</v>
      </c>
      <c r="AK159" s="10" t="s">
        <v>1426</v>
      </c>
      <c r="AL159" s="11"/>
      <c r="AM159" s="11"/>
      <c r="AN159" s="11"/>
      <c r="AO159" s="11"/>
      <c r="AP159" s="11"/>
      <c r="AQ159" s="11"/>
      <c r="AR159" s="10" t="s">
        <v>1427</v>
      </c>
      <c r="AS159" s="10" t="s">
        <v>66</v>
      </c>
      <c r="AT159" s="10" t="s">
        <v>53</v>
      </c>
    </row>
    <row r="160" spans="1:46" ht="20" hidden="1" customHeight="1" x14ac:dyDescent="0.15">
      <c r="A160" s="8" t="s">
        <v>1428</v>
      </c>
      <c r="B160" s="9" t="s">
        <v>1429</v>
      </c>
      <c r="C160" s="10" t="s">
        <v>1430</v>
      </c>
      <c r="D160" s="10" t="s">
        <v>1431</v>
      </c>
      <c r="E160" s="10" t="s">
        <v>51</v>
      </c>
      <c r="F160" s="10" t="s">
        <v>732</v>
      </c>
      <c r="G160" s="11"/>
      <c r="H160" s="10" t="s">
        <v>91</v>
      </c>
      <c r="I160" s="10" t="s">
        <v>53</v>
      </c>
      <c r="J160" s="10" t="s">
        <v>54</v>
      </c>
      <c r="K160" s="11"/>
      <c r="L160" s="10" t="s">
        <v>866</v>
      </c>
      <c r="M160" s="11"/>
      <c r="N160" s="11"/>
      <c r="O160" s="11"/>
      <c r="P160" s="11"/>
      <c r="Q160" s="10" t="s">
        <v>1315</v>
      </c>
      <c r="R160" s="11"/>
      <c r="S160" s="10" t="s">
        <v>734</v>
      </c>
      <c r="T160" s="10" t="s">
        <v>735</v>
      </c>
      <c r="U160" s="10" t="s">
        <v>736</v>
      </c>
      <c r="V160" s="11"/>
      <c r="W160" s="10" t="s">
        <v>737</v>
      </c>
      <c r="X160" s="10" t="s">
        <v>80</v>
      </c>
      <c r="Y160" s="10" t="s">
        <v>80</v>
      </c>
      <c r="Z160" s="10" t="s">
        <v>1432</v>
      </c>
      <c r="AA160" s="10" t="s">
        <v>1433</v>
      </c>
      <c r="AB160" s="11"/>
      <c r="AC160" s="11"/>
      <c r="AD160" s="11"/>
      <c r="AE160" s="11"/>
      <c r="AF160" s="12">
        <v>1000</v>
      </c>
      <c r="AG160" s="11"/>
      <c r="AH160" s="10" t="s">
        <v>1386</v>
      </c>
      <c r="AI160" s="10" t="s">
        <v>1335</v>
      </c>
      <c r="AJ160" s="10" t="s">
        <v>1434</v>
      </c>
      <c r="AK160" s="10" t="s">
        <v>1435</v>
      </c>
      <c r="AL160" s="11"/>
      <c r="AM160" s="11"/>
      <c r="AN160" s="11"/>
      <c r="AO160" s="11"/>
      <c r="AP160" s="11"/>
      <c r="AQ160" s="11"/>
      <c r="AR160" s="10" t="s">
        <v>1436</v>
      </c>
      <c r="AS160" s="10" t="s">
        <v>66</v>
      </c>
      <c r="AT160" s="10" t="s">
        <v>53</v>
      </c>
    </row>
    <row r="161" spans="1:46" ht="20" hidden="1" customHeight="1" x14ac:dyDescent="0.15">
      <c r="A161" s="8" t="s">
        <v>1437</v>
      </c>
      <c r="B161" s="9" t="s">
        <v>1438</v>
      </c>
      <c r="C161" s="10" t="s">
        <v>1439</v>
      </c>
      <c r="D161" s="10" t="s">
        <v>1440</v>
      </c>
      <c r="E161" s="10" t="s">
        <v>51</v>
      </c>
      <c r="F161" s="10" t="s">
        <v>732</v>
      </c>
      <c r="G161" s="11"/>
      <c r="H161" s="10" t="s">
        <v>91</v>
      </c>
      <c r="I161" s="10" t="s">
        <v>53</v>
      </c>
      <c r="J161" s="10" t="s">
        <v>54</v>
      </c>
      <c r="K161" s="11"/>
      <c r="L161" s="10" t="s">
        <v>866</v>
      </c>
      <c r="M161" s="11"/>
      <c r="N161" s="11"/>
      <c r="O161" s="11"/>
      <c r="P161" s="11"/>
      <c r="Q161" s="10" t="s">
        <v>1315</v>
      </c>
      <c r="R161" s="11"/>
      <c r="S161" s="10" t="s">
        <v>734</v>
      </c>
      <c r="T161" s="10" t="s">
        <v>735</v>
      </c>
      <c r="U161" s="10" t="s">
        <v>736</v>
      </c>
      <c r="V161" s="11"/>
      <c r="W161" s="10" t="s">
        <v>737</v>
      </c>
      <c r="X161" s="10" t="s">
        <v>80</v>
      </c>
      <c r="Y161" s="10" t="s">
        <v>80</v>
      </c>
      <c r="Z161" s="10" t="s">
        <v>1441</v>
      </c>
      <c r="AA161" s="10" t="s">
        <v>1442</v>
      </c>
      <c r="AB161" s="11"/>
      <c r="AC161" s="11"/>
      <c r="AD161" s="11"/>
      <c r="AE161" s="11"/>
      <c r="AF161" s="12">
        <v>1300</v>
      </c>
      <c r="AG161" s="11"/>
      <c r="AH161" s="10" t="s">
        <v>1386</v>
      </c>
      <c r="AI161" s="10" t="s">
        <v>1335</v>
      </c>
      <c r="AJ161" s="10" t="s">
        <v>1443</v>
      </c>
      <c r="AK161" s="10" t="s">
        <v>1444</v>
      </c>
      <c r="AL161" s="11"/>
      <c r="AM161" s="11"/>
      <c r="AN161" s="11"/>
      <c r="AO161" s="11"/>
      <c r="AP161" s="11"/>
      <c r="AQ161" s="11"/>
      <c r="AR161" s="10" t="s">
        <v>1445</v>
      </c>
      <c r="AS161" s="10" t="s">
        <v>66</v>
      </c>
      <c r="AT161" s="10" t="s">
        <v>53</v>
      </c>
    </row>
    <row r="162" spans="1:46" ht="20" hidden="1" customHeight="1" x14ac:dyDescent="0.15">
      <c r="A162" s="8" t="s">
        <v>1446</v>
      </c>
      <c r="B162" s="9" t="s">
        <v>1447</v>
      </c>
      <c r="C162" s="10" t="s">
        <v>1448</v>
      </c>
      <c r="D162" s="10" t="s">
        <v>1449</v>
      </c>
      <c r="E162" s="10" t="s">
        <v>51</v>
      </c>
      <c r="F162" s="10" t="s">
        <v>732</v>
      </c>
      <c r="G162" s="11"/>
      <c r="H162" s="10" t="s">
        <v>91</v>
      </c>
      <c r="I162" s="10" t="s">
        <v>53</v>
      </c>
      <c r="J162" s="10" t="s">
        <v>54</v>
      </c>
      <c r="K162" s="11"/>
      <c r="L162" s="10" t="s">
        <v>866</v>
      </c>
      <c r="M162" s="11"/>
      <c r="N162" s="11"/>
      <c r="O162" s="11"/>
      <c r="P162" s="11"/>
      <c r="Q162" s="10" t="s">
        <v>1315</v>
      </c>
      <c r="R162" s="11"/>
      <c r="S162" s="10" t="s">
        <v>734</v>
      </c>
      <c r="T162" s="10" t="s">
        <v>735</v>
      </c>
      <c r="U162" s="10" t="s">
        <v>736</v>
      </c>
      <c r="V162" s="11"/>
      <c r="W162" s="10" t="s">
        <v>737</v>
      </c>
      <c r="X162" s="10" t="s">
        <v>80</v>
      </c>
      <c r="Y162" s="10" t="s">
        <v>80</v>
      </c>
      <c r="Z162" s="10" t="s">
        <v>1450</v>
      </c>
      <c r="AA162" s="10" t="s">
        <v>1451</v>
      </c>
      <c r="AB162" s="11"/>
      <c r="AC162" s="11"/>
      <c r="AD162" s="11"/>
      <c r="AE162" s="11"/>
      <c r="AF162" s="12">
        <v>37200</v>
      </c>
      <c r="AG162" s="11"/>
      <c r="AH162" s="10" t="s">
        <v>1386</v>
      </c>
      <c r="AI162" s="10" t="s">
        <v>1319</v>
      </c>
      <c r="AJ162" s="10" t="s">
        <v>1452</v>
      </c>
      <c r="AK162" s="10" t="s">
        <v>967</v>
      </c>
      <c r="AL162" s="11"/>
      <c r="AM162" s="11"/>
      <c r="AN162" s="11"/>
      <c r="AO162" s="11"/>
      <c r="AP162" s="11"/>
      <c r="AQ162" s="11"/>
      <c r="AR162" s="10" t="s">
        <v>968</v>
      </c>
      <c r="AS162" s="10" t="s">
        <v>66</v>
      </c>
      <c r="AT162" s="10" t="s">
        <v>53</v>
      </c>
    </row>
    <row r="163" spans="1:46" ht="20" hidden="1" customHeight="1" x14ac:dyDescent="0.15">
      <c r="A163" s="8" t="s">
        <v>1453</v>
      </c>
      <c r="B163" s="9" t="s">
        <v>1454</v>
      </c>
      <c r="C163" s="10" t="s">
        <v>1455</v>
      </c>
      <c r="D163" s="10" t="s">
        <v>1456</v>
      </c>
      <c r="E163" s="10" t="s">
        <v>51</v>
      </c>
      <c r="F163" s="10" t="s">
        <v>732</v>
      </c>
      <c r="G163" s="11"/>
      <c r="H163" s="10" t="s">
        <v>91</v>
      </c>
      <c r="I163" s="10" t="s">
        <v>53</v>
      </c>
      <c r="J163" s="10" t="s">
        <v>54</v>
      </c>
      <c r="K163" s="11"/>
      <c r="L163" s="10" t="s">
        <v>866</v>
      </c>
      <c r="M163" s="11"/>
      <c r="N163" s="11"/>
      <c r="O163" s="11"/>
      <c r="P163" s="11"/>
      <c r="Q163" s="10" t="s">
        <v>1315</v>
      </c>
      <c r="R163" s="11"/>
      <c r="S163" s="10" t="s">
        <v>734</v>
      </c>
      <c r="T163" s="10" t="s">
        <v>735</v>
      </c>
      <c r="U163" s="10" t="s">
        <v>736</v>
      </c>
      <c r="V163" s="11"/>
      <c r="W163" s="10" t="s">
        <v>737</v>
      </c>
      <c r="X163" s="10" t="s">
        <v>80</v>
      </c>
      <c r="Y163" s="10" t="s">
        <v>80</v>
      </c>
      <c r="Z163" s="10" t="s">
        <v>1457</v>
      </c>
      <c r="AA163" s="10" t="s">
        <v>1458</v>
      </c>
      <c r="AB163" s="11"/>
      <c r="AC163" s="11"/>
      <c r="AD163" s="11"/>
      <c r="AE163" s="11"/>
      <c r="AF163" s="12">
        <v>10000</v>
      </c>
      <c r="AG163" s="11"/>
      <c r="AH163" s="10" t="s">
        <v>1386</v>
      </c>
      <c r="AI163" s="10" t="s">
        <v>1335</v>
      </c>
      <c r="AJ163" s="10" t="s">
        <v>1459</v>
      </c>
      <c r="AK163" s="10" t="s">
        <v>1460</v>
      </c>
      <c r="AL163" s="11"/>
      <c r="AM163" s="11"/>
      <c r="AN163" s="11"/>
      <c r="AO163" s="11"/>
      <c r="AP163" s="11"/>
      <c r="AQ163" s="11"/>
      <c r="AR163" s="10" t="s">
        <v>1461</v>
      </c>
      <c r="AS163" s="10" t="s">
        <v>66</v>
      </c>
      <c r="AT163" s="10" t="s">
        <v>53</v>
      </c>
    </row>
    <row r="164" spans="1:46" ht="20" hidden="1" customHeight="1" x14ac:dyDescent="0.15">
      <c r="A164" s="8" t="s">
        <v>1462</v>
      </c>
      <c r="B164" s="9" t="s">
        <v>1463</v>
      </c>
      <c r="C164" s="10" t="s">
        <v>1464</v>
      </c>
      <c r="D164" s="10" t="s">
        <v>1465</v>
      </c>
      <c r="E164" s="10" t="s">
        <v>51</v>
      </c>
      <c r="F164" s="10" t="s">
        <v>732</v>
      </c>
      <c r="G164" s="11"/>
      <c r="H164" s="10" t="s">
        <v>91</v>
      </c>
      <c r="I164" s="10" t="s">
        <v>53</v>
      </c>
      <c r="J164" s="10" t="s">
        <v>54</v>
      </c>
      <c r="K164" s="11"/>
      <c r="L164" s="10" t="s">
        <v>866</v>
      </c>
      <c r="M164" s="11"/>
      <c r="N164" s="11"/>
      <c r="O164" s="11"/>
      <c r="P164" s="11"/>
      <c r="Q164" s="10" t="s">
        <v>1315</v>
      </c>
      <c r="R164" s="11"/>
      <c r="S164" s="10" t="s">
        <v>734</v>
      </c>
      <c r="T164" s="10" t="s">
        <v>735</v>
      </c>
      <c r="U164" s="10" t="s">
        <v>736</v>
      </c>
      <c r="V164" s="11"/>
      <c r="W164" s="10" t="s">
        <v>737</v>
      </c>
      <c r="X164" s="10" t="s">
        <v>80</v>
      </c>
      <c r="Y164" s="10" t="s">
        <v>80</v>
      </c>
      <c r="Z164" s="10" t="s">
        <v>1466</v>
      </c>
      <c r="AA164" s="10" t="s">
        <v>1467</v>
      </c>
      <c r="AB164" s="11"/>
      <c r="AC164" s="11"/>
      <c r="AD164" s="11"/>
      <c r="AE164" s="11"/>
      <c r="AF164" s="12">
        <v>1417</v>
      </c>
      <c r="AG164" s="11"/>
      <c r="AH164" s="10" t="s">
        <v>1386</v>
      </c>
      <c r="AI164" s="10" t="s">
        <v>1335</v>
      </c>
      <c r="AJ164" s="10" t="s">
        <v>1468</v>
      </c>
      <c r="AK164" s="10" t="s">
        <v>1469</v>
      </c>
      <c r="AL164" s="11"/>
      <c r="AM164" s="11"/>
      <c r="AN164" s="11"/>
      <c r="AO164" s="11"/>
      <c r="AP164" s="11"/>
      <c r="AQ164" s="11"/>
      <c r="AR164" s="10" t="s">
        <v>1470</v>
      </c>
      <c r="AS164" s="10" t="s">
        <v>66</v>
      </c>
      <c r="AT164" s="10" t="s">
        <v>53</v>
      </c>
    </row>
    <row r="165" spans="1:46" ht="20" hidden="1" customHeight="1" x14ac:dyDescent="0.15">
      <c r="A165" s="8" t="s">
        <v>1471</v>
      </c>
      <c r="B165" s="9" t="s">
        <v>1472</v>
      </c>
      <c r="C165" s="10" t="s">
        <v>1473</v>
      </c>
      <c r="D165" s="10" t="s">
        <v>1474</v>
      </c>
      <c r="E165" s="10" t="s">
        <v>51</v>
      </c>
      <c r="F165" s="10" t="s">
        <v>732</v>
      </c>
      <c r="G165" s="11"/>
      <c r="H165" s="10" t="s">
        <v>91</v>
      </c>
      <c r="I165" s="10" t="s">
        <v>53</v>
      </c>
      <c r="J165" s="10" t="s">
        <v>54</v>
      </c>
      <c r="K165" s="11"/>
      <c r="L165" s="10" t="s">
        <v>866</v>
      </c>
      <c r="M165" s="11"/>
      <c r="N165" s="11"/>
      <c r="O165" s="11"/>
      <c r="P165" s="11"/>
      <c r="Q165" s="10" t="s">
        <v>1315</v>
      </c>
      <c r="R165" s="11"/>
      <c r="S165" s="10" t="s">
        <v>734</v>
      </c>
      <c r="T165" s="10" t="s">
        <v>735</v>
      </c>
      <c r="U165" s="10" t="s">
        <v>736</v>
      </c>
      <c r="V165" s="11"/>
      <c r="W165" s="10" t="s">
        <v>737</v>
      </c>
      <c r="X165" s="10" t="s">
        <v>80</v>
      </c>
      <c r="Y165" s="10" t="s">
        <v>80</v>
      </c>
      <c r="Z165" s="10" t="s">
        <v>1475</v>
      </c>
      <c r="AA165" s="10" t="s">
        <v>1476</v>
      </c>
      <c r="AB165" s="11"/>
      <c r="AC165" s="11"/>
      <c r="AD165" s="11"/>
      <c r="AE165" s="11"/>
      <c r="AF165" s="12">
        <v>13000</v>
      </c>
      <c r="AG165" s="11"/>
      <c r="AH165" s="10" t="s">
        <v>1386</v>
      </c>
      <c r="AI165" s="10" t="s">
        <v>1335</v>
      </c>
      <c r="AJ165" s="10" t="s">
        <v>1477</v>
      </c>
      <c r="AK165" s="10" t="s">
        <v>1478</v>
      </c>
      <c r="AL165" s="11"/>
      <c r="AM165" s="11"/>
      <c r="AN165" s="11"/>
      <c r="AO165" s="11"/>
      <c r="AP165" s="11"/>
      <c r="AQ165" s="11"/>
      <c r="AR165" s="10" t="s">
        <v>1479</v>
      </c>
      <c r="AS165" s="10" t="s">
        <v>66</v>
      </c>
      <c r="AT165" s="10" t="s">
        <v>53</v>
      </c>
    </row>
    <row r="166" spans="1:46" ht="20" hidden="1" customHeight="1" x14ac:dyDescent="0.15">
      <c r="A166" s="8" t="s">
        <v>1480</v>
      </c>
      <c r="B166" s="9" t="s">
        <v>1481</v>
      </c>
      <c r="C166" s="10" t="s">
        <v>1482</v>
      </c>
      <c r="D166" s="10" t="s">
        <v>1483</v>
      </c>
      <c r="E166" s="10" t="s">
        <v>51</v>
      </c>
      <c r="F166" s="10" t="s">
        <v>732</v>
      </c>
      <c r="G166" s="11"/>
      <c r="H166" s="10" t="s">
        <v>91</v>
      </c>
      <c r="I166" s="10" t="s">
        <v>53</v>
      </c>
      <c r="J166" s="10" t="s">
        <v>54</v>
      </c>
      <c r="K166" s="11"/>
      <c r="L166" s="10" t="s">
        <v>866</v>
      </c>
      <c r="M166" s="11"/>
      <c r="N166" s="11"/>
      <c r="O166" s="11"/>
      <c r="P166" s="11"/>
      <c r="Q166" s="10" t="s">
        <v>1315</v>
      </c>
      <c r="R166" s="11"/>
      <c r="S166" s="10" t="s">
        <v>734</v>
      </c>
      <c r="T166" s="10" t="s">
        <v>735</v>
      </c>
      <c r="U166" s="10" t="s">
        <v>736</v>
      </c>
      <c r="V166" s="11"/>
      <c r="W166" s="10" t="s">
        <v>737</v>
      </c>
      <c r="X166" s="10" t="s">
        <v>80</v>
      </c>
      <c r="Y166" s="10" t="s">
        <v>80</v>
      </c>
      <c r="Z166" s="10" t="s">
        <v>1484</v>
      </c>
      <c r="AA166" s="10" t="s">
        <v>1485</v>
      </c>
      <c r="AB166" s="11"/>
      <c r="AC166" s="11"/>
      <c r="AD166" s="11"/>
      <c r="AE166" s="11"/>
      <c r="AF166" s="12">
        <v>700000</v>
      </c>
      <c r="AG166" s="11"/>
      <c r="AH166" s="10" t="s">
        <v>1386</v>
      </c>
      <c r="AI166" s="10" t="s">
        <v>1397</v>
      </c>
      <c r="AJ166" s="10" t="s">
        <v>1486</v>
      </c>
      <c r="AK166" s="10" t="s">
        <v>1337</v>
      </c>
      <c r="AL166" s="11"/>
      <c r="AM166" s="11"/>
      <c r="AN166" s="11"/>
      <c r="AO166" s="11"/>
      <c r="AP166" s="11"/>
      <c r="AQ166" s="11"/>
      <c r="AR166" s="10" t="s">
        <v>486</v>
      </c>
      <c r="AS166" s="10" t="s">
        <v>66</v>
      </c>
      <c r="AT166" s="10" t="s">
        <v>53</v>
      </c>
    </row>
    <row r="167" spans="1:46" ht="20" hidden="1" customHeight="1" x14ac:dyDescent="0.15">
      <c r="A167" s="8" t="s">
        <v>1487</v>
      </c>
      <c r="B167" s="9" t="s">
        <v>1488</v>
      </c>
      <c r="C167" s="10" t="s">
        <v>1489</v>
      </c>
      <c r="D167" s="10" t="s">
        <v>1490</v>
      </c>
      <c r="E167" s="10" t="s">
        <v>51</v>
      </c>
      <c r="F167" s="10" t="s">
        <v>732</v>
      </c>
      <c r="G167" s="11"/>
      <c r="H167" s="10" t="s">
        <v>91</v>
      </c>
      <c r="I167" s="10" t="s">
        <v>53</v>
      </c>
      <c r="J167" s="10" t="s">
        <v>54</v>
      </c>
      <c r="K167" s="11"/>
      <c r="L167" s="10" t="s">
        <v>866</v>
      </c>
      <c r="M167" s="11"/>
      <c r="N167" s="11"/>
      <c r="O167" s="11"/>
      <c r="P167" s="11"/>
      <c r="Q167" s="10" t="s">
        <v>1315</v>
      </c>
      <c r="R167" s="11"/>
      <c r="S167" s="10" t="s">
        <v>734</v>
      </c>
      <c r="T167" s="10" t="s">
        <v>735</v>
      </c>
      <c r="U167" s="10" t="s">
        <v>736</v>
      </c>
      <c r="V167" s="11"/>
      <c r="W167" s="10" t="s">
        <v>737</v>
      </c>
      <c r="X167" s="10" t="s">
        <v>80</v>
      </c>
      <c r="Y167" s="10" t="s">
        <v>80</v>
      </c>
      <c r="Z167" s="10" t="s">
        <v>1491</v>
      </c>
      <c r="AA167" s="10" t="s">
        <v>1492</v>
      </c>
      <c r="AB167" s="11"/>
      <c r="AC167" s="11"/>
      <c r="AD167" s="11"/>
      <c r="AE167" s="11"/>
      <c r="AF167" s="12">
        <v>4011</v>
      </c>
      <c r="AG167" s="11"/>
      <c r="AH167" s="10" t="s">
        <v>1386</v>
      </c>
      <c r="AI167" s="10" t="s">
        <v>1335</v>
      </c>
      <c r="AJ167" s="10" t="s">
        <v>1493</v>
      </c>
      <c r="AK167" s="10" t="s">
        <v>1494</v>
      </c>
      <c r="AL167" s="11"/>
      <c r="AM167" s="11"/>
      <c r="AN167" s="11"/>
      <c r="AO167" s="11"/>
      <c r="AP167" s="11"/>
      <c r="AQ167" s="11"/>
      <c r="AR167" s="10" t="s">
        <v>1495</v>
      </c>
      <c r="AS167" s="10" t="s">
        <v>66</v>
      </c>
      <c r="AT167" s="10" t="s">
        <v>53</v>
      </c>
    </row>
    <row r="168" spans="1:46" ht="20" hidden="1" customHeight="1" x14ac:dyDescent="0.15">
      <c r="A168" s="8" t="s">
        <v>1496</v>
      </c>
      <c r="B168" s="9" t="s">
        <v>1497</v>
      </c>
      <c r="C168" s="10" t="s">
        <v>1498</v>
      </c>
      <c r="D168" s="10" t="s">
        <v>1499</v>
      </c>
      <c r="E168" s="10" t="s">
        <v>51</v>
      </c>
      <c r="F168" s="10" t="s">
        <v>732</v>
      </c>
      <c r="G168" s="11"/>
      <c r="H168" s="10" t="s">
        <v>91</v>
      </c>
      <c r="I168" s="10" t="s">
        <v>53</v>
      </c>
      <c r="J168" s="10" t="s">
        <v>54</v>
      </c>
      <c r="K168" s="11"/>
      <c r="L168" s="10" t="s">
        <v>866</v>
      </c>
      <c r="M168" s="11"/>
      <c r="N168" s="11"/>
      <c r="O168" s="11"/>
      <c r="P168" s="11"/>
      <c r="Q168" s="10" t="s">
        <v>1315</v>
      </c>
      <c r="R168" s="11"/>
      <c r="S168" s="10" t="s">
        <v>734</v>
      </c>
      <c r="T168" s="10" t="s">
        <v>735</v>
      </c>
      <c r="U168" s="10" t="s">
        <v>736</v>
      </c>
      <c r="V168" s="11"/>
      <c r="W168" s="10" t="s">
        <v>737</v>
      </c>
      <c r="X168" s="10" t="s">
        <v>80</v>
      </c>
      <c r="Y168" s="10" t="s">
        <v>80</v>
      </c>
      <c r="Z168" s="10" t="s">
        <v>1500</v>
      </c>
      <c r="AA168" s="10" t="s">
        <v>1501</v>
      </c>
      <c r="AB168" s="11"/>
      <c r="AC168" s="11"/>
      <c r="AD168" s="11"/>
      <c r="AE168" s="11"/>
      <c r="AF168" s="12">
        <v>2500</v>
      </c>
      <c r="AG168" s="11"/>
      <c r="AH168" s="10" t="s">
        <v>1386</v>
      </c>
      <c r="AI168" s="10" t="s">
        <v>1502</v>
      </c>
      <c r="AJ168" s="10" t="s">
        <v>1503</v>
      </c>
      <c r="AK168" s="10" t="s">
        <v>1504</v>
      </c>
      <c r="AL168" s="11"/>
      <c r="AM168" s="11"/>
      <c r="AN168" s="11"/>
      <c r="AO168" s="11"/>
      <c r="AP168" s="11"/>
      <c r="AQ168" s="11"/>
      <c r="AR168" s="10" t="s">
        <v>1505</v>
      </c>
      <c r="AS168" s="10" t="s">
        <v>66</v>
      </c>
      <c r="AT168" s="10" t="s">
        <v>53</v>
      </c>
    </row>
    <row r="169" spans="1:46" ht="20" hidden="1" customHeight="1" x14ac:dyDescent="0.15">
      <c r="A169" s="8" t="s">
        <v>1506</v>
      </c>
      <c r="B169" s="9" t="s">
        <v>1507</v>
      </c>
      <c r="C169" s="10" t="s">
        <v>1508</v>
      </c>
      <c r="D169" s="10" t="s">
        <v>1509</v>
      </c>
      <c r="E169" s="10" t="s">
        <v>51</v>
      </c>
      <c r="F169" s="10" t="s">
        <v>732</v>
      </c>
      <c r="G169" s="11"/>
      <c r="H169" s="10" t="s">
        <v>91</v>
      </c>
      <c r="I169" s="10" t="s">
        <v>53</v>
      </c>
      <c r="J169" s="10" t="s">
        <v>54</v>
      </c>
      <c r="K169" s="11"/>
      <c r="L169" s="10" t="s">
        <v>866</v>
      </c>
      <c r="M169" s="11"/>
      <c r="N169" s="11"/>
      <c r="O169" s="11"/>
      <c r="P169" s="11"/>
      <c r="Q169" s="10" t="s">
        <v>1315</v>
      </c>
      <c r="R169" s="11"/>
      <c r="S169" s="10" t="s">
        <v>734</v>
      </c>
      <c r="T169" s="10" t="s">
        <v>735</v>
      </c>
      <c r="U169" s="10" t="s">
        <v>736</v>
      </c>
      <c r="V169" s="11"/>
      <c r="W169" s="10" t="s">
        <v>737</v>
      </c>
      <c r="X169" s="10" t="s">
        <v>80</v>
      </c>
      <c r="Y169" s="10" t="s">
        <v>80</v>
      </c>
      <c r="Z169" s="10" t="s">
        <v>1510</v>
      </c>
      <c r="AA169" s="10" t="s">
        <v>1511</v>
      </c>
      <c r="AB169" s="11"/>
      <c r="AC169" s="11"/>
      <c r="AD169" s="11"/>
      <c r="AE169" s="11"/>
      <c r="AF169" s="12">
        <v>20000</v>
      </c>
      <c r="AG169" s="11"/>
      <c r="AH169" s="10" t="s">
        <v>1386</v>
      </c>
      <c r="AI169" s="10" t="s">
        <v>1387</v>
      </c>
      <c r="AJ169" s="10" t="s">
        <v>1512</v>
      </c>
      <c r="AK169" s="10" t="s">
        <v>1513</v>
      </c>
      <c r="AL169" s="11"/>
      <c r="AM169" s="11"/>
      <c r="AN169" s="11"/>
      <c r="AO169" s="11"/>
      <c r="AP169" s="11"/>
      <c r="AQ169" s="11"/>
      <c r="AR169" s="10" t="s">
        <v>1514</v>
      </c>
      <c r="AS169" s="10" t="s">
        <v>66</v>
      </c>
      <c r="AT169" s="10" t="s">
        <v>53</v>
      </c>
    </row>
    <row r="170" spans="1:46" ht="20" hidden="1" customHeight="1" x14ac:dyDescent="0.15">
      <c r="A170" s="8" t="s">
        <v>1515</v>
      </c>
      <c r="B170" s="9" t="s">
        <v>1516</v>
      </c>
      <c r="C170" s="10" t="s">
        <v>1517</v>
      </c>
      <c r="D170" s="10" t="s">
        <v>1518</v>
      </c>
      <c r="E170" s="10" t="s">
        <v>51</v>
      </c>
      <c r="F170" s="10" t="s">
        <v>732</v>
      </c>
      <c r="G170" s="11"/>
      <c r="H170" s="10" t="s">
        <v>91</v>
      </c>
      <c r="I170" s="10" t="s">
        <v>53</v>
      </c>
      <c r="J170" s="10" t="s">
        <v>54</v>
      </c>
      <c r="K170" s="11"/>
      <c r="L170" s="10" t="s">
        <v>866</v>
      </c>
      <c r="M170" s="11"/>
      <c r="N170" s="11"/>
      <c r="O170" s="11"/>
      <c r="P170" s="11"/>
      <c r="Q170" s="10" t="s">
        <v>1315</v>
      </c>
      <c r="R170" s="11"/>
      <c r="S170" s="10" t="s">
        <v>734</v>
      </c>
      <c r="T170" s="10" t="s">
        <v>735</v>
      </c>
      <c r="U170" s="10" t="s">
        <v>736</v>
      </c>
      <c r="V170" s="11"/>
      <c r="W170" s="10" t="s">
        <v>737</v>
      </c>
      <c r="X170" s="10" t="s">
        <v>80</v>
      </c>
      <c r="Y170" s="10" t="s">
        <v>80</v>
      </c>
      <c r="Z170" s="10" t="s">
        <v>1519</v>
      </c>
      <c r="AA170" s="10" t="s">
        <v>1520</v>
      </c>
      <c r="AB170" s="11"/>
      <c r="AC170" s="11"/>
      <c r="AD170" s="11"/>
      <c r="AE170" s="11"/>
      <c r="AF170" s="12">
        <v>10000</v>
      </c>
      <c r="AG170" s="11"/>
      <c r="AH170" s="10" t="s">
        <v>1386</v>
      </c>
      <c r="AI170" s="10" t="s">
        <v>1319</v>
      </c>
      <c r="AJ170" s="10" t="s">
        <v>1521</v>
      </c>
      <c r="AK170" s="10" t="s">
        <v>1522</v>
      </c>
      <c r="AL170" s="11"/>
      <c r="AM170" s="11"/>
      <c r="AN170" s="11"/>
      <c r="AO170" s="11"/>
      <c r="AP170" s="11"/>
      <c r="AQ170" s="11"/>
      <c r="AR170" s="10" t="s">
        <v>1523</v>
      </c>
      <c r="AS170" s="10" t="s">
        <v>66</v>
      </c>
      <c r="AT170" s="10" t="s">
        <v>53</v>
      </c>
    </row>
    <row r="171" spans="1:46" ht="20" hidden="1" customHeight="1" x14ac:dyDescent="0.15">
      <c r="A171" s="8" t="s">
        <v>1524</v>
      </c>
      <c r="B171" s="9" t="s">
        <v>1525</v>
      </c>
      <c r="C171" s="10" t="s">
        <v>1526</v>
      </c>
      <c r="D171" s="10" t="s">
        <v>1527</v>
      </c>
      <c r="E171" s="10" t="s">
        <v>51</v>
      </c>
      <c r="F171" s="10" t="s">
        <v>732</v>
      </c>
      <c r="G171" s="11"/>
      <c r="H171" s="10" t="s">
        <v>91</v>
      </c>
      <c r="I171" s="10" t="s">
        <v>53</v>
      </c>
      <c r="J171" s="10" t="s">
        <v>54</v>
      </c>
      <c r="K171" s="11"/>
      <c r="L171" s="10" t="s">
        <v>866</v>
      </c>
      <c r="M171" s="11"/>
      <c r="N171" s="11"/>
      <c r="O171" s="11"/>
      <c r="P171" s="11"/>
      <c r="Q171" s="10" t="s">
        <v>1361</v>
      </c>
      <c r="R171" s="11"/>
      <c r="S171" s="10" t="s">
        <v>734</v>
      </c>
      <c r="T171" s="10" t="s">
        <v>735</v>
      </c>
      <c r="U171" s="10" t="s">
        <v>736</v>
      </c>
      <c r="V171" s="11"/>
      <c r="W171" s="10" t="s">
        <v>737</v>
      </c>
      <c r="X171" s="10" t="s">
        <v>80</v>
      </c>
      <c r="Y171" s="10" t="s">
        <v>80</v>
      </c>
      <c r="Z171" s="10" t="s">
        <v>1528</v>
      </c>
      <c r="AA171" s="10" t="s">
        <v>1529</v>
      </c>
      <c r="AB171" s="11"/>
      <c r="AC171" s="11"/>
      <c r="AD171" s="11"/>
      <c r="AE171" s="11"/>
      <c r="AF171" s="12">
        <v>5000</v>
      </c>
      <c r="AG171" s="11"/>
      <c r="AH171" s="10" t="s">
        <v>1526</v>
      </c>
      <c r="AI171" s="10" t="s">
        <v>1335</v>
      </c>
      <c r="AJ171" s="10" t="s">
        <v>1530</v>
      </c>
      <c r="AK171" s="10" t="s">
        <v>1337</v>
      </c>
      <c r="AL171" s="11"/>
      <c r="AM171" s="11"/>
      <c r="AN171" s="11"/>
      <c r="AO171" s="11"/>
      <c r="AP171" s="11"/>
      <c r="AQ171" s="11"/>
      <c r="AR171" s="10" t="s">
        <v>1347</v>
      </c>
      <c r="AS171" s="10" t="s">
        <v>66</v>
      </c>
      <c r="AT171" s="10" t="s">
        <v>53</v>
      </c>
    </row>
    <row r="172" spans="1:46" ht="20" hidden="1" customHeight="1" x14ac:dyDescent="0.15">
      <c r="A172" s="8" t="s">
        <v>1531</v>
      </c>
      <c r="B172" s="9" t="s">
        <v>1532</v>
      </c>
      <c r="C172" s="10" t="s">
        <v>1533</v>
      </c>
      <c r="D172" s="10" t="s">
        <v>1534</v>
      </c>
      <c r="E172" s="10" t="s">
        <v>51</v>
      </c>
      <c r="F172" s="10" t="s">
        <v>732</v>
      </c>
      <c r="G172" s="11"/>
      <c r="H172" s="10" t="s">
        <v>91</v>
      </c>
      <c r="I172" s="10" t="s">
        <v>53</v>
      </c>
      <c r="J172" s="10" t="s">
        <v>54</v>
      </c>
      <c r="K172" s="11"/>
      <c r="L172" s="10" t="s">
        <v>866</v>
      </c>
      <c r="M172" s="11"/>
      <c r="N172" s="11"/>
      <c r="O172" s="11"/>
      <c r="P172" s="11"/>
      <c r="Q172" s="10" t="s">
        <v>1361</v>
      </c>
      <c r="R172" s="11"/>
      <c r="S172" s="10" t="s">
        <v>734</v>
      </c>
      <c r="T172" s="10" t="s">
        <v>735</v>
      </c>
      <c r="U172" s="10" t="s">
        <v>736</v>
      </c>
      <c r="V172" s="11"/>
      <c r="W172" s="10" t="s">
        <v>737</v>
      </c>
      <c r="X172" s="10" t="s">
        <v>80</v>
      </c>
      <c r="Y172" s="10" t="s">
        <v>80</v>
      </c>
      <c r="Z172" s="10" t="s">
        <v>1535</v>
      </c>
      <c r="AA172" s="10" t="s">
        <v>1536</v>
      </c>
      <c r="AB172" s="11"/>
      <c r="AC172" s="11"/>
      <c r="AD172" s="11"/>
      <c r="AE172" s="11"/>
      <c r="AF172" s="12">
        <v>200</v>
      </c>
      <c r="AG172" s="11"/>
      <c r="AH172" s="10" t="s">
        <v>1537</v>
      </c>
      <c r="AI172" s="10" t="s">
        <v>1335</v>
      </c>
      <c r="AJ172" s="10" t="s">
        <v>1538</v>
      </c>
      <c r="AK172" s="10" t="s">
        <v>1337</v>
      </c>
      <c r="AL172" s="11"/>
      <c r="AM172" s="11"/>
      <c r="AN172" s="11"/>
      <c r="AO172" s="11"/>
      <c r="AP172" s="11"/>
      <c r="AQ172" s="11"/>
      <c r="AR172" s="10" t="s">
        <v>1347</v>
      </c>
      <c r="AS172" s="10" t="s">
        <v>66</v>
      </c>
      <c r="AT172" s="10" t="s">
        <v>53</v>
      </c>
    </row>
    <row r="173" spans="1:46" ht="20" hidden="1" customHeight="1" x14ac:dyDescent="0.15">
      <c r="A173" s="8" t="s">
        <v>1539</v>
      </c>
      <c r="B173" s="9" t="s">
        <v>1540</v>
      </c>
      <c r="C173" s="10" t="s">
        <v>1541</v>
      </c>
      <c r="D173" s="10" t="s">
        <v>1542</v>
      </c>
      <c r="E173" s="10" t="s">
        <v>51</v>
      </c>
      <c r="F173" s="10" t="s">
        <v>732</v>
      </c>
      <c r="G173" s="11"/>
      <c r="H173" s="10" t="s">
        <v>91</v>
      </c>
      <c r="I173" s="10" t="s">
        <v>53</v>
      </c>
      <c r="J173" s="10" t="s">
        <v>54</v>
      </c>
      <c r="K173" s="11"/>
      <c r="L173" s="10" t="s">
        <v>866</v>
      </c>
      <c r="M173" s="11"/>
      <c r="N173" s="11"/>
      <c r="O173" s="11"/>
      <c r="P173" s="11"/>
      <c r="Q173" s="10" t="s">
        <v>1315</v>
      </c>
      <c r="R173" s="11"/>
      <c r="S173" s="10" t="s">
        <v>734</v>
      </c>
      <c r="T173" s="10" t="s">
        <v>735</v>
      </c>
      <c r="U173" s="10" t="s">
        <v>736</v>
      </c>
      <c r="V173" s="11"/>
      <c r="W173" s="10" t="s">
        <v>737</v>
      </c>
      <c r="X173" s="10" t="s">
        <v>80</v>
      </c>
      <c r="Y173" s="10" t="s">
        <v>80</v>
      </c>
      <c r="Z173" s="10" t="s">
        <v>1543</v>
      </c>
      <c r="AA173" s="10" t="s">
        <v>1544</v>
      </c>
      <c r="AB173" s="11"/>
      <c r="AC173" s="11"/>
      <c r="AD173" s="11"/>
      <c r="AE173" s="11"/>
      <c r="AF173" s="12">
        <v>20000</v>
      </c>
      <c r="AG173" s="11"/>
      <c r="AH173" s="10" t="s">
        <v>1545</v>
      </c>
      <c r="AI173" s="10" t="s">
        <v>1335</v>
      </c>
      <c r="AJ173" s="10" t="s">
        <v>1546</v>
      </c>
      <c r="AK173" s="10" t="s">
        <v>1547</v>
      </c>
      <c r="AL173" s="11"/>
      <c r="AM173" s="11"/>
      <c r="AN173" s="11"/>
      <c r="AO173" s="11"/>
      <c r="AP173" s="11"/>
      <c r="AQ173" s="11"/>
      <c r="AR173" s="10" t="s">
        <v>1347</v>
      </c>
      <c r="AS173" s="10" t="s">
        <v>66</v>
      </c>
      <c r="AT173" s="10" t="s">
        <v>53</v>
      </c>
    </row>
    <row r="174" spans="1:46" ht="20" hidden="1" customHeight="1" x14ac:dyDescent="0.15">
      <c r="A174" s="8" t="s">
        <v>1548</v>
      </c>
      <c r="B174" s="9" t="s">
        <v>1549</v>
      </c>
      <c r="C174" s="10" t="s">
        <v>1550</v>
      </c>
      <c r="D174" s="10" t="s">
        <v>1551</v>
      </c>
      <c r="E174" s="10" t="s">
        <v>51</v>
      </c>
      <c r="F174" s="10" t="s">
        <v>732</v>
      </c>
      <c r="G174" s="11"/>
      <c r="H174" s="10" t="s">
        <v>91</v>
      </c>
      <c r="I174" s="10" t="s">
        <v>53</v>
      </c>
      <c r="J174" s="10" t="s">
        <v>54</v>
      </c>
      <c r="K174" s="11"/>
      <c r="L174" s="10" t="s">
        <v>866</v>
      </c>
      <c r="M174" s="11"/>
      <c r="N174" s="11"/>
      <c r="O174" s="11"/>
      <c r="P174" s="11"/>
      <c r="Q174" s="10" t="s">
        <v>1315</v>
      </c>
      <c r="R174" s="11"/>
      <c r="S174" s="10" t="s">
        <v>734</v>
      </c>
      <c r="T174" s="10" t="s">
        <v>735</v>
      </c>
      <c r="U174" s="10" t="s">
        <v>736</v>
      </c>
      <c r="V174" s="11"/>
      <c r="W174" s="10" t="s">
        <v>737</v>
      </c>
      <c r="X174" s="10" t="s">
        <v>80</v>
      </c>
      <c r="Y174" s="10" t="s">
        <v>80</v>
      </c>
      <c r="Z174" s="10" t="s">
        <v>1552</v>
      </c>
      <c r="AA174" s="10" t="s">
        <v>1553</v>
      </c>
      <c r="AB174" s="11"/>
      <c r="AC174" s="11"/>
      <c r="AD174" s="11"/>
      <c r="AE174" s="11"/>
      <c r="AF174" s="12">
        <v>5600</v>
      </c>
      <c r="AG174" s="11"/>
      <c r="AH174" s="10" t="s">
        <v>1554</v>
      </c>
      <c r="AI174" s="10" t="s">
        <v>1319</v>
      </c>
      <c r="AJ174" s="10" t="s">
        <v>1555</v>
      </c>
      <c r="AK174" s="10" t="s">
        <v>967</v>
      </c>
      <c r="AL174" s="11"/>
      <c r="AM174" s="11"/>
      <c r="AN174" s="11"/>
      <c r="AO174" s="11"/>
      <c r="AP174" s="11"/>
      <c r="AQ174" s="11"/>
      <c r="AR174" s="10" t="s">
        <v>968</v>
      </c>
      <c r="AS174" s="10" t="s">
        <v>66</v>
      </c>
      <c r="AT174" s="10" t="s">
        <v>53</v>
      </c>
    </row>
    <row r="175" spans="1:46" ht="20" hidden="1" customHeight="1" x14ac:dyDescent="0.15">
      <c r="A175" s="8" t="s">
        <v>1556</v>
      </c>
      <c r="B175" s="9" t="s">
        <v>1557</v>
      </c>
      <c r="C175" s="10" t="s">
        <v>1558</v>
      </c>
      <c r="D175" s="10" t="s">
        <v>1559</v>
      </c>
      <c r="E175" s="10" t="s">
        <v>51</v>
      </c>
      <c r="F175" s="10" t="s">
        <v>732</v>
      </c>
      <c r="G175" s="11"/>
      <c r="H175" s="10" t="s">
        <v>91</v>
      </c>
      <c r="I175" s="10" t="s">
        <v>53</v>
      </c>
      <c r="J175" s="10" t="s">
        <v>54</v>
      </c>
      <c r="K175" s="11"/>
      <c r="L175" s="10" t="s">
        <v>866</v>
      </c>
      <c r="M175" s="11"/>
      <c r="N175" s="11"/>
      <c r="O175" s="11"/>
      <c r="P175" s="11"/>
      <c r="Q175" s="10" t="s">
        <v>1315</v>
      </c>
      <c r="R175" s="11"/>
      <c r="S175" s="10" t="s">
        <v>734</v>
      </c>
      <c r="T175" s="10" t="s">
        <v>735</v>
      </c>
      <c r="U175" s="10" t="s">
        <v>736</v>
      </c>
      <c r="V175" s="11"/>
      <c r="W175" s="10" t="s">
        <v>737</v>
      </c>
      <c r="X175" s="10" t="s">
        <v>80</v>
      </c>
      <c r="Y175" s="10" t="s">
        <v>80</v>
      </c>
      <c r="Z175" s="10" t="s">
        <v>1560</v>
      </c>
      <c r="AA175" s="10" t="s">
        <v>1561</v>
      </c>
      <c r="AB175" s="11"/>
      <c r="AC175" s="11"/>
      <c r="AD175" s="11"/>
      <c r="AE175" s="11"/>
      <c r="AF175" s="12">
        <v>4560</v>
      </c>
      <c r="AG175" s="11"/>
      <c r="AH175" s="10" t="s">
        <v>1562</v>
      </c>
      <c r="AI175" s="10" t="s">
        <v>1319</v>
      </c>
      <c r="AJ175" s="10" t="s">
        <v>1555</v>
      </c>
      <c r="AK175" s="10" t="s">
        <v>967</v>
      </c>
      <c r="AL175" s="11"/>
      <c r="AM175" s="11"/>
      <c r="AN175" s="11"/>
      <c r="AO175" s="11"/>
      <c r="AP175" s="11"/>
      <c r="AQ175" s="11"/>
      <c r="AR175" s="10" t="s">
        <v>968</v>
      </c>
      <c r="AS175" s="10" t="s">
        <v>66</v>
      </c>
      <c r="AT175" s="10" t="s">
        <v>53</v>
      </c>
    </row>
    <row r="176" spans="1:46" ht="20" hidden="1" customHeight="1" x14ac:dyDescent="0.15">
      <c r="A176" s="8" t="s">
        <v>1563</v>
      </c>
      <c r="B176" s="9" t="s">
        <v>1564</v>
      </c>
      <c r="C176" s="10" t="s">
        <v>1565</v>
      </c>
      <c r="D176" s="10" t="s">
        <v>1566</v>
      </c>
      <c r="E176" s="10" t="s">
        <v>51</v>
      </c>
      <c r="F176" s="10" t="s">
        <v>732</v>
      </c>
      <c r="G176" s="11"/>
      <c r="H176" s="10" t="s">
        <v>91</v>
      </c>
      <c r="I176" s="10" t="s">
        <v>53</v>
      </c>
      <c r="J176" s="10" t="s">
        <v>54</v>
      </c>
      <c r="K176" s="11"/>
      <c r="L176" s="10" t="s">
        <v>866</v>
      </c>
      <c r="M176" s="11"/>
      <c r="N176" s="11"/>
      <c r="O176" s="11"/>
      <c r="P176" s="11"/>
      <c r="Q176" s="10" t="s">
        <v>1315</v>
      </c>
      <c r="R176" s="11"/>
      <c r="S176" s="10" t="s">
        <v>734</v>
      </c>
      <c r="T176" s="10" t="s">
        <v>735</v>
      </c>
      <c r="U176" s="10" t="s">
        <v>736</v>
      </c>
      <c r="V176" s="11"/>
      <c r="W176" s="10" t="s">
        <v>737</v>
      </c>
      <c r="X176" s="10" t="s">
        <v>80</v>
      </c>
      <c r="Y176" s="10" t="s">
        <v>80</v>
      </c>
      <c r="Z176" s="10" t="s">
        <v>1567</v>
      </c>
      <c r="AA176" s="10" t="s">
        <v>1568</v>
      </c>
      <c r="AB176" s="11"/>
      <c r="AC176" s="11"/>
      <c r="AD176" s="11"/>
      <c r="AE176" s="11"/>
      <c r="AF176" s="12">
        <v>32000</v>
      </c>
      <c r="AG176" s="11"/>
      <c r="AH176" s="10" t="s">
        <v>1562</v>
      </c>
      <c r="AI176" s="10" t="s">
        <v>1319</v>
      </c>
      <c r="AJ176" s="10" t="s">
        <v>1569</v>
      </c>
      <c r="AK176" s="10" t="s">
        <v>1570</v>
      </c>
      <c r="AL176" s="11"/>
      <c r="AM176" s="11"/>
      <c r="AN176" s="11"/>
      <c r="AO176" s="11"/>
      <c r="AP176" s="11"/>
      <c r="AQ176" s="11"/>
      <c r="AR176" s="10" t="s">
        <v>1338</v>
      </c>
      <c r="AS176" s="10" t="s">
        <v>66</v>
      </c>
      <c r="AT176" s="10" t="s">
        <v>53</v>
      </c>
    </row>
    <row r="177" spans="1:46" ht="20" hidden="1" customHeight="1" x14ac:dyDescent="0.15">
      <c r="A177" s="8" t="s">
        <v>1571</v>
      </c>
      <c r="B177" s="9" t="s">
        <v>1572</v>
      </c>
      <c r="C177" s="10" t="s">
        <v>1573</v>
      </c>
      <c r="D177" s="10" t="s">
        <v>1574</v>
      </c>
      <c r="E177" s="10" t="s">
        <v>51</v>
      </c>
      <c r="F177" s="10" t="s">
        <v>732</v>
      </c>
      <c r="G177" s="11"/>
      <c r="H177" s="10" t="s">
        <v>91</v>
      </c>
      <c r="I177" s="10" t="s">
        <v>53</v>
      </c>
      <c r="J177" s="10" t="s">
        <v>54</v>
      </c>
      <c r="K177" s="11"/>
      <c r="L177" s="10" t="s">
        <v>866</v>
      </c>
      <c r="M177" s="11"/>
      <c r="N177" s="11"/>
      <c r="O177" s="11"/>
      <c r="P177" s="11"/>
      <c r="Q177" s="10" t="s">
        <v>1315</v>
      </c>
      <c r="R177" s="11"/>
      <c r="S177" s="10" t="s">
        <v>734</v>
      </c>
      <c r="T177" s="10" t="s">
        <v>735</v>
      </c>
      <c r="U177" s="10" t="s">
        <v>736</v>
      </c>
      <c r="V177" s="11"/>
      <c r="W177" s="10" t="s">
        <v>737</v>
      </c>
      <c r="X177" s="10" t="s">
        <v>80</v>
      </c>
      <c r="Y177" s="10" t="s">
        <v>80</v>
      </c>
      <c r="Z177" s="10" t="s">
        <v>1575</v>
      </c>
      <c r="AA177" s="10" t="s">
        <v>1576</v>
      </c>
      <c r="AB177" s="11"/>
      <c r="AC177" s="11"/>
      <c r="AD177" s="11"/>
      <c r="AE177" s="11"/>
      <c r="AF177" s="12">
        <v>3100</v>
      </c>
      <c r="AG177" s="11"/>
      <c r="AH177" s="10" t="s">
        <v>508</v>
      </c>
      <c r="AI177" s="10" t="s">
        <v>1319</v>
      </c>
      <c r="AJ177" s="10" t="s">
        <v>1577</v>
      </c>
      <c r="AK177" s="10" t="s">
        <v>967</v>
      </c>
      <c r="AL177" s="11"/>
      <c r="AM177" s="11"/>
      <c r="AN177" s="11"/>
      <c r="AO177" s="11"/>
      <c r="AP177" s="11"/>
      <c r="AQ177" s="11"/>
      <c r="AR177" s="10" t="s">
        <v>968</v>
      </c>
      <c r="AS177" s="10" t="s">
        <v>66</v>
      </c>
      <c r="AT177" s="10" t="s">
        <v>53</v>
      </c>
    </row>
    <row r="178" spans="1:46" ht="20" hidden="1" customHeight="1" x14ac:dyDescent="0.15">
      <c r="A178" s="8" t="s">
        <v>1578</v>
      </c>
      <c r="B178" s="9" t="s">
        <v>1579</v>
      </c>
      <c r="C178" s="10" t="s">
        <v>1580</v>
      </c>
      <c r="D178" s="10" t="s">
        <v>1581</v>
      </c>
      <c r="E178" s="10" t="s">
        <v>51</v>
      </c>
      <c r="F178" s="10" t="s">
        <v>732</v>
      </c>
      <c r="G178" s="11"/>
      <c r="H178" s="10" t="s">
        <v>91</v>
      </c>
      <c r="I178" s="10" t="s">
        <v>53</v>
      </c>
      <c r="J178" s="10" t="s">
        <v>54</v>
      </c>
      <c r="K178" s="11"/>
      <c r="L178" s="10" t="s">
        <v>866</v>
      </c>
      <c r="M178" s="11"/>
      <c r="N178" s="11"/>
      <c r="O178" s="11"/>
      <c r="P178" s="11"/>
      <c r="Q178" s="10" t="s">
        <v>1315</v>
      </c>
      <c r="R178" s="11"/>
      <c r="S178" s="10" t="s">
        <v>734</v>
      </c>
      <c r="T178" s="10" t="s">
        <v>735</v>
      </c>
      <c r="U178" s="10" t="s">
        <v>736</v>
      </c>
      <c r="V178" s="11"/>
      <c r="W178" s="10" t="s">
        <v>737</v>
      </c>
      <c r="X178" s="10" t="s">
        <v>80</v>
      </c>
      <c r="Y178" s="10" t="s">
        <v>80</v>
      </c>
      <c r="Z178" s="10" t="s">
        <v>1582</v>
      </c>
      <c r="AA178" s="10" t="s">
        <v>1583</v>
      </c>
      <c r="AB178" s="11"/>
      <c r="AC178" s="11"/>
      <c r="AD178" s="11"/>
      <c r="AE178" s="11"/>
      <c r="AF178" s="12">
        <v>2100</v>
      </c>
      <c r="AG178" s="11"/>
      <c r="AH178" s="10" t="s">
        <v>508</v>
      </c>
      <c r="AI178" s="10" t="s">
        <v>1335</v>
      </c>
      <c r="AJ178" s="10" t="s">
        <v>1584</v>
      </c>
      <c r="AK178" s="10" t="s">
        <v>1337</v>
      </c>
      <c r="AL178" s="11"/>
      <c r="AM178" s="11"/>
      <c r="AN178" s="11"/>
      <c r="AO178" s="11"/>
      <c r="AP178" s="11"/>
      <c r="AQ178" s="11"/>
      <c r="AR178" s="10" t="s">
        <v>1347</v>
      </c>
      <c r="AS178" s="10" t="s">
        <v>66</v>
      </c>
      <c r="AT178" s="10" t="s">
        <v>53</v>
      </c>
    </row>
    <row r="179" spans="1:46" ht="20" hidden="1" customHeight="1" x14ac:dyDescent="0.15">
      <c r="A179" s="8" t="s">
        <v>1585</v>
      </c>
      <c r="B179" s="9" t="s">
        <v>1586</v>
      </c>
      <c r="C179" s="10" t="s">
        <v>1587</v>
      </c>
      <c r="D179" s="10" t="s">
        <v>1588</v>
      </c>
      <c r="E179" s="10" t="s">
        <v>51</v>
      </c>
      <c r="F179" s="10" t="s">
        <v>732</v>
      </c>
      <c r="G179" s="11"/>
      <c r="H179" s="10" t="s">
        <v>91</v>
      </c>
      <c r="I179" s="10" t="s">
        <v>53</v>
      </c>
      <c r="J179" s="10" t="s">
        <v>54</v>
      </c>
      <c r="K179" s="11"/>
      <c r="L179" s="10" t="s">
        <v>866</v>
      </c>
      <c r="M179" s="11"/>
      <c r="N179" s="11"/>
      <c r="O179" s="11"/>
      <c r="P179" s="11"/>
      <c r="Q179" s="10" t="s">
        <v>107</v>
      </c>
      <c r="R179" s="11"/>
      <c r="S179" s="10" t="s">
        <v>734</v>
      </c>
      <c r="T179" s="10" t="s">
        <v>735</v>
      </c>
      <c r="U179" s="10" t="s">
        <v>736</v>
      </c>
      <c r="V179" s="11"/>
      <c r="W179" s="10" t="s">
        <v>737</v>
      </c>
      <c r="X179" s="10" t="s">
        <v>80</v>
      </c>
      <c r="Y179" s="10" t="s">
        <v>80</v>
      </c>
      <c r="Z179" s="10" t="s">
        <v>1589</v>
      </c>
      <c r="AA179" s="10" t="s">
        <v>1590</v>
      </c>
      <c r="AB179" s="11"/>
      <c r="AC179" s="11"/>
      <c r="AD179" s="11"/>
      <c r="AE179" s="11"/>
      <c r="AF179" s="12">
        <v>121500</v>
      </c>
      <c r="AG179" s="11"/>
      <c r="AH179" s="10" t="s">
        <v>1591</v>
      </c>
      <c r="AI179" s="10" t="s">
        <v>1335</v>
      </c>
      <c r="AJ179" s="10" t="s">
        <v>1592</v>
      </c>
      <c r="AK179" s="10" t="s">
        <v>1593</v>
      </c>
      <c r="AL179" s="11"/>
      <c r="AM179" s="11"/>
      <c r="AN179" s="11"/>
      <c r="AO179" s="11"/>
      <c r="AP179" s="11"/>
      <c r="AQ179" s="11"/>
      <c r="AR179" s="10" t="s">
        <v>1347</v>
      </c>
      <c r="AS179" s="10" t="s">
        <v>66</v>
      </c>
      <c r="AT179" s="10" t="s">
        <v>53</v>
      </c>
    </row>
    <row r="180" spans="1:46" ht="20" hidden="1" customHeight="1" x14ac:dyDescent="0.15">
      <c r="A180" s="8" t="s">
        <v>1594</v>
      </c>
      <c r="B180" s="9" t="s">
        <v>1595</v>
      </c>
      <c r="C180" s="10" t="s">
        <v>1596</v>
      </c>
      <c r="D180" s="10" t="s">
        <v>1597</v>
      </c>
      <c r="E180" s="10" t="s">
        <v>51</v>
      </c>
      <c r="F180" s="10" t="s">
        <v>732</v>
      </c>
      <c r="G180" s="11"/>
      <c r="H180" s="10" t="s">
        <v>91</v>
      </c>
      <c r="I180" s="10" t="s">
        <v>53</v>
      </c>
      <c r="J180" s="10" t="s">
        <v>54</v>
      </c>
      <c r="K180" s="11"/>
      <c r="L180" s="10" t="s">
        <v>866</v>
      </c>
      <c r="M180" s="11"/>
      <c r="N180" s="11"/>
      <c r="O180" s="11"/>
      <c r="P180" s="11"/>
      <c r="Q180" s="10" t="s">
        <v>1315</v>
      </c>
      <c r="R180" s="11"/>
      <c r="S180" s="10" t="s">
        <v>734</v>
      </c>
      <c r="T180" s="10" t="s">
        <v>735</v>
      </c>
      <c r="U180" s="10" t="s">
        <v>736</v>
      </c>
      <c r="V180" s="11"/>
      <c r="W180" s="10" t="s">
        <v>737</v>
      </c>
      <c r="X180" s="10" t="s">
        <v>80</v>
      </c>
      <c r="Y180" s="10" t="s">
        <v>80</v>
      </c>
      <c r="Z180" s="10" t="s">
        <v>1598</v>
      </c>
      <c r="AA180" s="10" t="s">
        <v>1599</v>
      </c>
      <c r="AB180" s="11"/>
      <c r="AC180" s="11"/>
      <c r="AD180" s="11"/>
      <c r="AE180" s="11"/>
      <c r="AF180" s="12">
        <v>5850</v>
      </c>
      <c r="AG180" s="11"/>
      <c r="AH180" s="10" t="s">
        <v>1591</v>
      </c>
      <c r="AI180" s="10" t="s">
        <v>1335</v>
      </c>
      <c r="AJ180" s="10" t="s">
        <v>1600</v>
      </c>
      <c r="AK180" s="10" t="s">
        <v>967</v>
      </c>
      <c r="AL180" s="11"/>
      <c r="AM180" s="11"/>
      <c r="AN180" s="11"/>
      <c r="AO180" s="11"/>
      <c r="AP180" s="11"/>
      <c r="AQ180" s="11"/>
      <c r="AR180" s="10" t="s">
        <v>968</v>
      </c>
      <c r="AS180" s="10" t="s">
        <v>66</v>
      </c>
      <c r="AT180" s="10" t="s">
        <v>53</v>
      </c>
    </row>
    <row r="181" spans="1:46" ht="20" hidden="1" customHeight="1" x14ac:dyDescent="0.15">
      <c r="A181" s="8" t="s">
        <v>1601</v>
      </c>
      <c r="B181" s="9" t="s">
        <v>1602</v>
      </c>
      <c r="C181" s="10" t="s">
        <v>1603</v>
      </c>
      <c r="D181" s="10" t="s">
        <v>1604</v>
      </c>
      <c r="E181" s="10" t="s">
        <v>51</v>
      </c>
      <c r="F181" s="10" t="s">
        <v>732</v>
      </c>
      <c r="G181" s="11"/>
      <c r="H181" s="10" t="s">
        <v>91</v>
      </c>
      <c r="I181" s="10" t="s">
        <v>53</v>
      </c>
      <c r="J181" s="10" t="s">
        <v>54</v>
      </c>
      <c r="K181" s="11"/>
      <c r="L181" s="10" t="s">
        <v>866</v>
      </c>
      <c r="M181" s="11"/>
      <c r="N181" s="11"/>
      <c r="O181" s="11"/>
      <c r="P181" s="11"/>
      <c r="Q181" s="10" t="s">
        <v>107</v>
      </c>
      <c r="R181" s="11"/>
      <c r="S181" s="10" t="s">
        <v>734</v>
      </c>
      <c r="T181" s="10" t="s">
        <v>735</v>
      </c>
      <c r="U181" s="10" t="s">
        <v>736</v>
      </c>
      <c r="V181" s="11"/>
      <c r="W181" s="10" t="s">
        <v>737</v>
      </c>
      <c r="X181" s="10" t="s">
        <v>80</v>
      </c>
      <c r="Y181" s="10" t="s">
        <v>80</v>
      </c>
      <c r="Z181" s="10" t="s">
        <v>1605</v>
      </c>
      <c r="AA181" s="10" t="s">
        <v>1606</v>
      </c>
      <c r="AB181" s="11"/>
      <c r="AC181" s="11"/>
      <c r="AD181" s="11"/>
      <c r="AE181" s="11"/>
      <c r="AF181" s="12">
        <v>1374</v>
      </c>
      <c r="AG181" s="11"/>
      <c r="AH181" s="10" t="s">
        <v>1591</v>
      </c>
      <c r="AI181" s="10" t="s">
        <v>1335</v>
      </c>
      <c r="AJ181" s="10" t="s">
        <v>1607</v>
      </c>
      <c r="AK181" s="10" t="s">
        <v>1608</v>
      </c>
      <c r="AL181" s="11"/>
      <c r="AM181" s="11"/>
      <c r="AN181" s="11"/>
      <c r="AO181" s="11"/>
      <c r="AP181" s="11"/>
      <c r="AQ181" s="11"/>
      <c r="AR181" s="10" t="s">
        <v>1609</v>
      </c>
      <c r="AS181" s="10" t="s">
        <v>66</v>
      </c>
      <c r="AT181" s="10" t="s">
        <v>53</v>
      </c>
    </row>
    <row r="182" spans="1:46" ht="20" hidden="1" customHeight="1" x14ac:dyDescent="0.15">
      <c r="A182" s="8" t="s">
        <v>1610</v>
      </c>
      <c r="B182" s="9" t="s">
        <v>1611</v>
      </c>
      <c r="C182" s="10" t="s">
        <v>1612</v>
      </c>
      <c r="D182" s="10" t="s">
        <v>1613</v>
      </c>
      <c r="E182" s="10" t="s">
        <v>51</v>
      </c>
      <c r="F182" s="10" t="s">
        <v>732</v>
      </c>
      <c r="G182" s="11"/>
      <c r="H182" s="10" t="s">
        <v>91</v>
      </c>
      <c r="I182" s="10" t="s">
        <v>53</v>
      </c>
      <c r="J182" s="10" t="s">
        <v>54</v>
      </c>
      <c r="K182" s="11"/>
      <c r="L182" s="10" t="s">
        <v>866</v>
      </c>
      <c r="M182" s="11"/>
      <c r="N182" s="11"/>
      <c r="O182" s="11"/>
      <c r="P182" s="11"/>
      <c r="Q182" s="10" t="s">
        <v>107</v>
      </c>
      <c r="R182" s="11"/>
      <c r="S182" s="10" t="s">
        <v>734</v>
      </c>
      <c r="T182" s="10" t="s">
        <v>735</v>
      </c>
      <c r="U182" s="10" t="s">
        <v>736</v>
      </c>
      <c r="V182" s="11"/>
      <c r="W182" s="10" t="s">
        <v>737</v>
      </c>
      <c r="X182" s="10" t="s">
        <v>80</v>
      </c>
      <c r="Y182" s="10" t="s">
        <v>80</v>
      </c>
      <c r="Z182" s="10" t="s">
        <v>1614</v>
      </c>
      <c r="AA182" s="10" t="s">
        <v>1615</v>
      </c>
      <c r="AB182" s="11"/>
      <c r="AC182" s="11"/>
      <c r="AD182" s="11"/>
      <c r="AE182" s="11"/>
      <c r="AF182" s="12">
        <v>436</v>
      </c>
      <c r="AG182" s="11"/>
      <c r="AH182" s="10" t="s">
        <v>1591</v>
      </c>
      <c r="AI182" s="10" t="s">
        <v>1335</v>
      </c>
      <c r="AJ182" s="10" t="s">
        <v>1600</v>
      </c>
      <c r="AK182" s="10" t="s">
        <v>1494</v>
      </c>
      <c r="AL182" s="11"/>
      <c r="AM182" s="11"/>
      <c r="AN182" s="11"/>
      <c r="AO182" s="11"/>
      <c r="AP182" s="11"/>
      <c r="AQ182" s="11"/>
      <c r="AR182" s="10" t="s">
        <v>1495</v>
      </c>
      <c r="AS182" s="10" t="s">
        <v>66</v>
      </c>
      <c r="AT182" s="10" t="s">
        <v>53</v>
      </c>
    </row>
    <row r="183" spans="1:46" ht="20" hidden="1" customHeight="1" x14ac:dyDescent="0.15">
      <c r="A183" s="8" t="s">
        <v>1616</v>
      </c>
      <c r="B183" s="9" t="s">
        <v>1617</v>
      </c>
      <c r="C183" s="10" t="s">
        <v>1618</v>
      </c>
      <c r="D183" s="10" t="s">
        <v>1619</v>
      </c>
      <c r="E183" s="10" t="s">
        <v>51</v>
      </c>
      <c r="F183" s="10" t="s">
        <v>732</v>
      </c>
      <c r="G183" s="11"/>
      <c r="H183" s="10" t="s">
        <v>91</v>
      </c>
      <c r="I183" s="10" t="s">
        <v>53</v>
      </c>
      <c r="J183" s="10" t="s">
        <v>54</v>
      </c>
      <c r="K183" s="11"/>
      <c r="L183" s="10" t="s">
        <v>866</v>
      </c>
      <c r="M183" s="11"/>
      <c r="N183" s="11"/>
      <c r="O183" s="11"/>
      <c r="P183" s="11"/>
      <c r="Q183" s="10" t="s">
        <v>107</v>
      </c>
      <c r="R183" s="11"/>
      <c r="S183" s="10" t="s">
        <v>734</v>
      </c>
      <c r="T183" s="10" t="s">
        <v>735</v>
      </c>
      <c r="U183" s="10" t="s">
        <v>736</v>
      </c>
      <c r="V183" s="11"/>
      <c r="W183" s="10" t="s">
        <v>737</v>
      </c>
      <c r="X183" s="10" t="s">
        <v>80</v>
      </c>
      <c r="Y183" s="10" t="s">
        <v>80</v>
      </c>
      <c r="Z183" s="10" t="s">
        <v>1620</v>
      </c>
      <c r="AA183" s="10" t="s">
        <v>1621</v>
      </c>
      <c r="AB183" s="11"/>
      <c r="AC183" s="11"/>
      <c r="AD183" s="11"/>
      <c r="AE183" s="11"/>
      <c r="AF183" s="12">
        <v>423</v>
      </c>
      <c r="AG183" s="11"/>
      <c r="AH183" s="10" t="s">
        <v>1591</v>
      </c>
      <c r="AI183" s="10" t="s">
        <v>1335</v>
      </c>
      <c r="AJ183" s="10" t="s">
        <v>1600</v>
      </c>
      <c r="AK183" s="10" t="s">
        <v>1622</v>
      </c>
      <c r="AL183" s="11"/>
      <c r="AM183" s="11"/>
      <c r="AN183" s="11"/>
      <c r="AO183" s="11"/>
      <c r="AP183" s="11"/>
      <c r="AQ183" s="11"/>
      <c r="AR183" s="10" t="s">
        <v>1623</v>
      </c>
      <c r="AS183" s="10" t="s">
        <v>66</v>
      </c>
      <c r="AT183" s="10" t="s">
        <v>53</v>
      </c>
    </row>
    <row r="184" spans="1:46" ht="20" hidden="1" customHeight="1" x14ac:dyDescent="0.15">
      <c r="A184" s="8" t="s">
        <v>1624</v>
      </c>
      <c r="B184" s="9" t="s">
        <v>1625</v>
      </c>
      <c r="C184" s="10" t="s">
        <v>1626</v>
      </c>
      <c r="D184" s="10" t="s">
        <v>1627</v>
      </c>
      <c r="E184" s="10" t="s">
        <v>51</v>
      </c>
      <c r="F184" s="10" t="s">
        <v>732</v>
      </c>
      <c r="G184" s="11"/>
      <c r="H184" s="10" t="s">
        <v>91</v>
      </c>
      <c r="I184" s="10" t="s">
        <v>53</v>
      </c>
      <c r="J184" s="10" t="s">
        <v>54</v>
      </c>
      <c r="K184" s="11"/>
      <c r="L184" s="10" t="s">
        <v>866</v>
      </c>
      <c r="M184" s="11"/>
      <c r="N184" s="11"/>
      <c r="O184" s="11"/>
      <c r="P184" s="11"/>
      <c r="Q184" s="10" t="s">
        <v>75</v>
      </c>
      <c r="R184" s="11"/>
      <c r="S184" s="10" t="s">
        <v>734</v>
      </c>
      <c r="T184" s="10" t="s">
        <v>735</v>
      </c>
      <c r="U184" s="10" t="s">
        <v>736</v>
      </c>
      <c r="V184" s="11"/>
      <c r="W184" s="10" t="s">
        <v>737</v>
      </c>
      <c r="X184" s="10" t="s">
        <v>80</v>
      </c>
      <c r="Y184" s="10" t="s">
        <v>80</v>
      </c>
      <c r="Z184" s="10" t="s">
        <v>1628</v>
      </c>
      <c r="AA184" s="10" t="s">
        <v>1629</v>
      </c>
      <c r="AB184" s="11"/>
      <c r="AC184" s="11"/>
      <c r="AD184" s="11"/>
      <c r="AE184" s="11"/>
      <c r="AF184" s="12">
        <v>9000</v>
      </c>
      <c r="AG184" s="11"/>
      <c r="AH184" s="10" t="s">
        <v>1591</v>
      </c>
      <c r="AI184" s="10" t="s">
        <v>1335</v>
      </c>
      <c r="AJ184" s="10" t="s">
        <v>1630</v>
      </c>
      <c r="AK184" s="10" t="s">
        <v>1337</v>
      </c>
      <c r="AL184" s="11"/>
      <c r="AM184" s="11"/>
      <c r="AN184" s="11"/>
      <c r="AO184" s="11"/>
      <c r="AP184" s="11"/>
      <c r="AQ184" s="11"/>
      <c r="AR184" s="10" t="s">
        <v>1347</v>
      </c>
      <c r="AS184" s="10" t="s">
        <v>66</v>
      </c>
      <c r="AT184" s="10" t="s">
        <v>53</v>
      </c>
    </row>
    <row r="185" spans="1:46" ht="20" hidden="1" customHeight="1" x14ac:dyDescent="0.15">
      <c r="A185" s="8" t="s">
        <v>1631</v>
      </c>
      <c r="B185" s="9" t="s">
        <v>1632</v>
      </c>
      <c r="C185" s="10" t="s">
        <v>1633</v>
      </c>
      <c r="D185" s="10" t="s">
        <v>1634</v>
      </c>
      <c r="E185" s="10" t="s">
        <v>51</v>
      </c>
      <c r="F185" s="10" t="s">
        <v>732</v>
      </c>
      <c r="G185" s="11"/>
      <c r="H185" s="10" t="s">
        <v>91</v>
      </c>
      <c r="I185" s="10" t="s">
        <v>53</v>
      </c>
      <c r="J185" s="10" t="s">
        <v>54</v>
      </c>
      <c r="K185" s="11"/>
      <c r="L185" s="10" t="s">
        <v>866</v>
      </c>
      <c r="M185" s="11"/>
      <c r="N185" s="11"/>
      <c r="O185" s="11"/>
      <c r="P185" s="11"/>
      <c r="Q185" s="10" t="s">
        <v>1315</v>
      </c>
      <c r="R185" s="11"/>
      <c r="S185" s="10" t="s">
        <v>734</v>
      </c>
      <c r="T185" s="10" t="s">
        <v>735</v>
      </c>
      <c r="U185" s="10" t="s">
        <v>736</v>
      </c>
      <c r="V185" s="11"/>
      <c r="W185" s="10" t="s">
        <v>737</v>
      </c>
      <c r="X185" s="10" t="s">
        <v>80</v>
      </c>
      <c r="Y185" s="10" t="s">
        <v>80</v>
      </c>
      <c r="Z185" s="10" t="s">
        <v>1635</v>
      </c>
      <c r="AA185" s="10" t="s">
        <v>1636</v>
      </c>
      <c r="AB185" s="11"/>
      <c r="AC185" s="11"/>
      <c r="AD185" s="11"/>
      <c r="AE185" s="11"/>
      <c r="AF185" s="12">
        <v>25800</v>
      </c>
      <c r="AG185" s="11"/>
      <c r="AH185" s="10" t="s">
        <v>1591</v>
      </c>
      <c r="AI185" s="10" t="s">
        <v>1637</v>
      </c>
      <c r="AJ185" s="10" t="s">
        <v>1600</v>
      </c>
      <c r="AK185" s="10" t="s">
        <v>967</v>
      </c>
      <c r="AL185" s="11"/>
      <c r="AM185" s="11"/>
      <c r="AN185" s="11"/>
      <c r="AO185" s="11"/>
      <c r="AP185" s="11"/>
      <c r="AQ185" s="11"/>
      <c r="AR185" s="10" t="s">
        <v>968</v>
      </c>
      <c r="AS185" s="10" t="s">
        <v>66</v>
      </c>
      <c r="AT185" s="10" t="s">
        <v>53</v>
      </c>
    </row>
    <row r="186" spans="1:46" ht="20" hidden="1" customHeight="1" x14ac:dyDescent="0.15">
      <c r="A186" s="8" t="s">
        <v>1638</v>
      </c>
      <c r="B186" s="9" t="s">
        <v>1639</v>
      </c>
      <c r="C186" s="10" t="s">
        <v>1640</v>
      </c>
      <c r="D186" s="10" t="s">
        <v>1641</v>
      </c>
      <c r="E186" s="10" t="s">
        <v>51</v>
      </c>
      <c r="F186" s="10" t="s">
        <v>732</v>
      </c>
      <c r="G186" s="11"/>
      <c r="H186" s="10" t="s">
        <v>91</v>
      </c>
      <c r="I186" s="10" t="s">
        <v>53</v>
      </c>
      <c r="J186" s="10" t="s">
        <v>54</v>
      </c>
      <c r="K186" s="11"/>
      <c r="L186" s="10" t="s">
        <v>866</v>
      </c>
      <c r="M186" s="11"/>
      <c r="N186" s="11"/>
      <c r="O186" s="11"/>
      <c r="P186" s="11"/>
      <c r="Q186" s="10" t="s">
        <v>107</v>
      </c>
      <c r="R186" s="11"/>
      <c r="S186" s="10" t="s">
        <v>734</v>
      </c>
      <c r="T186" s="10" t="s">
        <v>735</v>
      </c>
      <c r="U186" s="10" t="s">
        <v>736</v>
      </c>
      <c r="V186" s="11"/>
      <c r="W186" s="10" t="s">
        <v>737</v>
      </c>
      <c r="X186" s="10" t="s">
        <v>80</v>
      </c>
      <c r="Y186" s="10" t="s">
        <v>80</v>
      </c>
      <c r="Z186" s="10" t="s">
        <v>1642</v>
      </c>
      <c r="AA186" s="10" t="s">
        <v>1643</v>
      </c>
      <c r="AB186" s="11"/>
      <c r="AC186" s="11"/>
      <c r="AD186" s="11"/>
      <c r="AE186" s="11"/>
      <c r="AF186" s="12">
        <v>871</v>
      </c>
      <c r="AG186" s="11"/>
      <c r="AH186" s="10" t="s">
        <v>1591</v>
      </c>
      <c r="AI186" s="10" t="s">
        <v>1637</v>
      </c>
      <c r="AJ186" s="10" t="s">
        <v>1644</v>
      </c>
      <c r="AK186" s="10" t="s">
        <v>1608</v>
      </c>
      <c r="AL186" s="11"/>
      <c r="AM186" s="11"/>
      <c r="AN186" s="11"/>
      <c r="AO186" s="11"/>
      <c r="AP186" s="11"/>
      <c r="AQ186" s="11"/>
      <c r="AR186" s="10" t="s">
        <v>1609</v>
      </c>
      <c r="AS186" s="10" t="s">
        <v>66</v>
      </c>
      <c r="AT186" s="10" t="s">
        <v>53</v>
      </c>
    </row>
    <row r="187" spans="1:46" ht="20" hidden="1" customHeight="1" x14ac:dyDescent="0.15">
      <c r="A187" s="8" t="s">
        <v>1645</v>
      </c>
      <c r="B187" s="9" t="s">
        <v>1646</v>
      </c>
      <c r="C187" s="10" t="s">
        <v>1647</v>
      </c>
      <c r="D187" s="10" t="s">
        <v>1648</v>
      </c>
      <c r="E187" s="10" t="s">
        <v>51</v>
      </c>
      <c r="F187" s="10" t="s">
        <v>732</v>
      </c>
      <c r="G187" s="11"/>
      <c r="H187" s="10" t="s">
        <v>91</v>
      </c>
      <c r="I187" s="10" t="s">
        <v>53</v>
      </c>
      <c r="J187" s="10" t="s">
        <v>54</v>
      </c>
      <c r="K187" s="11"/>
      <c r="L187" s="10" t="s">
        <v>866</v>
      </c>
      <c r="M187" s="11"/>
      <c r="N187" s="11"/>
      <c r="O187" s="11"/>
      <c r="P187" s="11"/>
      <c r="Q187" s="10" t="s">
        <v>107</v>
      </c>
      <c r="R187" s="11"/>
      <c r="S187" s="10" t="s">
        <v>734</v>
      </c>
      <c r="T187" s="10" t="s">
        <v>735</v>
      </c>
      <c r="U187" s="10" t="s">
        <v>736</v>
      </c>
      <c r="V187" s="11"/>
      <c r="W187" s="10" t="s">
        <v>737</v>
      </c>
      <c r="X187" s="10" t="s">
        <v>80</v>
      </c>
      <c r="Y187" s="10" t="s">
        <v>80</v>
      </c>
      <c r="Z187" s="10" t="s">
        <v>1649</v>
      </c>
      <c r="AA187" s="10" t="s">
        <v>1650</v>
      </c>
      <c r="AB187" s="11"/>
      <c r="AC187" s="11"/>
      <c r="AD187" s="11"/>
      <c r="AE187" s="11"/>
      <c r="AF187" s="12">
        <v>1200</v>
      </c>
      <c r="AG187" s="11"/>
      <c r="AH187" s="10" t="s">
        <v>1591</v>
      </c>
      <c r="AI187" s="10" t="s">
        <v>1637</v>
      </c>
      <c r="AJ187" s="10" t="s">
        <v>1600</v>
      </c>
      <c r="AK187" s="10" t="s">
        <v>1651</v>
      </c>
      <c r="AL187" s="11"/>
      <c r="AM187" s="11"/>
      <c r="AN187" s="11"/>
      <c r="AO187" s="11"/>
      <c r="AP187" s="11"/>
      <c r="AQ187" s="11"/>
      <c r="AR187" s="10" t="s">
        <v>1652</v>
      </c>
      <c r="AS187" s="10" t="s">
        <v>66</v>
      </c>
      <c r="AT187" s="10" t="s">
        <v>53</v>
      </c>
    </row>
    <row r="188" spans="1:46" ht="20" hidden="1" customHeight="1" x14ac:dyDescent="0.15">
      <c r="A188" s="8" t="s">
        <v>1653</v>
      </c>
      <c r="B188" s="9" t="s">
        <v>1654</v>
      </c>
      <c r="C188" s="10" t="s">
        <v>1655</v>
      </c>
      <c r="D188" s="10" t="s">
        <v>1656</v>
      </c>
      <c r="E188" s="10" t="s">
        <v>51</v>
      </c>
      <c r="F188" s="10" t="s">
        <v>732</v>
      </c>
      <c r="G188" s="11"/>
      <c r="H188" s="10" t="s">
        <v>91</v>
      </c>
      <c r="I188" s="10" t="s">
        <v>53</v>
      </c>
      <c r="J188" s="10" t="s">
        <v>54</v>
      </c>
      <c r="K188" s="11"/>
      <c r="L188" s="10" t="s">
        <v>866</v>
      </c>
      <c r="M188" s="11"/>
      <c r="N188" s="11"/>
      <c r="O188" s="11"/>
      <c r="P188" s="11"/>
      <c r="Q188" s="10" t="s">
        <v>107</v>
      </c>
      <c r="R188" s="11"/>
      <c r="S188" s="10" t="s">
        <v>734</v>
      </c>
      <c r="T188" s="10" t="s">
        <v>735</v>
      </c>
      <c r="U188" s="10" t="s">
        <v>736</v>
      </c>
      <c r="V188" s="11"/>
      <c r="W188" s="10" t="s">
        <v>737</v>
      </c>
      <c r="X188" s="10" t="s">
        <v>80</v>
      </c>
      <c r="Y188" s="10" t="s">
        <v>80</v>
      </c>
      <c r="Z188" s="10" t="s">
        <v>1657</v>
      </c>
      <c r="AA188" s="10" t="s">
        <v>1658</v>
      </c>
      <c r="AB188" s="11"/>
      <c r="AC188" s="11"/>
      <c r="AD188" s="11"/>
      <c r="AE188" s="11"/>
      <c r="AF188" s="12">
        <v>775</v>
      </c>
      <c r="AG188" s="11"/>
      <c r="AH188" s="10" t="s">
        <v>1591</v>
      </c>
      <c r="AI188" s="10" t="s">
        <v>1637</v>
      </c>
      <c r="AJ188" s="10" t="s">
        <v>1600</v>
      </c>
      <c r="AK188" s="10" t="s">
        <v>1659</v>
      </c>
      <c r="AL188" s="11"/>
      <c r="AM188" s="11"/>
      <c r="AN188" s="11"/>
      <c r="AO188" s="11"/>
      <c r="AP188" s="11"/>
      <c r="AQ188" s="11"/>
      <c r="AR188" s="10" t="s">
        <v>1660</v>
      </c>
      <c r="AS188" s="10" t="s">
        <v>66</v>
      </c>
      <c r="AT188" s="10" t="s">
        <v>53</v>
      </c>
    </row>
    <row r="189" spans="1:46" ht="20" hidden="1" customHeight="1" x14ac:dyDescent="0.15">
      <c r="A189" s="8" t="s">
        <v>1661</v>
      </c>
      <c r="B189" s="9" t="s">
        <v>1662</v>
      </c>
      <c r="C189" s="10" t="s">
        <v>1663</v>
      </c>
      <c r="D189" s="10" t="s">
        <v>1664</v>
      </c>
      <c r="E189" s="10" t="s">
        <v>51</v>
      </c>
      <c r="F189" s="10" t="s">
        <v>732</v>
      </c>
      <c r="G189" s="11"/>
      <c r="H189" s="10" t="s">
        <v>91</v>
      </c>
      <c r="I189" s="10" t="s">
        <v>53</v>
      </c>
      <c r="J189" s="10" t="s">
        <v>54</v>
      </c>
      <c r="K189" s="11"/>
      <c r="L189" s="10" t="s">
        <v>866</v>
      </c>
      <c r="M189" s="11"/>
      <c r="N189" s="11"/>
      <c r="O189" s="11"/>
      <c r="P189" s="11"/>
      <c r="Q189" s="10" t="s">
        <v>107</v>
      </c>
      <c r="R189" s="11"/>
      <c r="S189" s="10" t="s">
        <v>734</v>
      </c>
      <c r="T189" s="10" t="s">
        <v>735</v>
      </c>
      <c r="U189" s="10" t="s">
        <v>736</v>
      </c>
      <c r="V189" s="11"/>
      <c r="W189" s="10" t="s">
        <v>737</v>
      </c>
      <c r="X189" s="10" t="s">
        <v>80</v>
      </c>
      <c r="Y189" s="10" t="s">
        <v>80</v>
      </c>
      <c r="Z189" s="10" t="s">
        <v>1665</v>
      </c>
      <c r="AA189" s="10" t="s">
        <v>1666</v>
      </c>
      <c r="AB189" s="11"/>
      <c r="AC189" s="11"/>
      <c r="AD189" s="11"/>
      <c r="AE189" s="11"/>
      <c r="AF189" s="12">
        <v>166</v>
      </c>
      <c r="AG189" s="11"/>
      <c r="AH189" s="10" t="s">
        <v>1591</v>
      </c>
      <c r="AI189" s="10" t="s">
        <v>1637</v>
      </c>
      <c r="AJ189" s="10" t="s">
        <v>1667</v>
      </c>
      <c r="AK189" s="10" t="s">
        <v>1668</v>
      </c>
      <c r="AL189" s="11"/>
      <c r="AM189" s="11"/>
      <c r="AN189" s="11"/>
      <c r="AO189" s="11"/>
      <c r="AP189" s="11"/>
      <c r="AQ189" s="11"/>
      <c r="AR189" s="10" t="s">
        <v>1669</v>
      </c>
      <c r="AS189" s="10" t="s">
        <v>66</v>
      </c>
      <c r="AT189" s="10" t="s">
        <v>53</v>
      </c>
    </row>
    <row r="190" spans="1:46" ht="20" customHeight="1" x14ac:dyDescent="0.15">
      <c r="A190" s="8" t="s">
        <v>1670</v>
      </c>
      <c r="B190" s="9" t="s">
        <v>1671</v>
      </c>
      <c r="C190" s="10" t="s">
        <v>1672</v>
      </c>
      <c r="D190" s="10" t="s">
        <v>1673</v>
      </c>
      <c r="E190" s="10" t="s">
        <v>51</v>
      </c>
      <c r="F190" s="10" t="s">
        <v>601</v>
      </c>
      <c r="G190" s="11"/>
      <c r="H190" s="10" t="s">
        <v>552</v>
      </c>
      <c r="I190" s="10" t="s">
        <v>53</v>
      </c>
      <c r="J190" s="10" t="s">
        <v>54</v>
      </c>
      <c r="K190" s="11"/>
      <c r="L190" s="10" t="s">
        <v>1674</v>
      </c>
      <c r="M190" s="11"/>
      <c r="N190" s="11"/>
      <c r="O190" s="11"/>
      <c r="P190" s="11"/>
      <c r="Q190" s="10" t="s">
        <v>603</v>
      </c>
      <c r="R190" s="11"/>
      <c r="S190" s="10" t="s">
        <v>604</v>
      </c>
      <c r="T190" s="10" t="s">
        <v>605</v>
      </c>
      <c r="U190" s="10" t="s">
        <v>606</v>
      </c>
      <c r="V190" s="11"/>
      <c r="W190" s="10" t="s">
        <v>607</v>
      </c>
      <c r="X190" s="10" t="s">
        <v>80</v>
      </c>
      <c r="Y190" s="10" t="s">
        <v>80</v>
      </c>
      <c r="Z190" s="10" t="s">
        <v>1675</v>
      </c>
      <c r="AA190" s="10" t="s">
        <v>1676</v>
      </c>
      <c r="AB190" s="11"/>
      <c r="AC190" s="11"/>
      <c r="AD190" s="11"/>
      <c r="AE190" s="11"/>
      <c r="AF190" s="11"/>
      <c r="AG190" s="11"/>
      <c r="AH190" s="10" t="s">
        <v>1677</v>
      </c>
      <c r="AI190" s="10" t="s">
        <v>1319</v>
      </c>
      <c r="AJ190" s="11"/>
      <c r="AK190" s="11"/>
      <c r="AL190" s="11"/>
      <c r="AM190" s="11"/>
      <c r="AN190" s="11"/>
      <c r="AO190" s="11"/>
      <c r="AP190" s="11"/>
      <c r="AQ190" s="11"/>
      <c r="AR190" s="10" t="s">
        <v>1678</v>
      </c>
      <c r="AS190" s="10" t="s">
        <v>66</v>
      </c>
      <c r="AT190" s="10" t="s">
        <v>53</v>
      </c>
    </row>
    <row r="191" spans="1:46" ht="20" customHeight="1" x14ac:dyDescent="0.15">
      <c r="A191" s="8" t="s">
        <v>1679</v>
      </c>
      <c r="B191" s="9" t="s">
        <v>1680</v>
      </c>
      <c r="C191" s="10" t="s">
        <v>1681</v>
      </c>
      <c r="D191" s="10" t="s">
        <v>1682</v>
      </c>
      <c r="E191" s="10" t="s">
        <v>51</v>
      </c>
      <c r="F191" s="10" t="s">
        <v>601</v>
      </c>
      <c r="G191" s="11"/>
      <c r="H191" s="10" t="s">
        <v>1683</v>
      </c>
      <c r="I191" s="10" t="s">
        <v>53</v>
      </c>
      <c r="J191" s="10" t="s">
        <v>54</v>
      </c>
      <c r="K191" s="11"/>
      <c r="L191" s="10" t="s">
        <v>1674</v>
      </c>
      <c r="M191" s="11"/>
      <c r="N191" s="11"/>
      <c r="O191" s="11"/>
      <c r="P191" s="11"/>
      <c r="Q191" s="10" t="s">
        <v>603</v>
      </c>
      <c r="R191" s="11"/>
      <c r="S191" s="10" t="s">
        <v>604</v>
      </c>
      <c r="T191" s="10" t="s">
        <v>605</v>
      </c>
      <c r="U191" s="10" t="s">
        <v>606</v>
      </c>
      <c r="V191" s="11"/>
      <c r="W191" s="10" t="s">
        <v>607</v>
      </c>
      <c r="X191" s="10" t="s">
        <v>80</v>
      </c>
      <c r="Y191" s="10" t="s">
        <v>80</v>
      </c>
      <c r="Z191" s="10" t="s">
        <v>1684</v>
      </c>
      <c r="AA191" s="10" t="s">
        <v>1685</v>
      </c>
      <c r="AB191" s="11"/>
      <c r="AC191" s="11"/>
      <c r="AD191" s="11"/>
      <c r="AE191" s="11"/>
      <c r="AF191" s="11"/>
      <c r="AG191" s="11"/>
      <c r="AH191" s="11"/>
      <c r="AI191" s="10" t="s">
        <v>1319</v>
      </c>
      <c r="AJ191" s="11"/>
      <c r="AK191" s="11"/>
      <c r="AL191" s="11"/>
      <c r="AM191" s="11"/>
      <c r="AN191" s="11"/>
      <c r="AO191" s="11"/>
      <c r="AP191" s="11"/>
      <c r="AQ191" s="11"/>
      <c r="AR191" s="10" t="s">
        <v>1686</v>
      </c>
      <c r="AS191" s="10" t="s">
        <v>66</v>
      </c>
      <c r="AT191" s="10" t="s">
        <v>53</v>
      </c>
    </row>
    <row r="192" spans="1:46" ht="20" customHeight="1" x14ac:dyDescent="0.15">
      <c r="A192" s="8" t="s">
        <v>1687</v>
      </c>
      <c r="B192" s="9" t="s">
        <v>1688</v>
      </c>
      <c r="C192" s="10" t="s">
        <v>1689</v>
      </c>
      <c r="D192" s="10" t="s">
        <v>1690</v>
      </c>
      <c r="E192" s="10" t="s">
        <v>51</v>
      </c>
      <c r="F192" s="10" t="s">
        <v>616</v>
      </c>
      <c r="G192" s="11"/>
      <c r="H192" s="10" t="s">
        <v>1691</v>
      </c>
      <c r="I192" s="10" t="s">
        <v>53</v>
      </c>
      <c r="J192" s="10" t="s">
        <v>54</v>
      </c>
      <c r="K192" s="11"/>
      <c r="L192" s="10" t="s">
        <v>1692</v>
      </c>
      <c r="M192" s="11"/>
      <c r="N192" s="10" t="s">
        <v>461</v>
      </c>
      <c r="O192" s="11"/>
      <c r="P192" s="11"/>
      <c r="Q192" s="10" t="s">
        <v>75</v>
      </c>
      <c r="R192" s="11"/>
      <c r="S192" s="10" t="s">
        <v>620</v>
      </c>
      <c r="T192" s="10" t="s">
        <v>621</v>
      </c>
      <c r="U192" s="10" t="s">
        <v>622</v>
      </c>
      <c r="V192" s="11"/>
      <c r="W192" s="10" t="s">
        <v>1693</v>
      </c>
      <c r="X192" s="10" t="s">
        <v>80</v>
      </c>
      <c r="Y192" s="10" t="s">
        <v>80</v>
      </c>
      <c r="Z192" s="10" t="s">
        <v>1694</v>
      </c>
      <c r="AA192" s="10" t="s">
        <v>1695</v>
      </c>
      <c r="AB192" s="11"/>
      <c r="AC192" s="11"/>
      <c r="AD192" s="11"/>
      <c r="AE192" s="11"/>
      <c r="AF192" s="12">
        <v>43558</v>
      </c>
      <c r="AG192" s="11"/>
      <c r="AH192" s="10" t="s">
        <v>1696</v>
      </c>
      <c r="AI192" s="10" t="s">
        <v>1697</v>
      </c>
      <c r="AJ192" s="10" t="s">
        <v>1698</v>
      </c>
      <c r="AK192" s="10" t="s">
        <v>1699</v>
      </c>
      <c r="AL192" s="11"/>
      <c r="AM192" s="11"/>
      <c r="AN192" s="11"/>
      <c r="AO192" s="11"/>
      <c r="AP192" s="11"/>
      <c r="AQ192" s="11"/>
      <c r="AR192" s="10" t="s">
        <v>1700</v>
      </c>
      <c r="AS192" s="10" t="s">
        <v>66</v>
      </c>
      <c r="AT192" s="10" t="s">
        <v>53</v>
      </c>
    </row>
    <row r="193" spans="1:46" ht="20" customHeight="1" x14ac:dyDescent="0.15">
      <c r="A193" s="8" t="s">
        <v>1701</v>
      </c>
      <c r="B193" s="9" t="s">
        <v>1702</v>
      </c>
      <c r="C193" s="10" t="s">
        <v>1703</v>
      </c>
      <c r="D193" s="10" t="s">
        <v>1704</v>
      </c>
      <c r="E193" s="10" t="s">
        <v>51</v>
      </c>
      <c r="F193" s="10" t="s">
        <v>616</v>
      </c>
      <c r="G193" s="11"/>
      <c r="H193" s="10" t="s">
        <v>561</v>
      </c>
      <c r="I193" s="10" t="s">
        <v>53</v>
      </c>
      <c r="J193" s="10" t="s">
        <v>54</v>
      </c>
      <c r="K193" s="11"/>
      <c r="L193" s="10" t="s">
        <v>1692</v>
      </c>
      <c r="M193" s="11"/>
      <c r="N193" s="10" t="s">
        <v>461</v>
      </c>
      <c r="O193" s="11"/>
      <c r="P193" s="11"/>
      <c r="Q193" s="10" t="s">
        <v>75</v>
      </c>
      <c r="R193" s="11"/>
      <c r="S193" s="10" t="s">
        <v>620</v>
      </c>
      <c r="T193" s="10" t="s">
        <v>621</v>
      </c>
      <c r="U193" s="10" t="s">
        <v>622</v>
      </c>
      <c r="V193" s="11"/>
      <c r="W193" s="10" t="s">
        <v>1693</v>
      </c>
      <c r="X193" s="10" t="s">
        <v>80</v>
      </c>
      <c r="Y193" s="10" t="s">
        <v>80</v>
      </c>
      <c r="Z193" s="10" t="s">
        <v>1705</v>
      </c>
      <c r="AA193" s="10" t="s">
        <v>1706</v>
      </c>
      <c r="AB193" s="11"/>
      <c r="AC193" s="11"/>
      <c r="AD193" s="11"/>
      <c r="AE193" s="11"/>
      <c r="AF193" s="12">
        <v>45920</v>
      </c>
      <c r="AG193" s="11"/>
      <c r="AH193" s="10" t="s">
        <v>1696</v>
      </c>
      <c r="AI193" s="10" t="s">
        <v>1707</v>
      </c>
      <c r="AJ193" s="10" t="s">
        <v>1698</v>
      </c>
      <c r="AK193" s="10" t="s">
        <v>1708</v>
      </c>
      <c r="AL193" s="11"/>
      <c r="AM193" s="11"/>
      <c r="AN193" s="11"/>
      <c r="AO193" s="11"/>
      <c r="AP193" s="11"/>
      <c r="AQ193" s="11"/>
      <c r="AR193" s="10" t="s">
        <v>1709</v>
      </c>
      <c r="AS193" s="10" t="s">
        <v>66</v>
      </c>
      <c r="AT193" s="10" t="s">
        <v>53</v>
      </c>
    </row>
    <row r="194" spans="1:46" ht="20" customHeight="1" x14ac:dyDescent="0.15">
      <c r="A194" s="8" t="s">
        <v>1710</v>
      </c>
      <c r="B194" s="9" t="s">
        <v>1711</v>
      </c>
      <c r="C194" s="10" t="s">
        <v>1712</v>
      </c>
      <c r="D194" s="10" t="s">
        <v>1713</v>
      </c>
      <c r="E194" s="10" t="s">
        <v>51</v>
      </c>
      <c r="F194" s="10" t="s">
        <v>616</v>
      </c>
      <c r="G194" s="11"/>
      <c r="H194" s="10" t="s">
        <v>1714</v>
      </c>
      <c r="I194" s="10" t="s">
        <v>53</v>
      </c>
      <c r="J194" s="10" t="s">
        <v>54</v>
      </c>
      <c r="K194" s="11"/>
      <c r="L194" s="10" t="s">
        <v>1692</v>
      </c>
      <c r="M194" s="11"/>
      <c r="N194" s="10" t="s">
        <v>461</v>
      </c>
      <c r="O194" s="11"/>
      <c r="P194" s="11"/>
      <c r="Q194" s="10" t="s">
        <v>75</v>
      </c>
      <c r="R194" s="11"/>
      <c r="S194" s="10" t="s">
        <v>620</v>
      </c>
      <c r="T194" s="10" t="s">
        <v>621</v>
      </c>
      <c r="U194" s="10" t="s">
        <v>622</v>
      </c>
      <c r="V194" s="11"/>
      <c r="W194" s="10" t="s">
        <v>1693</v>
      </c>
      <c r="X194" s="10" t="s">
        <v>80</v>
      </c>
      <c r="Y194" s="10" t="s">
        <v>80</v>
      </c>
      <c r="Z194" s="10" t="s">
        <v>1715</v>
      </c>
      <c r="AA194" s="10" t="s">
        <v>1716</v>
      </c>
      <c r="AB194" s="11"/>
      <c r="AC194" s="11"/>
      <c r="AD194" s="11"/>
      <c r="AE194" s="11"/>
      <c r="AF194" s="12">
        <v>4017</v>
      </c>
      <c r="AG194" s="11"/>
      <c r="AH194" s="10" t="s">
        <v>1696</v>
      </c>
      <c r="AI194" s="10" t="s">
        <v>1190</v>
      </c>
      <c r="AJ194" s="10" t="s">
        <v>1698</v>
      </c>
      <c r="AK194" s="10" t="s">
        <v>1717</v>
      </c>
      <c r="AL194" s="11"/>
      <c r="AM194" s="11"/>
      <c r="AN194" s="11"/>
      <c r="AO194" s="11"/>
      <c r="AP194" s="11"/>
      <c r="AQ194" s="11"/>
      <c r="AR194" s="10" t="s">
        <v>1718</v>
      </c>
      <c r="AS194" s="10" t="s">
        <v>66</v>
      </c>
      <c r="AT194" s="10" t="s">
        <v>53</v>
      </c>
    </row>
    <row r="195" spans="1:46" ht="20" customHeight="1" x14ac:dyDescent="0.15">
      <c r="A195" s="8" t="s">
        <v>1719</v>
      </c>
      <c r="B195" s="9" t="s">
        <v>1720</v>
      </c>
      <c r="C195" s="10" t="s">
        <v>1721</v>
      </c>
      <c r="D195" s="10" t="s">
        <v>1722</v>
      </c>
      <c r="E195" s="10" t="s">
        <v>51</v>
      </c>
      <c r="F195" s="10" t="s">
        <v>616</v>
      </c>
      <c r="G195" s="11"/>
      <c r="H195" s="10" t="s">
        <v>1723</v>
      </c>
      <c r="I195" s="10" t="s">
        <v>53</v>
      </c>
      <c r="J195" s="10" t="s">
        <v>54</v>
      </c>
      <c r="K195" s="11"/>
      <c r="L195" s="10" t="s">
        <v>1692</v>
      </c>
      <c r="M195" s="11"/>
      <c r="N195" s="10" t="s">
        <v>461</v>
      </c>
      <c r="O195" s="11"/>
      <c r="P195" s="11"/>
      <c r="Q195" s="10" t="s">
        <v>75</v>
      </c>
      <c r="R195" s="11"/>
      <c r="S195" s="10" t="s">
        <v>620</v>
      </c>
      <c r="T195" s="10" t="s">
        <v>621</v>
      </c>
      <c r="U195" s="10" t="s">
        <v>622</v>
      </c>
      <c r="V195" s="11"/>
      <c r="W195" s="10" t="s">
        <v>1693</v>
      </c>
      <c r="X195" s="10" t="s">
        <v>80</v>
      </c>
      <c r="Y195" s="10" t="s">
        <v>80</v>
      </c>
      <c r="Z195" s="10" t="s">
        <v>1724</v>
      </c>
      <c r="AA195" s="10" t="s">
        <v>1725</v>
      </c>
      <c r="AB195" s="11"/>
      <c r="AC195" s="11"/>
      <c r="AD195" s="11"/>
      <c r="AE195" s="11"/>
      <c r="AF195" s="12">
        <v>23436</v>
      </c>
      <c r="AG195" s="11"/>
      <c r="AH195" s="10" t="s">
        <v>1696</v>
      </c>
      <c r="AI195" s="10" t="s">
        <v>1726</v>
      </c>
      <c r="AJ195" s="10" t="s">
        <v>1698</v>
      </c>
      <c r="AK195" s="10" t="s">
        <v>1727</v>
      </c>
      <c r="AL195" s="11"/>
      <c r="AM195" s="11"/>
      <c r="AN195" s="11"/>
      <c r="AO195" s="11"/>
      <c r="AP195" s="11"/>
      <c r="AQ195" s="11"/>
      <c r="AR195" s="10" t="s">
        <v>1728</v>
      </c>
      <c r="AS195" s="10" t="s">
        <v>66</v>
      </c>
      <c r="AT195" s="10" t="s">
        <v>53</v>
      </c>
    </row>
    <row r="196" spans="1:46" ht="20" customHeight="1" x14ac:dyDescent="0.15">
      <c r="A196" s="8" t="s">
        <v>1729</v>
      </c>
      <c r="B196" s="9" t="s">
        <v>1730</v>
      </c>
      <c r="C196" s="10" t="s">
        <v>1731</v>
      </c>
      <c r="D196" s="10" t="s">
        <v>1732</v>
      </c>
      <c r="E196" s="10" t="s">
        <v>51</v>
      </c>
      <c r="F196" s="10" t="s">
        <v>616</v>
      </c>
      <c r="G196" s="11"/>
      <c r="H196" s="10" t="s">
        <v>561</v>
      </c>
      <c r="I196" s="10" t="s">
        <v>53</v>
      </c>
      <c r="J196" s="10" t="s">
        <v>54</v>
      </c>
      <c r="K196" s="11"/>
      <c r="L196" s="10" t="s">
        <v>1692</v>
      </c>
      <c r="M196" s="11"/>
      <c r="N196" s="10" t="s">
        <v>461</v>
      </c>
      <c r="O196" s="11"/>
      <c r="P196" s="11"/>
      <c r="Q196" s="10" t="s">
        <v>75</v>
      </c>
      <c r="R196" s="11"/>
      <c r="S196" s="10" t="s">
        <v>620</v>
      </c>
      <c r="T196" s="10" t="s">
        <v>621</v>
      </c>
      <c r="U196" s="10" t="s">
        <v>622</v>
      </c>
      <c r="V196" s="11"/>
      <c r="W196" s="10" t="s">
        <v>1693</v>
      </c>
      <c r="X196" s="10" t="s">
        <v>80</v>
      </c>
      <c r="Y196" s="10" t="s">
        <v>80</v>
      </c>
      <c r="Z196" s="10" t="s">
        <v>1733</v>
      </c>
      <c r="AA196" s="10" t="s">
        <v>1734</v>
      </c>
      <c r="AB196" s="11"/>
      <c r="AC196" s="11"/>
      <c r="AD196" s="11"/>
      <c r="AE196" s="11"/>
      <c r="AF196" s="12">
        <v>6409</v>
      </c>
      <c r="AG196" s="11"/>
      <c r="AH196" s="10" t="s">
        <v>1696</v>
      </c>
      <c r="AI196" s="10" t="s">
        <v>1735</v>
      </c>
      <c r="AJ196" s="10" t="s">
        <v>1698</v>
      </c>
      <c r="AK196" s="10" t="s">
        <v>1736</v>
      </c>
      <c r="AL196" s="11"/>
      <c r="AM196" s="11"/>
      <c r="AN196" s="11"/>
      <c r="AO196" s="11"/>
      <c r="AP196" s="11"/>
      <c r="AQ196" s="11"/>
      <c r="AR196" s="10" t="s">
        <v>1737</v>
      </c>
      <c r="AS196" s="10" t="s">
        <v>66</v>
      </c>
      <c r="AT196" s="10" t="s">
        <v>53</v>
      </c>
    </row>
    <row r="197" spans="1:46" ht="20" customHeight="1" x14ac:dyDescent="0.15">
      <c r="A197" s="8" t="s">
        <v>1738</v>
      </c>
      <c r="B197" s="9" t="s">
        <v>1739</v>
      </c>
      <c r="C197" s="10" t="s">
        <v>1740</v>
      </c>
      <c r="D197" s="10" t="s">
        <v>1741</v>
      </c>
      <c r="E197" s="10" t="s">
        <v>51</v>
      </c>
      <c r="F197" s="10" t="s">
        <v>616</v>
      </c>
      <c r="G197" s="11"/>
      <c r="H197" s="10" t="s">
        <v>568</v>
      </c>
      <c r="I197" s="10" t="s">
        <v>53</v>
      </c>
      <c r="J197" s="10" t="s">
        <v>54</v>
      </c>
      <c r="K197" s="11"/>
      <c r="L197" s="10" t="s">
        <v>1692</v>
      </c>
      <c r="M197" s="11"/>
      <c r="N197" s="10" t="s">
        <v>461</v>
      </c>
      <c r="O197" s="11"/>
      <c r="P197" s="11"/>
      <c r="Q197" s="10" t="s">
        <v>75</v>
      </c>
      <c r="R197" s="11"/>
      <c r="S197" s="10" t="s">
        <v>620</v>
      </c>
      <c r="T197" s="10" t="s">
        <v>621</v>
      </c>
      <c r="U197" s="10" t="s">
        <v>622</v>
      </c>
      <c r="V197" s="11"/>
      <c r="W197" s="10" t="s">
        <v>1693</v>
      </c>
      <c r="X197" s="10" t="s">
        <v>80</v>
      </c>
      <c r="Y197" s="10" t="s">
        <v>80</v>
      </c>
      <c r="Z197" s="10" t="s">
        <v>1742</v>
      </c>
      <c r="AA197" s="10" t="s">
        <v>1743</v>
      </c>
      <c r="AB197" s="11"/>
      <c r="AC197" s="11"/>
      <c r="AD197" s="11"/>
      <c r="AE197" s="11"/>
      <c r="AF197" s="12">
        <v>7643</v>
      </c>
      <c r="AG197" s="11"/>
      <c r="AH197" s="10" t="s">
        <v>1696</v>
      </c>
      <c r="AI197" s="10" t="s">
        <v>1190</v>
      </c>
      <c r="AJ197" s="10" t="s">
        <v>1698</v>
      </c>
      <c r="AK197" s="10" t="s">
        <v>1744</v>
      </c>
      <c r="AL197" s="11"/>
      <c r="AM197" s="11"/>
      <c r="AN197" s="11"/>
      <c r="AO197" s="11"/>
      <c r="AP197" s="11"/>
      <c r="AQ197" s="11"/>
      <c r="AR197" s="10" t="s">
        <v>1116</v>
      </c>
      <c r="AS197" s="10" t="s">
        <v>66</v>
      </c>
      <c r="AT197" s="10" t="s">
        <v>53</v>
      </c>
    </row>
    <row r="198" spans="1:46" ht="20" customHeight="1" x14ac:dyDescent="0.15">
      <c r="A198" s="8" t="s">
        <v>1745</v>
      </c>
      <c r="B198" s="9" t="s">
        <v>1746</v>
      </c>
      <c r="C198" s="10" t="s">
        <v>1747</v>
      </c>
      <c r="D198" s="10" t="s">
        <v>1748</v>
      </c>
      <c r="E198" s="10" t="s">
        <v>51</v>
      </c>
      <c r="F198" s="10" t="s">
        <v>616</v>
      </c>
      <c r="G198" s="11"/>
      <c r="H198" s="10" t="s">
        <v>1749</v>
      </c>
      <c r="I198" s="10" t="s">
        <v>53</v>
      </c>
      <c r="J198" s="10" t="s">
        <v>54</v>
      </c>
      <c r="K198" s="11"/>
      <c r="L198" s="10" t="s">
        <v>1692</v>
      </c>
      <c r="M198" s="11"/>
      <c r="N198" s="10" t="s">
        <v>461</v>
      </c>
      <c r="O198" s="11"/>
      <c r="P198" s="11"/>
      <c r="Q198" s="10" t="s">
        <v>75</v>
      </c>
      <c r="R198" s="11"/>
      <c r="S198" s="10" t="s">
        <v>620</v>
      </c>
      <c r="T198" s="10" t="s">
        <v>621</v>
      </c>
      <c r="U198" s="10" t="s">
        <v>622</v>
      </c>
      <c r="V198" s="11"/>
      <c r="W198" s="10" t="s">
        <v>1693</v>
      </c>
      <c r="X198" s="10" t="s">
        <v>80</v>
      </c>
      <c r="Y198" s="10" t="s">
        <v>80</v>
      </c>
      <c r="Z198" s="10" t="s">
        <v>1750</v>
      </c>
      <c r="AA198" s="10" t="s">
        <v>1751</v>
      </c>
      <c r="AB198" s="11"/>
      <c r="AC198" s="11"/>
      <c r="AD198" s="11"/>
      <c r="AE198" s="11"/>
      <c r="AF198" s="12">
        <v>40</v>
      </c>
      <c r="AG198" s="11"/>
      <c r="AH198" s="10" t="s">
        <v>1696</v>
      </c>
      <c r="AI198" s="10" t="s">
        <v>1752</v>
      </c>
      <c r="AJ198" s="10" t="s">
        <v>1698</v>
      </c>
      <c r="AK198" s="10" t="s">
        <v>1753</v>
      </c>
      <c r="AL198" s="11"/>
      <c r="AM198" s="11"/>
      <c r="AN198" s="11"/>
      <c r="AO198" s="11"/>
      <c r="AP198" s="11"/>
      <c r="AQ198" s="11"/>
      <c r="AR198" s="10" t="s">
        <v>1116</v>
      </c>
      <c r="AS198" s="10" t="s">
        <v>66</v>
      </c>
      <c r="AT198" s="10" t="s">
        <v>53</v>
      </c>
    </row>
    <row r="199" spans="1:46" ht="20" customHeight="1" x14ac:dyDescent="0.15">
      <c r="A199" s="8" t="s">
        <v>1754</v>
      </c>
      <c r="B199" s="9" t="s">
        <v>1755</v>
      </c>
      <c r="C199" s="10" t="s">
        <v>1756</v>
      </c>
      <c r="D199" s="10" t="s">
        <v>1757</v>
      </c>
      <c r="E199" s="10" t="s">
        <v>51</v>
      </c>
      <c r="F199" s="10" t="s">
        <v>1758</v>
      </c>
      <c r="G199" s="11"/>
      <c r="H199" s="10" t="s">
        <v>568</v>
      </c>
      <c r="I199" s="10" t="s">
        <v>53</v>
      </c>
      <c r="J199" s="10" t="s">
        <v>54</v>
      </c>
      <c r="K199" s="11"/>
      <c r="L199" s="10" t="s">
        <v>1759</v>
      </c>
      <c r="M199" s="11"/>
      <c r="N199" s="10" t="s">
        <v>1760</v>
      </c>
      <c r="O199" s="11"/>
      <c r="P199" s="11"/>
      <c r="Q199" s="10" t="s">
        <v>1761</v>
      </c>
      <c r="R199" s="11"/>
      <c r="S199" s="10" t="s">
        <v>1762</v>
      </c>
      <c r="T199" s="10" t="s">
        <v>1763</v>
      </c>
      <c r="U199" s="10" t="s">
        <v>1764</v>
      </c>
      <c r="V199" s="11"/>
      <c r="W199" s="10" t="s">
        <v>1765</v>
      </c>
      <c r="X199" s="10" t="s">
        <v>80</v>
      </c>
      <c r="Y199" s="10" t="s">
        <v>80</v>
      </c>
      <c r="Z199" s="10" t="s">
        <v>1766</v>
      </c>
      <c r="AA199" s="10" t="s">
        <v>1767</v>
      </c>
      <c r="AB199" s="11"/>
      <c r="AC199" s="11"/>
      <c r="AD199" s="11"/>
      <c r="AE199" s="11"/>
      <c r="AF199" s="12">
        <v>31262</v>
      </c>
      <c r="AG199" s="11"/>
      <c r="AH199" s="10" t="s">
        <v>1696</v>
      </c>
      <c r="AI199" s="10" t="s">
        <v>1190</v>
      </c>
      <c r="AJ199" s="10" t="s">
        <v>1698</v>
      </c>
      <c r="AK199" s="10" t="s">
        <v>1768</v>
      </c>
      <c r="AL199" s="11"/>
      <c r="AM199" s="11"/>
      <c r="AN199" s="11"/>
      <c r="AO199" s="11"/>
      <c r="AP199" s="11"/>
      <c r="AQ199" s="11"/>
      <c r="AR199" s="10" t="s">
        <v>1769</v>
      </c>
      <c r="AS199" s="10" t="s">
        <v>66</v>
      </c>
      <c r="AT199" s="10" t="s">
        <v>53</v>
      </c>
    </row>
    <row r="200" spans="1:46" ht="20" customHeight="1" x14ac:dyDescent="0.15">
      <c r="A200" s="8" t="s">
        <v>1770</v>
      </c>
      <c r="B200" s="9" t="s">
        <v>1771</v>
      </c>
      <c r="C200" s="10" t="s">
        <v>1772</v>
      </c>
      <c r="D200" s="10" t="s">
        <v>1773</v>
      </c>
      <c r="E200" s="10" t="s">
        <v>51</v>
      </c>
      <c r="F200" s="10" t="s">
        <v>71</v>
      </c>
      <c r="G200" s="11"/>
      <c r="H200" s="10" t="s">
        <v>1774</v>
      </c>
      <c r="I200" s="10" t="s">
        <v>53</v>
      </c>
      <c r="J200" s="10" t="s">
        <v>54</v>
      </c>
      <c r="K200" s="11"/>
      <c r="L200" s="10" t="s">
        <v>1759</v>
      </c>
      <c r="M200" s="11"/>
      <c r="N200" s="10" t="s">
        <v>1760</v>
      </c>
      <c r="O200" s="11"/>
      <c r="P200" s="11"/>
      <c r="Q200" s="11"/>
      <c r="R200" s="11"/>
      <c r="S200" s="10" t="s">
        <v>1775</v>
      </c>
      <c r="T200" s="10" t="s">
        <v>1776</v>
      </c>
      <c r="U200" s="10" t="s">
        <v>1777</v>
      </c>
      <c r="V200" s="11"/>
      <c r="W200" s="10" t="s">
        <v>1778</v>
      </c>
      <c r="X200" s="10" t="s">
        <v>80</v>
      </c>
      <c r="Y200" s="10" t="s">
        <v>80</v>
      </c>
      <c r="Z200" s="10" t="s">
        <v>1779</v>
      </c>
      <c r="AA200" s="10" t="s">
        <v>1780</v>
      </c>
      <c r="AB200" s="11"/>
      <c r="AC200" s="11"/>
      <c r="AD200" s="11"/>
      <c r="AE200" s="11"/>
      <c r="AF200" s="12">
        <v>200</v>
      </c>
      <c r="AG200" s="11"/>
      <c r="AH200" s="10" t="s">
        <v>1696</v>
      </c>
      <c r="AI200" s="10" t="s">
        <v>1335</v>
      </c>
      <c r="AJ200" s="10" t="s">
        <v>1698</v>
      </c>
      <c r="AK200" s="10" t="s">
        <v>1768</v>
      </c>
      <c r="AL200" s="11"/>
      <c r="AM200" s="11"/>
      <c r="AN200" s="11"/>
      <c r="AO200" s="11"/>
      <c r="AP200" s="11"/>
      <c r="AQ200" s="11"/>
      <c r="AR200" s="10" t="s">
        <v>556</v>
      </c>
      <c r="AS200" s="10" t="s">
        <v>66</v>
      </c>
      <c r="AT200" s="10" t="s">
        <v>53</v>
      </c>
    </row>
    <row r="201" spans="1:46" ht="20" hidden="1" customHeight="1" x14ac:dyDescent="0.15">
      <c r="A201" s="8" t="s">
        <v>1781</v>
      </c>
      <c r="B201" s="9" t="s">
        <v>1782</v>
      </c>
      <c r="C201" s="10" t="s">
        <v>1783</v>
      </c>
      <c r="D201" s="10" t="s">
        <v>1784</v>
      </c>
      <c r="E201" s="10" t="s">
        <v>51</v>
      </c>
      <c r="F201" s="10" t="s">
        <v>71</v>
      </c>
      <c r="G201" s="11"/>
      <c r="H201" s="10" t="s">
        <v>1785</v>
      </c>
      <c r="I201" s="10" t="s">
        <v>53</v>
      </c>
      <c r="J201" s="10" t="s">
        <v>54</v>
      </c>
      <c r="K201" s="11"/>
      <c r="L201" s="10" t="s">
        <v>1759</v>
      </c>
      <c r="M201" s="11"/>
      <c r="N201" s="10" t="s">
        <v>1760</v>
      </c>
      <c r="O201" s="11"/>
      <c r="P201" s="11"/>
      <c r="Q201" s="11"/>
      <c r="R201" s="11"/>
      <c r="S201" s="10" t="s">
        <v>1775</v>
      </c>
      <c r="T201" s="10" t="s">
        <v>1776</v>
      </c>
      <c r="U201" s="10" t="s">
        <v>1777</v>
      </c>
      <c r="V201" s="11"/>
      <c r="W201" s="10" t="s">
        <v>1778</v>
      </c>
      <c r="X201" s="10" t="s">
        <v>80</v>
      </c>
      <c r="Y201" s="10" t="s">
        <v>80</v>
      </c>
      <c r="Z201" s="10" t="s">
        <v>1786</v>
      </c>
      <c r="AA201" s="10" t="s">
        <v>1787</v>
      </c>
      <c r="AB201" s="11"/>
      <c r="AC201" s="11"/>
      <c r="AD201" s="11"/>
      <c r="AE201" s="11"/>
      <c r="AF201" s="12">
        <v>220</v>
      </c>
      <c r="AG201" s="11"/>
      <c r="AH201" s="10" t="s">
        <v>1696</v>
      </c>
      <c r="AI201" s="10" t="s">
        <v>1335</v>
      </c>
      <c r="AJ201" s="10" t="s">
        <v>1698</v>
      </c>
      <c r="AK201" s="10" t="s">
        <v>1768</v>
      </c>
      <c r="AL201" s="11"/>
      <c r="AM201" s="11"/>
      <c r="AN201" s="11"/>
      <c r="AO201" s="11"/>
      <c r="AP201" s="11"/>
      <c r="AQ201" s="11"/>
      <c r="AR201" s="10" t="s">
        <v>325</v>
      </c>
      <c r="AS201" s="10" t="s">
        <v>66</v>
      </c>
      <c r="AT201" s="10" t="s">
        <v>53</v>
      </c>
    </row>
    <row r="202" spans="1:46" ht="20" hidden="1" customHeight="1" x14ac:dyDescent="0.15">
      <c r="A202" s="8" t="s">
        <v>1788</v>
      </c>
      <c r="B202" s="9" t="s">
        <v>1789</v>
      </c>
      <c r="C202" s="10" t="s">
        <v>1790</v>
      </c>
      <c r="D202" s="10" t="s">
        <v>1791</v>
      </c>
      <c r="E202" s="10" t="s">
        <v>51</v>
      </c>
      <c r="F202" s="10" t="s">
        <v>71</v>
      </c>
      <c r="G202" s="11"/>
      <c r="H202" s="11"/>
      <c r="I202" s="10" t="s">
        <v>53</v>
      </c>
      <c r="J202" s="10" t="s">
        <v>54</v>
      </c>
      <c r="K202" s="11"/>
      <c r="L202" s="10" t="s">
        <v>1759</v>
      </c>
      <c r="M202" s="11"/>
      <c r="N202" s="10" t="s">
        <v>1760</v>
      </c>
      <c r="O202" s="11"/>
      <c r="P202" s="11"/>
      <c r="Q202" s="11"/>
      <c r="R202" s="11"/>
      <c r="S202" s="10" t="s">
        <v>1775</v>
      </c>
      <c r="T202" s="10" t="s">
        <v>1776</v>
      </c>
      <c r="U202" s="10" t="s">
        <v>1777</v>
      </c>
      <c r="V202" s="11"/>
      <c r="W202" s="10" t="s">
        <v>1778</v>
      </c>
      <c r="X202" s="10" t="s">
        <v>80</v>
      </c>
      <c r="Y202" s="10" t="s">
        <v>80</v>
      </c>
      <c r="Z202" s="10" t="s">
        <v>1792</v>
      </c>
      <c r="AA202" s="10" t="s">
        <v>1793</v>
      </c>
      <c r="AB202" s="11"/>
      <c r="AC202" s="11"/>
      <c r="AD202" s="11"/>
      <c r="AE202" s="11"/>
      <c r="AF202" s="12">
        <v>200</v>
      </c>
      <c r="AG202" s="11"/>
      <c r="AH202" s="10" t="s">
        <v>1696</v>
      </c>
      <c r="AI202" s="10" t="s">
        <v>1335</v>
      </c>
      <c r="AJ202" s="10" t="s">
        <v>1698</v>
      </c>
      <c r="AK202" s="10" t="s">
        <v>1768</v>
      </c>
      <c r="AL202" s="11"/>
      <c r="AM202" s="11"/>
      <c r="AN202" s="11"/>
      <c r="AO202" s="11"/>
      <c r="AP202" s="11"/>
      <c r="AQ202" s="11"/>
      <c r="AR202" s="10" t="s">
        <v>325</v>
      </c>
      <c r="AS202" s="10" t="s">
        <v>66</v>
      </c>
      <c r="AT202" s="10" t="s">
        <v>53</v>
      </c>
    </row>
    <row r="203" spans="1:46" ht="20" hidden="1" customHeight="1" x14ac:dyDescent="0.15">
      <c r="A203" s="8" t="s">
        <v>1794</v>
      </c>
      <c r="B203" s="9" t="s">
        <v>1795</v>
      </c>
      <c r="C203" s="10" t="s">
        <v>1796</v>
      </c>
      <c r="D203" s="10" t="s">
        <v>1797</v>
      </c>
      <c r="E203" s="10" t="s">
        <v>51</v>
      </c>
      <c r="F203" s="10" t="s">
        <v>71</v>
      </c>
      <c r="G203" s="11"/>
      <c r="H203" s="11"/>
      <c r="I203" s="10" t="s">
        <v>53</v>
      </c>
      <c r="J203" s="10" t="s">
        <v>54</v>
      </c>
      <c r="K203" s="11"/>
      <c r="L203" s="10" t="s">
        <v>1759</v>
      </c>
      <c r="M203" s="11"/>
      <c r="N203" s="10" t="s">
        <v>1760</v>
      </c>
      <c r="O203" s="11"/>
      <c r="P203" s="11"/>
      <c r="Q203" s="11"/>
      <c r="R203" s="11"/>
      <c r="S203" s="10" t="s">
        <v>1775</v>
      </c>
      <c r="T203" s="10" t="s">
        <v>1776</v>
      </c>
      <c r="U203" s="10" t="s">
        <v>1777</v>
      </c>
      <c r="V203" s="11"/>
      <c r="W203" s="10" t="s">
        <v>1778</v>
      </c>
      <c r="X203" s="10" t="s">
        <v>80</v>
      </c>
      <c r="Y203" s="10" t="s">
        <v>80</v>
      </c>
      <c r="Z203" s="10" t="s">
        <v>1798</v>
      </c>
      <c r="AA203" s="10" t="s">
        <v>1799</v>
      </c>
      <c r="AB203" s="11"/>
      <c r="AC203" s="11"/>
      <c r="AD203" s="11"/>
      <c r="AE203" s="11"/>
      <c r="AF203" s="12">
        <v>500</v>
      </c>
      <c r="AG203" s="11"/>
      <c r="AH203" s="10" t="s">
        <v>1696</v>
      </c>
      <c r="AI203" s="10" t="s">
        <v>1335</v>
      </c>
      <c r="AJ203" s="10" t="s">
        <v>1698</v>
      </c>
      <c r="AK203" s="10" t="s">
        <v>1768</v>
      </c>
      <c r="AL203" s="11"/>
      <c r="AM203" s="11"/>
      <c r="AN203" s="11"/>
      <c r="AO203" s="11"/>
      <c r="AP203" s="11"/>
      <c r="AQ203" s="11"/>
      <c r="AR203" s="10" t="s">
        <v>325</v>
      </c>
      <c r="AS203" s="10" t="s">
        <v>66</v>
      </c>
      <c r="AT203" s="10" t="s">
        <v>53</v>
      </c>
    </row>
    <row r="204" spans="1:46" ht="20" hidden="1" customHeight="1" x14ac:dyDescent="0.15">
      <c r="A204" s="8" t="s">
        <v>1800</v>
      </c>
      <c r="B204" s="9" t="s">
        <v>1801</v>
      </c>
      <c r="C204" s="10" t="s">
        <v>1802</v>
      </c>
      <c r="D204" s="10" t="s">
        <v>1803</v>
      </c>
      <c r="E204" s="10" t="s">
        <v>51</v>
      </c>
      <c r="F204" s="10" t="s">
        <v>71</v>
      </c>
      <c r="G204" s="11"/>
      <c r="H204" s="10" t="s">
        <v>378</v>
      </c>
      <c r="I204" s="10" t="s">
        <v>53</v>
      </c>
      <c r="J204" s="10" t="s">
        <v>54</v>
      </c>
      <c r="K204" s="11"/>
      <c r="L204" s="10" t="s">
        <v>1759</v>
      </c>
      <c r="M204" s="11"/>
      <c r="N204" s="10" t="s">
        <v>1760</v>
      </c>
      <c r="O204" s="11"/>
      <c r="P204" s="11"/>
      <c r="Q204" s="11"/>
      <c r="R204" s="11"/>
      <c r="S204" s="10" t="s">
        <v>1775</v>
      </c>
      <c r="T204" s="10" t="s">
        <v>1776</v>
      </c>
      <c r="U204" s="10" t="s">
        <v>1777</v>
      </c>
      <c r="V204" s="11"/>
      <c r="W204" s="10" t="s">
        <v>1778</v>
      </c>
      <c r="X204" s="10" t="s">
        <v>80</v>
      </c>
      <c r="Y204" s="10" t="s">
        <v>80</v>
      </c>
      <c r="Z204" s="10" t="s">
        <v>1804</v>
      </c>
      <c r="AA204" s="10" t="s">
        <v>1805</v>
      </c>
      <c r="AB204" s="11"/>
      <c r="AC204" s="11"/>
      <c r="AD204" s="11"/>
      <c r="AE204" s="11"/>
      <c r="AF204" s="12">
        <v>600</v>
      </c>
      <c r="AG204" s="11"/>
      <c r="AH204" s="10" t="s">
        <v>1696</v>
      </c>
      <c r="AI204" s="10" t="s">
        <v>1335</v>
      </c>
      <c r="AJ204" s="10" t="s">
        <v>1698</v>
      </c>
      <c r="AK204" s="10" t="s">
        <v>1768</v>
      </c>
      <c r="AL204" s="11"/>
      <c r="AM204" s="11"/>
      <c r="AN204" s="11"/>
      <c r="AO204" s="11"/>
      <c r="AP204" s="11"/>
      <c r="AQ204" s="11"/>
      <c r="AR204" s="10" t="s">
        <v>325</v>
      </c>
      <c r="AS204" s="10" t="s">
        <v>66</v>
      </c>
      <c r="AT204" s="10" t="s">
        <v>53</v>
      </c>
    </row>
    <row r="205" spans="1:46" ht="20" hidden="1" customHeight="1" x14ac:dyDescent="0.15">
      <c r="A205" s="8" t="s">
        <v>1806</v>
      </c>
      <c r="B205" s="9" t="s">
        <v>1807</v>
      </c>
      <c r="C205" s="10" t="s">
        <v>1808</v>
      </c>
      <c r="D205" s="10" t="s">
        <v>1809</v>
      </c>
      <c r="E205" s="10" t="s">
        <v>51</v>
      </c>
      <c r="F205" s="10" t="s">
        <v>71</v>
      </c>
      <c r="G205" s="11"/>
      <c r="H205" s="10" t="s">
        <v>1289</v>
      </c>
      <c r="I205" s="10" t="s">
        <v>53</v>
      </c>
      <c r="J205" s="10" t="s">
        <v>54</v>
      </c>
      <c r="K205" s="11"/>
      <c r="L205" s="10" t="s">
        <v>1759</v>
      </c>
      <c r="M205" s="11"/>
      <c r="N205" s="10" t="s">
        <v>1760</v>
      </c>
      <c r="O205" s="11"/>
      <c r="P205" s="11"/>
      <c r="Q205" s="11"/>
      <c r="R205" s="11"/>
      <c r="S205" s="10" t="s">
        <v>1775</v>
      </c>
      <c r="T205" s="10" t="s">
        <v>1776</v>
      </c>
      <c r="U205" s="10" t="s">
        <v>1777</v>
      </c>
      <c r="V205" s="11"/>
      <c r="W205" s="10" t="s">
        <v>1778</v>
      </c>
      <c r="X205" s="10" t="s">
        <v>80</v>
      </c>
      <c r="Y205" s="10" t="s">
        <v>80</v>
      </c>
      <c r="Z205" s="10" t="s">
        <v>1810</v>
      </c>
      <c r="AA205" s="10" t="s">
        <v>1811</v>
      </c>
      <c r="AB205" s="11"/>
      <c r="AC205" s="11"/>
      <c r="AD205" s="11"/>
      <c r="AE205" s="11"/>
      <c r="AF205" s="12">
        <v>310</v>
      </c>
      <c r="AG205" s="11"/>
      <c r="AH205" s="10" t="s">
        <v>1696</v>
      </c>
      <c r="AI205" s="10" t="s">
        <v>1335</v>
      </c>
      <c r="AJ205" s="10" t="s">
        <v>1698</v>
      </c>
      <c r="AK205" s="10" t="s">
        <v>1768</v>
      </c>
      <c r="AL205" s="11"/>
      <c r="AM205" s="11"/>
      <c r="AN205" s="11"/>
      <c r="AO205" s="11"/>
      <c r="AP205" s="11"/>
      <c r="AQ205" s="11"/>
      <c r="AR205" s="10" t="s">
        <v>325</v>
      </c>
      <c r="AS205" s="10" t="s">
        <v>66</v>
      </c>
      <c r="AT205" s="10" t="s">
        <v>53</v>
      </c>
    </row>
    <row r="206" spans="1:46" ht="20" hidden="1" customHeight="1" x14ac:dyDescent="0.15">
      <c r="A206" s="8" t="s">
        <v>1812</v>
      </c>
      <c r="B206" s="9" t="s">
        <v>1813</v>
      </c>
      <c r="C206" s="10" t="s">
        <v>1814</v>
      </c>
      <c r="D206" s="10" t="s">
        <v>1815</v>
      </c>
      <c r="E206" s="10" t="s">
        <v>51</v>
      </c>
      <c r="F206" s="10" t="s">
        <v>1816</v>
      </c>
      <c r="G206" s="11"/>
      <c r="H206" s="10" t="s">
        <v>91</v>
      </c>
      <c r="I206" s="10" t="s">
        <v>53</v>
      </c>
      <c r="J206" s="10" t="s">
        <v>54</v>
      </c>
      <c r="K206" s="11"/>
      <c r="L206" s="10" t="s">
        <v>1759</v>
      </c>
      <c r="M206" s="11"/>
      <c r="N206" s="10" t="s">
        <v>1760</v>
      </c>
      <c r="O206" s="11"/>
      <c r="P206" s="11"/>
      <c r="Q206" s="10" t="s">
        <v>75</v>
      </c>
      <c r="R206" s="11"/>
      <c r="S206" s="10" t="s">
        <v>1817</v>
      </c>
      <c r="T206" s="10" t="s">
        <v>1818</v>
      </c>
      <c r="U206" s="10" t="s">
        <v>1819</v>
      </c>
      <c r="V206" s="10" t="s">
        <v>1820</v>
      </c>
      <c r="W206" s="10" t="s">
        <v>1821</v>
      </c>
      <c r="X206" s="10" t="s">
        <v>80</v>
      </c>
      <c r="Y206" s="10" t="s">
        <v>80</v>
      </c>
      <c r="Z206" s="10" t="s">
        <v>1822</v>
      </c>
      <c r="AA206" s="10" t="s">
        <v>1823</v>
      </c>
      <c r="AB206" s="11"/>
      <c r="AC206" s="11"/>
      <c r="AD206" s="10" t="s">
        <v>1824</v>
      </c>
      <c r="AE206" s="11"/>
      <c r="AF206" s="12">
        <v>35000</v>
      </c>
      <c r="AG206" s="11"/>
      <c r="AH206" s="10" t="s">
        <v>1696</v>
      </c>
      <c r="AI206" s="10" t="s">
        <v>1335</v>
      </c>
      <c r="AJ206" s="10" t="s">
        <v>1698</v>
      </c>
      <c r="AK206" s="10" t="s">
        <v>1768</v>
      </c>
      <c r="AL206" s="10" t="s">
        <v>1825</v>
      </c>
      <c r="AM206" s="11"/>
      <c r="AN206" s="11"/>
      <c r="AO206" s="11"/>
      <c r="AP206" s="11"/>
      <c r="AQ206" s="11"/>
      <c r="AR206" s="10" t="s">
        <v>1826</v>
      </c>
      <c r="AS206" s="10" t="s">
        <v>66</v>
      </c>
      <c r="AT206" s="10" t="s">
        <v>53</v>
      </c>
    </row>
    <row r="207" spans="1:46" ht="20" hidden="1" customHeight="1" x14ac:dyDescent="0.15">
      <c r="A207" s="8" t="s">
        <v>1827</v>
      </c>
      <c r="B207" s="9" t="s">
        <v>1828</v>
      </c>
      <c r="C207" s="10" t="s">
        <v>1829</v>
      </c>
      <c r="D207" s="10" t="s">
        <v>1830</v>
      </c>
      <c r="E207" s="10" t="s">
        <v>51</v>
      </c>
      <c r="F207" s="10" t="s">
        <v>1816</v>
      </c>
      <c r="G207" s="11"/>
      <c r="H207" s="10" t="s">
        <v>91</v>
      </c>
      <c r="I207" s="10" t="s">
        <v>53</v>
      </c>
      <c r="J207" s="10" t="s">
        <v>54</v>
      </c>
      <c r="K207" s="11"/>
      <c r="L207" s="10" t="s">
        <v>1759</v>
      </c>
      <c r="M207" s="11"/>
      <c r="N207" s="10" t="s">
        <v>1760</v>
      </c>
      <c r="O207" s="11"/>
      <c r="P207" s="11"/>
      <c r="Q207" s="10" t="s">
        <v>75</v>
      </c>
      <c r="R207" s="11"/>
      <c r="S207" s="10" t="s">
        <v>1817</v>
      </c>
      <c r="T207" s="10" t="s">
        <v>1818</v>
      </c>
      <c r="U207" s="10" t="s">
        <v>1819</v>
      </c>
      <c r="V207" s="11"/>
      <c r="W207" s="10" t="s">
        <v>1821</v>
      </c>
      <c r="X207" s="10" t="s">
        <v>80</v>
      </c>
      <c r="Y207" s="10" t="s">
        <v>80</v>
      </c>
      <c r="Z207" s="10" t="s">
        <v>1831</v>
      </c>
      <c r="AA207" s="10" t="s">
        <v>1832</v>
      </c>
      <c r="AB207" s="11"/>
      <c r="AC207" s="11"/>
      <c r="AD207" s="11"/>
      <c r="AE207" s="11"/>
      <c r="AF207" s="12">
        <v>48300</v>
      </c>
      <c r="AG207" s="11"/>
      <c r="AH207" s="10" t="s">
        <v>508</v>
      </c>
      <c r="AI207" s="10" t="s">
        <v>1335</v>
      </c>
      <c r="AJ207" s="10" t="s">
        <v>1833</v>
      </c>
      <c r="AK207" s="10" t="s">
        <v>1834</v>
      </c>
      <c r="AL207" s="11"/>
      <c r="AM207" s="11"/>
      <c r="AN207" s="11"/>
      <c r="AO207" s="11"/>
      <c r="AP207" s="11"/>
      <c r="AQ207" s="11"/>
      <c r="AR207" s="10" t="s">
        <v>1835</v>
      </c>
      <c r="AS207" s="10" t="s">
        <v>66</v>
      </c>
      <c r="AT207" s="10" t="s">
        <v>53</v>
      </c>
    </row>
    <row r="208" spans="1:46" ht="20" hidden="1" customHeight="1" x14ac:dyDescent="0.15">
      <c r="A208" s="8" t="s">
        <v>1836</v>
      </c>
      <c r="B208" s="9" t="s">
        <v>1837</v>
      </c>
      <c r="C208" s="10" t="s">
        <v>1838</v>
      </c>
      <c r="D208" s="10" t="s">
        <v>1839</v>
      </c>
      <c r="E208" s="10" t="s">
        <v>51</v>
      </c>
      <c r="F208" s="10" t="s">
        <v>1816</v>
      </c>
      <c r="G208" s="11"/>
      <c r="H208" s="10" t="s">
        <v>91</v>
      </c>
      <c r="I208" s="10" t="s">
        <v>53</v>
      </c>
      <c r="J208" s="10" t="s">
        <v>54</v>
      </c>
      <c r="K208" s="11"/>
      <c r="L208" s="10" t="s">
        <v>1759</v>
      </c>
      <c r="M208" s="11"/>
      <c r="N208" s="10" t="s">
        <v>1760</v>
      </c>
      <c r="O208" s="11"/>
      <c r="P208" s="11"/>
      <c r="Q208" s="10" t="s">
        <v>75</v>
      </c>
      <c r="R208" s="11"/>
      <c r="S208" s="10" t="s">
        <v>1817</v>
      </c>
      <c r="T208" s="10" t="s">
        <v>1818</v>
      </c>
      <c r="U208" s="10" t="s">
        <v>1819</v>
      </c>
      <c r="V208" s="11"/>
      <c r="W208" s="10" t="s">
        <v>1821</v>
      </c>
      <c r="X208" s="10" t="s">
        <v>80</v>
      </c>
      <c r="Y208" s="10" t="s">
        <v>80</v>
      </c>
      <c r="Z208" s="10" t="s">
        <v>1840</v>
      </c>
      <c r="AA208" s="10" t="s">
        <v>1841</v>
      </c>
      <c r="AB208" s="11"/>
      <c r="AC208" s="11"/>
      <c r="AD208" s="11"/>
      <c r="AE208" s="11"/>
      <c r="AF208" s="12">
        <v>1085</v>
      </c>
      <c r="AG208" s="11"/>
      <c r="AH208" s="10" t="s">
        <v>538</v>
      </c>
      <c r="AI208" s="10" t="s">
        <v>1335</v>
      </c>
      <c r="AJ208" s="10" t="s">
        <v>1842</v>
      </c>
      <c r="AK208" s="10" t="s">
        <v>1843</v>
      </c>
      <c r="AL208" s="11"/>
      <c r="AM208" s="11"/>
      <c r="AN208" s="11"/>
      <c r="AO208" s="11"/>
      <c r="AP208" s="11"/>
      <c r="AQ208" s="11"/>
      <c r="AR208" s="10" t="s">
        <v>1844</v>
      </c>
      <c r="AS208" s="10" t="s">
        <v>66</v>
      </c>
      <c r="AT208" s="10" t="s">
        <v>53</v>
      </c>
    </row>
    <row r="209" spans="1:46" ht="20" hidden="1" customHeight="1" x14ac:dyDescent="0.15">
      <c r="A209" s="8" t="s">
        <v>1845</v>
      </c>
      <c r="B209" s="9" t="s">
        <v>1846</v>
      </c>
      <c r="C209" s="10" t="s">
        <v>1847</v>
      </c>
      <c r="D209" s="10" t="s">
        <v>1848</v>
      </c>
      <c r="E209" s="10" t="s">
        <v>51</v>
      </c>
      <c r="F209" s="10" t="s">
        <v>1816</v>
      </c>
      <c r="G209" s="11"/>
      <c r="H209" s="10" t="s">
        <v>1849</v>
      </c>
      <c r="I209" s="10" t="s">
        <v>53</v>
      </c>
      <c r="J209" s="10" t="s">
        <v>54</v>
      </c>
      <c r="K209" s="11"/>
      <c r="L209" s="10" t="s">
        <v>1759</v>
      </c>
      <c r="M209" s="11"/>
      <c r="N209" s="10" t="s">
        <v>1760</v>
      </c>
      <c r="O209" s="11"/>
      <c r="P209" s="11"/>
      <c r="Q209" s="10" t="s">
        <v>75</v>
      </c>
      <c r="R209" s="11"/>
      <c r="S209" s="10" t="s">
        <v>1817</v>
      </c>
      <c r="T209" s="10" t="s">
        <v>1818</v>
      </c>
      <c r="U209" s="10" t="s">
        <v>1819</v>
      </c>
      <c r="V209" s="11"/>
      <c r="W209" s="10" t="s">
        <v>1821</v>
      </c>
      <c r="X209" s="10" t="s">
        <v>80</v>
      </c>
      <c r="Y209" s="10" t="s">
        <v>80</v>
      </c>
      <c r="Z209" s="10" t="s">
        <v>1850</v>
      </c>
      <c r="AA209" s="10" t="s">
        <v>1851</v>
      </c>
      <c r="AB209" s="11"/>
      <c r="AC209" s="11"/>
      <c r="AD209" s="11"/>
      <c r="AE209" s="11"/>
      <c r="AF209" s="12">
        <v>1351</v>
      </c>
      <c r="AG209" s="11"/>
      <c r="AH209" s="10" t="s">
        <v>538</v>
      </c>
      <c r="AI209" s="10" t="s">
        <v>1335</v>
      </c>
      <c r="AJ209" s="10" t="s">
        <v>1852</v>
      </c>
      <c r="AK209" s="10" t="s">
        <v>1843</v>
      </c>
      <c r="AL209" s="11"/>
      <c r="AM209" s="11"/>
      <c r="AN209" s="11"/>
      <c r="AO209" s="11"/>
      <c r="AP209" s="11"/>
      <c r="AQ209" s="11"/>
      <c r="AR209" s="10" t="s">
        <v>1835</v>
      </c>
      <c r="AS209" s="10" t="s">
        <v>66</v>
      </c>
      <c r="AT209" s="10" t="s">
        <v>53</v>
      </c>
    </row>
    <row r="210" spans="1:46" ht="20" customHeight="1" x14ac:dyDescent="0.15">
      <c r="A210" s="8" t="s">
        <v>1853</v>
      </c>
      <c r="B210" s="9" t="s">
        <v>1854</v>
      </c>
      <c r="C210" s="10" t="s">
        <v>1855</v>
      </c>
      <c r="D210" s="10" t="s">
        <v>1856</v>
      </c>
      <c r="E210" s="10" t="s">
        <v>51</v>
      </c>
      <c r="F210" s="10" t="s">
        <v>1816</v>
      </c>
      <c r="G210" s="11"/>
      <c r="H210" s="10" t="s">
        <v>72</v>
      </c>
      <c r="I210" s="10" t="s">
        <v>53</v>
      </c>
      <c r="J210" s="10" t="s">
        <v>54</v>
      </c>
      <c r="K210" s="11"/>
      <c r="L210" s="10" t="s">
        <v>1759</v>
      </c>
      <c r="M210" s="11"/>
      <c r="N210" s="11"/>
      <c r="O210" s="11"/>
      <c r="P210" s="11"/>
      <c r="Q210" s="10" t="s">
        <v>75</v>
      </c>
      <c r="R210" s="11"/>
      <c r="S210" s="10" t="s">
        <v>1817</v>
      </c>
      <c r="T210" s="10" t="s">
        <v>1818</v>
      </c>
      <c r="U210" s="10" t="s">
        <v>1819</v>
      </c>
      <c r="V210" s="11"/>
      <c r="W210" s="10" t="s">
        <v>1821</v>
      </c>
      <c r="X210" s="10" t="s">
        <v>80</v>
      </c>
      <c r="Y210" s="10" t="s">
        <v>80</v>
      </c>
      <c r="Z210" s="10" t="s">
        <v>1857</v>
      </c>
      <c r="AA210" s="10" t="s">
        <v>1858</v>
      </c>
      <c r="AB210" s="11"/>
      <c r="AC210" s="11"/>
      <c r="AD210" s="11"/>
      <c r="AE210" s="11"/>
      <c r="AF210" s="12">
        <v>17644</v>
      </c>
      <c r="AG210" s="11"/>
      <c r="AH210" s="10" t="s">
        <v>538</v>
      </c>
      <c r="AI210" s="10" t="s">
        <v>1335</v>
      </c>
      <c r="AJ210" s="10" t="s">
        <v>1859</v>
      </c>
      <c r="AK210" s="10" t="s">
        <v>1860</v>
      </c>
      <c r="AL210" s="11"/>
      <c r="AM210" s="11"/>
      <c r="AN210" s="11"/>
      <c r="AO210" s="11"/>
      <c r="AP210" s="11"/>
      <c r="AQ210" s="11"/>
      <c r="AR210" s="10" t="s">
        <v>1861</v>
      </c>
      <c r="AS210" s="10" t="s">
        <v>66</v>
      </c>
      <c r="AT210" s="10" t="s">
        <v>53</v>
      </c>
    </row>
    <row r="211" spans="1:46" ht="20" customHeight="1" x14ac:dyDescent="0.15">
      <c r="A211" s="8" t="s">
        <v>1862</v>
      </c>
      <c r="B211" s="9" t="s">
        <v>1863</v>
      </c>
      <c r="C211" s="10" t="s">
        <v>1864</v>
      </c>
      <c r="D211" s="10" t="s">
        <v>1865</v>
      </c>
      <c r="E211" s="10" t="s">
        <v>51</v>
      </c>
      <c r="F211" s="10" t="s">
        <v>1816</v>
      </c>
      <c r="G211" s="11"/>
      <c r="H211" s="10" t="s">
        <v>239</v>
      </c>
      <c r="I211" s="10" t="s">
        <v>53</v>
      </c>
      <c r="J211" s="10" t="s">
        <v>54</v>
      </c>
      <c r="K211" s="11"/>
      <c r="L211" s="10" t="s">
        <v>1759</v>
      </c>
      <c r="M211" s="11"/>
      <c r="N211" s="10" t="s">
        <v>1760</v>
      </c>
      <c r="O211" s="11"/>
      <c r="P211" s="11"/>
      <c r="Q211" s="10" t="s">
        <v>75</v>
      </c>
      <c r="R211" s="11"/>
      <c r="S211" s="10" t="s">
        <v>1817</v>
      </c>
      <c r="T211" s="10" t="s">
        <v>1818</v>
      </c>
      <c r="U211" s="10" t="s">
        <v>1819</v>
      </c>
      <c r="V211" s="11"/>
      <c r="W211" s="10" t="s">
        <v>1821</v>
      </c>
      <c r="X211" s="10" t="s">
        <v>80</v>
      </c>
      <c r="Y211" s="10" t="s">
        <v>80</v>
      </c>
      <c r="Z211" s="10" t="s">
        <v>1866</v>
      </c>
      <c r="AA211" s="10" t="s">
        <v>1867</v>
      </c>
      <c r="AB211" s="11"/>
      <c r="AC211" s="11"/>
      <c r="AD211" s="11"/>
      <c r="AE211" s="11"/>
      <c r="AF211" s="12">
        <v>33152</v>
      </c>
      <c r="AG211" s="11"/>
      <c r="AH211" s="10" t="s">
        <v>1868</v>
      </c>
      <c r="AI211" s="10" t="s">
        <v>1335</v>
      </c>
      <c r="AJ211" s="10" t="s">
        <v>1869</v>
      </c>
      <c r="AK211" s="10" t="s">
        <v>1870</v>
      </c>
      <c r="AL211" s="11"/>
      <c r="AM211" s="11"/>
      <c r="AN211" s="11"/>
      <c r="AO211" s="11"/>
      <c r="AP211" s="11"/>
      <c r="AQ211" s="11"/>
      <c r="AR211" s="10" t="s">
        <v>1871</v>
      </c>
      <c r="AS211" s="10" t="s">
        <v>66</v>
      </c>
      <c r="AT211" s="10" t="s">
        <v>53</v>
      </c>
    </row>
    <row r="212" spans="1:46" ht="20" customHeight="1" x14ac:dyDescent="0.15">
      <c r="A212" s="8" t="s">
        <v>1872</v>
      </c>
      <c r="B212" s="9" t="s">
        <v>1873</v>
      </c>
      <c r="C212" s="10" t="s">
        <v>1874</v>
      </c>
      <c r="D212" s="10" t="s">
        <v>1875</v>
      </c>
      <c r="E212" s="10" t="s">
        <v>51</v>
      </c>
      <c r="F212" s="10" t="s">
        <v>1816</v>
      </c>
      <c r="G212" s="11"/>
      <c r="H212" s="10" t="s">
        <v>1683</v>
      </c>
      <c r="I212" s="10" t="s">
        <v>53</v>
      </c>
      <c r="J212" s="10" t="s">
        <v>54</v>
      </c>
      <c r="K212" s="11"/>
      <c r="L212" s="10" t="s">
        <v>1759</v>
      </c>
      <c r="M212" s="11"/>
      <c r="N212" s="10" t="s">
        <v>1760</v>
      </c>
      <c r="O212" s="11"/>
      <c r="P212" s="11"/>
      <c r="Q212" s="10" t="s">
        <v>75</v>
      </c>
      <c r="R212" s="11"/>
      <c r="S212" s="10" t="s">
        <v>1817</v>
      </c>
      <c r="T212" s="10" t="s">
        <v>1818</v>
      </c>
      <c r="U212" s="10" t="s">
        <v>1819</v>
      </c>
      <c r="V212" s="11"/>
      <c r="W212" s="10" t="s">
        <v>1821</v>
      </c>
      <c r="X212" s="10" t="s">
        <v>80</v>
      </c>
      <c r="Y212" s="10" t="s">
        <v>80</v>
      </c>
      <c r="Z212" s="10" t="s">
        <v>1876</v>
      </c>
      <c r="AA212" s="10" t="s">
        <v>1877</v>
      </c>
      <c r="AB212" s="11"/>
      <c r="AC212" s="11"/>
      <c r="AD212" s="11"/>
      <c r="AE212" s="11"/>
      <c r="AF212" s="12">
        <v>8620</v>
      </c>
      <c r="AG212" s="11"/>
      <c r="AH212" s="10" t="s">
        <v>1878</v>
      </c>
      <c r="AI212" s="10" t="s">
        <v>1335</v>
      </c>
      <c r="AJ212" s="10" t="s">
        <v>1879</v>
      </c>
      <c r="AK212" s="10" t="s">
        <v>1880</v>
      </c>
      <c r="AL212" s="11"/>
      <c r="AM212" s="11"/>
      <c r="AN212" s="11"/>
      <c r="AO212" s="11"/>
      <c r="AP212" s="11"/>
      <c r="AQ212" s="11"/>
      <c r="AR212" s="10" t="s">
        <v>1881</v>
      </c>
      <c r="AS212" s="10" t="s">
        <v>66</v>
      </c>
      <c r="AT212" s="10" t="s">
        <v>53</v>
      </c>
    </row>
    <row r="213" spans="1:46" ht="20" hidden="1" customHeight="1" x14ac:dyDescent="0.15">
      <c r="A213" s="8" t="s">
        <v>1882</v>
      </c>
      <c r="B213" s="9" t="s">
        <v>1883</v>
      </c>
      <c r="C213" s="10" t="s">
        <v>1884</v>
      </c>
      <c r="D213" s="10" t="s">
        <v>1885</v>
      </c>
      <c r="E213" s="10" t="s">
        <v>51</v>
      </c>
      <c r="F213" s="10" t="s">
        <v>1816</v>
      </c>
      <c r="G213" s="11"/>
      <c r="H213" s="10" t="s">
        <v>91</v>
      </c>
      <c r="I213" s="10" t="s">
        <v>53</v>
      </c>
      <c r="J213" s="10" t="s">
        <v>54</v>
      </c>
      <c r="K213" s="11"/>
      <c r="L213" s="10" t="s">
        <v>1759</v>
      </c>
      <c r="M213" s="11"/>
      <c r="N213" s="10" t="s">
        <v>1760</v>
      </c>
      <c r="O213" s="11"/>
      <c r="P213" s="11"/>
      <c r="Q213" s="10" t="s">
        <v>75</v>
      </c>
      <c r="R213" s="11"/>
      <c r="S213" s="10" t="s">
        <v>1817</v>
      </c>
      <c r="T213" s="10" t="s">
        <v>1818</v>
      </c>
      <c r="U213" s="10" t="s">
        <v>1819</v>
      </c>
      <c r="V213" s="11"/>
      <c r="W213" s="10" t="s">
        <v>1821</v>
      </c>
      <c r="X213" s="10" t="s">
        <v>80</v>
      </c>
      <c r="Y213" s="10" t="s">
        <v>80</v>
      </c>
      <c r="Z213" s="10" t="s">
        <v>1886</v>
      </c>
      <c r="AA213" s="10" t="s">
        <v>1887</v>
      </c>
      <c r="AB213" s="11"/>
      <c r="AC213" s="11"/>
      <c r="AD213" s="11"/>
      <c r="AE213" s="11"/>
      <c r="AF213" s="12">
        <v>450</v>
      </c>
      <c r="AG213" s="11"/>
      <c r="AH213" s="10" t="s">
        <v>593</v>
      </c>
      <c r="AI213" s="10" t="s">
        <v>1335</v>
      </c>
      <c r="AJ213" s="10" t="s">
        <v>1888</v>
      </c>
      <c r="AK213" s="10" t="s">
        <v>1889</v>
      </c>
      <c r="AL213" s="11"/>
      <c r="AM213" s="11"/>
      <c r="AN213" s="11"/>
      <c r="AO213" s="11"/>
      <c r="AP213" s="11"/>
      <c r="AQ213" s="11"/>
      <c r="AR213" s="10" t="s">
        <v>1835</v>
      </c>
      <c r="AS213" s="10" t="s">
        <v>66</v>
      </c>
      <c r="AT213" s="10" t="s">
        <v>53</v>
      </c>
    </row>
    <row r="214" spans="1:46" ht="20" hidden="1" customHeight="1" x14ac:dyDescent="0.15">
      <c r="A214" s="8" t="s">
        <v>1890</v>
      </c>
      <c r="B214" s="9" t="s">
        <v>1891</v>
      </c>
      <c r="C214" s="10" t="s">
        <v>1892</v>
      </c>
      <c r="D214" s="10" t="s">
        <v>1893</v>
      </c>
      <c r="E214" s="10" t="s">
        <v>51</v>
      </c>
      <c r="F214" s="10" t="s">
        <v>1894</v>
      </c>
      <c r="G214" s="11"/>
      <c r="H214" s="10" t="s">
        <v>91</v>
      </c>
      <c r="I214" s="10" t="s">
        <v>53</v>
      </c>
      <c r="J214" s="10" t="s">
        <v>54</v>
      </c>
      <c r="K214" s="11"/>
      <c r="L214" s="10" t="s">
        <v>1895</v>
      </c>
      <c r="M214" s="11"/>
      <c r="N214" s="10" t="s">
        <v>1760</v>
      </c>
      <c r="O214" s="11"/>
      <c r="P214" s="11"/>
      <c r="Q214" s="10" t="s">
        <v>94</v>
      </c>
      <c r="R214" s="11"/>
      <c r="S214" s="10" t="s">
        <v>1896</v>
      </c>
      <c r="T214" s="10" t="s">
        <v>1897</v>
      </c>
      <c r="U214" s="10" t="s">
        <v>1898</v>
      </c>
      <c r="V214" s="11"/>
      <c r="W214" s="10" t="s">
        <v>1899</v>
      </c>
      <c r="X214" s="10" t="s">
        <v>80</v>
      </c>
      <c r="Y214" s="10" t="s">
        <v>80</v>
      </c>
      <c r="Z214" s="10" t="s">
        <v>1900</v>
      </c>
      <c r="AA214" s="10" t="s">
        <v>1901</v>
      </c>
      <c r="AB214" s="11"/>
      <c r="AC214" s="11"/>
      <c r="AD214" s="11"/>
      <c r="AE214" s="11"/>
      <c r="AF214" s="12">
        <v>5855</v>
      </c>
      <c r="AG214" s="11"/>
      <c r="AH214" s="10" t="s">
        <v>1902</v>
      </c>
      <c r="AI214" s="10" t="s">
        <v>1335</v>
      </c>
      <c r="AJ214" s="11"/>
      <c r="AK214" s="10" t="s">
        <v>1903</v>
      </c>
      <c r="AL214" s="11"/>
      <c r="AM214" s="11"/>
      <c r="AN214" s="11"/>
      <c r="AO214" s="11"/>
      <c r="AP214" s="11"/>
      <c r="AQ214" s="11"/>
      <c r="AR214" s="10" t="s">
        <v>1904</v>
      </c>
      <c r="AS214" s="10" t="s">
        <v>66</v>
      </c>
      <c r="AT214" s="10" t="s">
        <v>53</v>
      </c>
    </row>
    <row r="215" spans="1:46" ht="20" hidden="1" customHeight="1" x14ac:dyDescent="0.15">
      <c r="A215" s="8" t="s">
        <v>1905</v>
      </c>
      <c r="B215" s="9" t="s">
        <v>1906</v>
      </c>
      <c r="C215" s="10" t="s">
        <v>1907</v>
      </c>
      <c r="D215" s="10" t="s">
        <v>1908</v>
      </c>
      <c r="E215" s="10" t="s">
        <v>51</v>
      </c>
      <c r="F215" s="10" t="s">
        <v>1894</v>
      </c>
      <c r="G215" s="11"/>
      <c r="H215" s="10" t="s">
        <v>91</v>
      </c>
      <c r="I215" s="10" t="s">
        <v>53</v>
      </c>
      <c r="J215" s="10" t="s">
        <v>54</v>
      </c>
      <c r="K215" s="11"/>
      <c r="L215" s="10" t="s">
        <v>1909</v>
      </c>
      <c r="M215" s="11"/>
      <c r="N215" s="11"/>
      <c r="O215" s="11"/>
      <c r="P215" s="11"/>
      <c r="Q215" s="10" t="s">
        <v>619</v>
      </c>
      <c r="R215" s="11"/>
      <c r="S215" s="10" t="s">
        <v>1896</v>
      </c>
      <c r="T215" s="10" t="s">
        <v>1897</v>
      </c>
      <c r="U215" s="10" t="s">
        <v>1898</v>
      </c>
      <c r="V215" s="11"/>
      <c r="W215" s="10" t="s">
        <v>1899</v>
      </c>
      <c r="X215" s="10" t="s">
        <v>80</v>
      </c>
      <c r="Y215" s="10" t="s">
        <v>80</v>
      </c>
      <c r="Z215" s="10" t="s">
        <v>1910</v>
      </c>
      <c r="AA215" s="10" t="s">
        <v>1911</v>
      </c>
      <c r="AB215" s="11"/>
      <c r="AC215" s="11"/>
      <c r="AD215" s="11"/>
      <c r="AE215" s="11"/>
      <c r="AF215" s="12">
        <v>139000</v>
      </c>
      <c r="AG215" s="11"/>
      <c r="AH215" s="10" t="s">
        <v>1912</v>
      </c>
      <c r="AI215" s="10" t="s">
        <v>1913</v>
      </c>
      <c r="AJ215" s="11"/>
      <c r="AK215" s="10" t="s">
        <v>1914</v>
      </c>
      <c r="AL215" s="11"/>
      <c r="AM215" s="11"/>
      <c r="AN215" s="11"/>
      <c r="AO215" s="11"/>
      <c r="AP215" s="11"/>
      <c r="AQ215" s="11"/>
      <c r="AR215" s="10" t="s">
        <v>1915</v>
      </c>
      <c r="AS215" s="10" t="s">
        <v>66</v>
      </c>
      <c r="AT215" s="10" t="s">
        <v>53</v>
      </c>
    </row>
    <row r="216" spans="1:46" ht="20" hidden="1" customHeight="1" x14ac:dyDescent="0.15">
      <c r="A216" s="8" t="s">
        <v>1916</v>
      </c>
      <c r="B216" s="9" t="s">
        <v>1917</v>
      </c>
      <c r="C216" s="10" t="s">
        <v>1918</v>
      </c>
      <c r="D216" s="10" t="s">
        <v>1919</v>
      </c>
      <c r="E216" s="10" t="s">
        <v>51</v>
      </c>
      <c r="F216" s="10" t="s">
        <v>1894</v>
      </c>
      <c r="G216" s="11"/>
      <c r="H216" s="10" t="s">
        <v>1920</v>
      </c>
      <c r="I216" s="10" t="s">
        <v>53</v>
      </c>
      <c r="J216" s="10" t="s">
        <v>54</v>
      </c>
      <c r="K216" s="11"/>
      <c r="L216" s="10" t="s">
        <v>1909</v>
      </c>
      <c r="M216" s="11"/>
      <c r="N216" s="11"/>
      <c r="O216" s="11"/>
      <c r="P216" s="11"/>
      <c r="Q216" s="10" t="s">
        <v>1921</v>
      </c>
      <c r="R216" s="11"/>
      <c r="S216" s="10" t="s">
        <v>1896</v>
      </c>
      <c r="T216" s="10" t="s">
        <v>1897</v>
      </c>
      <c r="U216" s="10" t="s">
        <v>1898</v>
      </c>
      <c r="V216" s="11"/>
      <c r="W216" s="10" t="s">
        <v>1899</v>
      </c>
      <c r="X216" s="10" t="s">
        <v>80</v>
      </c>
      <c r="Y216" s="10" t="s">
        <v>80</v>
      </c>
      <c r="Z216" s="10" t="s">
        <v>1922</v>
      </c>
      <c r="AA216" s="10" t="s">
        <v>1923</v>
      </c>
      <c r="AB216" s="11"/>
      <c r="AC216" s="11"/>
      <c r="AD216" s="11"/>
      <c r="AE216" s="11"/>
      <c r="AF216" s="12">
        <v>90000</v>
      </c>
      <c r="AG216" s="11"/>
      <c r="AH216" s="10" t="s">
        <v>1912</v>
      </c>
      <c r="AI216" s="10" t="s">
        <v>1913</v>
      </c>
      <c r="AJ216" s="11"/>
      <c r="AK216" s="10" t="s">
        <v>1914</v>
      </c>
      <c r="AL216" s="11"/>
      <c r="AM216" s="11"/>
      <c r="AN216" s="11"/>
      <c r="AO216" s="11"/>
      <c r="AP216" s="11"/>
      <c r="AQ216" s="11"/>
      <c r="AR216" s="10" t="s">
        <v>1915</v>
      </c>
      <c r="AS216" s="10" t="s">
        <v>66</v>
      </c>
      <c r="AT216" s="10" t="s">
        <v>53</v>
      </c>
    </row>
    <row r="217" spans="1:46" ht="20" hidden="1" customHeight="1" x14ac:dyDescent="0.15">
      <c r="A217" s="8" t="s">
        <v>1924</v>
      </c>
      <c r="B217" s="9" t="s">
        <v>1925</v>
      </c>
      <c r="C217" s="10" t="s">
        <v>1926</v>
      </c>
      <c r="D217" s="10" t="s">
        <v>1927</v>
      </c>
      <c r="E217" s="10" t="s">
        <v>51</v>
      </c>
      <c r="F217" s="10" t="s">
        <v>1928</v>
      </c>
      <c r="G217" s="11"/>
      <c r="H217" s="10" t="s">
        <v>91</v>
      </c>
      <c r="I217" s="10" t="s">
        <v>53</v>
      </c>
      <c r="J217" s="10" t="s">
        <v>54</v>
      </c>
      <c r="K217" s="11"/>
      <c r="L217" s="11"/>
      <c r="M217" s="11"/>
      <c r="N217" s="11"/>
      <c r="O217" s="11"/>
      <c r="P217" s="11"/>
      <c r="Q217" s="10" t="s">
        <v>1929</v>
      </c>
      <c r="R217" s="11"/>
      <c r="S217" s="10" t="s">
        <v>1930</v>
      </c>
      <c r="T217" s="10" t="s">
        <v>1931</v>
      </c>
      <c r="U217" s="10" t="s">
        <v>1932</v>
      </c>
      <c r="V217" s="11"/>
      <c r="W217" s="10" t="s">
        <v>1933</v>
      </c>
      <c r="X217" s="10" t="s">
        <v>80</v>
      </c>
      <c r="Y217" s="10" t="s">
        <v>80</v>
      </c>
      <c r="Z217" s="10" t="s">
        <v>1934</v>
      </c>
      <c r="AA217" s="10" t="s">
        <v>1935</v>
      </c>
      <c r="AB217" s="11"/>
      <c r="AC217" s="11"/>
      <c r="AD217" s="11"/>
      <c r="AE217" s="10" t="s">
        <v>1936</v>
      </c>
      <c r="AF217" s="12">
        <v>251936</v>
      </c>
      <c r="AG217" s="11"/>
      <c r="AH217" s="10" t="s">
        <v>1937</v>
      </c>
      <c r="AI217" s="10" t="s">
        <v>1938</v>
      </c>
      <c r="AJ217" s="11"/>
      <c r="AK217" s="10" t="s">
        <v>1939</v>
      </c>
      <c r="AL217" s="11"/>
      <c r="AM217" s="11"/>
      <c r="AN217" s="11"/>
      <c r="AO217" s="11"/>
      <c r="AP217" s="11"/>
      <c r="AQ217" s="11"/>
      <c r="AR217" s="10" t="s">
        <v>1940</v>
      </c>
      <c r="AS217" s="10" t="s">
        <v>66</v>
      </c>
      <c r="AT217" s="10" t="s">
        <v>53</v>
      </c>
    </row>
    <row r="218" spans="1:46" ht="20" hidden="1" customHeight="1" x14ac:dyDescent="0.15">
      <c r="A218" s="8" t="s">
        <v>1941</v>
      </c>
      <c r="B218" s="9" t="s">
        <v>1942</v>
      </c>
      <c r="C218" s="10" t="s">
        <v>997</v>
      </c>
      <c r="D218" s="10" t="s">
        <v>1943</v>
      </c>
      <c r="E218" s="10" t="s">
        <v>51</v>
      </c>
      <c r="F218" s="10" t="s">
        <v>1928</v>
      </c>
      <c r="G218" s="11"/>
      <c r="H218" s="10" t="s">
        <v>91</v>
      </c>
      <c r="I218" s="10" t="s">
        <v>53</v>
      </c>
      <c r="J218" s="10" t="s">
        <v>54</v>
      </c>
      <c r="K218" s="11"/>
      <c r="L218" s="11"/>
      <c r="M218" s="11"/>
      <c r="N218" s="11"/>
      <c r="O218" s="11"/>
      <c r="P218" s="11"/>
      <c r="Q218" s="10" t="s">
        <v>1944</v>
      </c>
      <c r="R218" s="11"/>
      <c r="S218" s="10" t="s">
        <v>1930</v>
      </c>
      <c r="T218" s="10" t="s">
        <v>1931</v>
      </c>
      <c r="U218" s="10" t="s">
        <v>1932</v>
      </c>
      <c r="V218" s="11"/>
      <c r="W218" s="10" t="s">
        <v>1933</v>
      </c>
      <c r="X218" s="10" t="s">
        <v>80</v>
      </c>
      <c r="Y218" s="10" t="s">
        <v>80</v>
      </c>
      <c r="Z218" s="10" t="s">
        <v>1945</v>
      </c>
      <c r="AA218" s="10" t="s">
        <v>1946</v>
      </c>
      <c r="AB218" s="11"/>
      <c r="AC218" s="11"/>
      <c r="AD218" s="11"/>
      <c r="AE218" s="10" t="s">
        <v>1936</v>
      </c>
      <c r="AF218" s="12">
        <v>18146</v>
      </c>
      <c r="AG218" s="11"/>
      <c r="AH218" s="10" t="s">
        <v>1947</v>
      </c>
      <c r="AI218" s="10" t="s">
        <v>1948</v>
      </c>
      <c r="AJ218" s="11"/>
      <c r="AK218" s="10" t="s">
        <v>1949</v>
      </c>
      <c r="AL218" s="11"/>
      <c r="AM218" s="11"/>
      <c r="AN218" s="11"/>
      <c r="AO218" s="11"/>
      <c r="AP218" s="11"/>
      <c r="AQ218" s="11"/>
      <c r="AR218" s="10" t="s">
        <v>1950</v>
      </c>
      <c r="AS218" s="10" t="s">
        <v>66</v>
      </c>
      <c r="AT218" s="10" t="s">
        <v>53</v>
      </c>
    </row>
    <row r="219" spans="1:46" ht="20" hidden="1" customHeight="1" x14ac:dyDescent="0.15">
      <c r="A219" s="8" t="s">
        <v>1951</v>
      </c>
      <c r="B219" s="9" t="s">
        <v>1952</v>
      </c>
      <c r="C219" s="10" t="s">
        <v>1814</v>
      </c>
      <c r="D219" s="10" t="s">
        <v>1953</v>
      </c>
      <c r="E219" s="10" t="s">
        <v>51</v>
      </c>
      <c r="F219" s="10" t="s">
        <v>1954</v>
      </c>
      <c r="G219" s="11"/>
      <c r="H219" s="10" t="s">
        <v>91</v>
      </c>
      <c r="I219" s="10" t="s">
        <v>53</v>
      </c>
      <c r="J219" s="10" t="s">
        <v>54</v>
      </c>
      <c r="K219" s="11"/>
      <c r="L219" s="10" t="s">
        <v>1955</v>
      </c>
      <c r="M219" s="10" t="s">
        <v>1956</v>
      </c>
      <c r="N219" s="10" t="s">
        <v>1957</v>
      </c>
      <c r="O219" s="11"/>
      <c r="P219" s="11"/>
      <c r="Q219" s="10" t="s">
        <v>1958</v>
      </c>
      <c r="R219" s="11"/>
      <c r="S219" s="10" t="s">
        <v>1959</v>
      </c>
      <c r="T219" s="10" t="s">
        <v>1960</v>
      </c>
      <c r="U219" s="10" t="s">
        <v>1961</v>
      </c>
      <c r="V219" s="11"/>
      <c r="W219" s="10" t="s">
        <v>1962</v>
      </c>
      <c r="X219" s="10" t="s">
        <v>80</v>
      </c>
      <c r="Y219" s="10" t="s">
        <v>80</v>
      </c>
      <c r="Z219" s="10" t="s">
        <v>1963</v>
      </c>
      <c r="AA219" s="10" t="s">
        <v>1964</v>
      </c>
      <c r="AB219" s="11"/>
      <c r="AC219" s="11"/>
      <c r="AD219" s="10" t="s">
        <v>1965</v>
      </c>
      <c r="AE219" s="10" t="s">
        <v>1966</v>
      </c>
      <c r="AF219" s="12">
        <v>35000</v>
      </c>
      <c r="AG219" s="11"/>
      <c r="AH219" s="10" t="s">
        <v>1967</v>
      </c>
      <c r="AI219" s="10" t="s">
        <v>1968</v>
      </c>
      <c r="AJ219" s="10" t="s">
        <v>1969</v>
      </c>
      <c r="AK219" s="10" t="s">
        <v>1970</v>
      </c>
      <c r="AL219" s="10" t="s">
        <v>1960</v>
      </c>
      <c r="AM219" s="11"/>
      <c r="AN219" s="11"/>
      <c r="AO219" s="11"/>
      <c r="AP219" s="11"/>
      <c r="AQ219" s="11"/>
      <c r="AR219" s="10" t="s">
        <v>1971</v>
      </c>
      <c r="AS219" s="10" t="s">
        <v>66</v>
      </c>
      <c r="AT219" s="10" t="s">
        <v>53</v>
      </c>
    </row>
    <row r="220" spans="1:46" ht="20" hidden="1" customHeight="1" x14ac:dyDescent="0.15">
      <c r="A220" s="8" t="s">
        <v>1972</v>
      </c>
      <c r="B220" s="9" t="s">
        <v>1973</v>
      </c>
      <c r="C220" s="10" t="s">
        <v>1974</v>
      </c>
      <c r="D220" s="10" t="s">
        <v>1975</v>
      </c>
      <c r="E220" s="10" t="s">
        <v>51</v>
      </c>
      <c r="F220" s="10" t="s">
        <v>1954</v>
      </c>
      <c r="G220" s="11"/>
      <c r="H220" s="10" t="s">
        <v>91</v>
      </c>
      <c r="I220" s="10" t="s">
        <v>53</v>
      </c>
      <c r="J220" s="10" t="s">
        <v>54</v>
      </c>
      <c r="K220" s="11"/>
      <c r="L220" s="10" t="s">
        <v>1976</v>
      </c>
      <c r="M220" s="11"/>
      <c r="N220" s="11"/>
      <c r="O220" s="11"/>
      <c r="P220" s="11"/>
      <c r="Q220" s="10" t="s">
        <v>107</v>
      </c>
      <c r="R220" s="11"/>
      <c r="S220" s="10" t="s">
        <v>1959</v>
      </c>
      <c r="T220" s="10" t="s">
        <v>1960</v>
      </c>
      <c r="U220" s="10" t="s">
        <v>1961</v>
      </c>
      <c r="V220" s="11"/>
      <c r="W220" s="10" t="s">
        <v>1962</v>
      </c>
      <c r="X220" s="10" t="s">
        <v>80</v>
      </c>
      <c r="Y220" s="10" t="s">
        <v>80</v>
      </c>
      <c r="Z220" s="10" t="s">
        <v>1977</v>
      </c>
      <c r="AA220" s="10" t="s">
        <v>1978</v>
      </c>
      <c r="AB220" s="11"/>
      <c r="AC220" s="11"/>
      <c r="AD220" s="11"/>
      <c r="AE220" s="10" t="s">
        <v>1979</v>
      </c>
      <c r="AF220" s="12">
        <v>14080</v>
      </c>
      <c r="AG220" s="11"/>
      <c r="AH220" s="10" t="s">
        <v>1980</v>
      </c>
      <c r="AI220" s="10" t="s">
        <v>1335</v>
      </c>
      <c r="AJ220" s="10" t="s">
        <v>1969</v>
      </c>
      <c r="AK220" s="10" t="s">
        <v>1981</v>
      </c>
      <c r="AL220" s="11"/>
      <c r="AM220" s="11"/>
      <c r="AN220" s="11"/>
      <c r="AO220" s="11"/>
      <c r="AP220" s="11"/>
      <c r="AQ220" s="11"/>
      <c r="AR220" s="10" t="s">
        <v>1982</v>
      </c>
      <c r="AS220" s="10" t="s">
        <v>66</v>
      </c>
      <c r="AT220" s="10" t="s">
        <v>53</v>
      </c>
    </row>
    <row r="221" spans="1:46" ht="20" hidden="1" customHeight="1" x14ac:dyDescent="0.15">
      <c r="A221" s="8" t="s">
        <v>1983</v>
      </c>
      <c r="B221" s="9" t="s">
        <v>1984</v>
      </c>
      <c r="C221" s="10" t="s">
        <v>1985</v>
      </c>
      <c r="D221" s="10" t="s">
        <v>1986</v>
      </c>
      <c r="E221" s="10" t="s">
        <v>51</v>
      </c>
      <c r="F221" s="10" t="s">
        <v>1954</v>
      </c>
      <c r="G221" s="11"/>
      <c r="H221" s="10" t="s">
        <v>91</v>
      </c>
      <c r="I221" s="10" t="s">
        <v>53</v>
      </c>
      <c r="J221" s="10" t="s">
        <v>54</v>
      </c>
      <c r="K221" s="11"/>
      <c r="L221" s="10" t="s">
        <v>1976</v>
      </c>
      <c r="M221" s="11"/>
      <c r="N221" s="11"/>
      <c r="O221" s="11"/>
      <c r="P221" s="11"/>
      <c r="Q221" s="10" t="s">
        <v>107</v>
      </c>
      <c r="R221" s="11"/>
      <c r="S221" s="10" t="s">
        <v>1959</v>
      </c>
      <c r="T221" s="10" t="s">
        <v>1960</v>
      </c>
      <c r="U221" s="10" t="s">
        <v>1961</v>
      </c>
      <c r="V221" s="11"/>
      <c r="W221" s="10" t="s">
        <v>1962</v>
      </c>
      <c r="X221" s="10" t="s">
        <v>80</v>
      </c>
      <c r="Y221" s="10" t="s">
        <v>80</v>
      </c>
      <c r="Z221" s="10" t="s">
        <v>1987</v>
      </c>
      <c r="AA221" s="10" t="s">
        <v>1988</v>
      </c>
      <c r="AB221" s="11"/>
      <c r="AC221" s="11"/>
      <c r="AD221" s="11"/>
      <c r="AE221" s="10" t="s">
        <v>1979</v>
      </c>
      <c r="AF221" s="12">
        <v>500</v>
      </c>
      <c r="AG221" s="11"/>
      <c r="AH221" s="10" t="s">
        <v>1989</v>
      </c>
      <c r="AI221" s="10" t="s">
        <v>1335</v>
      </c>
      <c r="AJ221" s="10" t="s">
        <v>1969</v>
      </c>
      <c r="AK221" s="10" t="s">
        <v>1990</v>
      </c>
      <c r="AL221" s="11"/>
      <c r="AM221" s="11"/>
      <c r="AN221" s="11"/>
      <c r="AO221" s="11"/>
      <c r="AP221" s="11"/>
      <c r="AQ221" s="11"/>
      <c r="AR221" s="10" t="s">
        <v>1991</v>
      </c>
      <c r="AS221" s="10" t="s">
        <v>66</v>
      </c>
      <c r="AT221" s="10" t="s">
        <v>53</v>
      </c>
    </row>
    <row r="222" spans="1:46" ht="20" hidden="1" customHeight="1" x14ac:dyDescent="0.15">
      <c r="A222" s="8" t="s">
        <v>1992</v>
      </c>
      <c r="B222" s="9" t="s">
        <v>1993</v>
      </c>
      <c r="C222" s="10" t="s">
        <v>1994</v>
      </c>
      <c r="D222" s="10" t="s">
        <v>1995</v>
      </c>
      <c r="E222" s="10" t="s">
        <v>51</v>
      </c>
      <c r="F222" s="10" t="s">
        <v>1954</v>
      </c>
      <c r="G222" s="11"/>
      <c r="H222" s="10" t="s">
        <v>91</v>
      </c>
      <c r="I222" s="10" t="s">
        <v>53</v>
      </c>
      <c r="J222" s="10" t="s">
        <v>54</v>
      </c>
      <c r="K222" s="11"/>
      <c r="L222" s="10" t="s">
        <v>1976</v>
      </c>
      <c r="M222" s="11"/>
      <c r="N222" s="11"/>
      <c r="O222" s="11"/>
      <c r="P222" s="11"/>
      <c r="Q222" s="10" t="s">
        <v>603</v>
      </c>
      <c r="R222" s="11"/>
      <c r="S222" s="10" t="s">
        <v>1959</v>
      </c>
      <c r="T222" s="10" t="s">
        <v>1960</v>
      </c>
      <c r="U222" s="10" t="s">
        <v>1961</v>
      </c>
      <c r="V222" s="11"/>
      <c r="W222" s="10" t="s">
        <v>1962</v>
      </c>
      <c r="X222" s="10" t="s">
        <v>80</v>
      </c>
      <c r="Y222" s="10" t="s">
        <v>80</v>
      </c>
      <c r="Z222" s="10" t="s">
        <v>1996</v>
      </c>
      <c r="AA222" s="10" t="s">
        <v>1997</v>
      </c>
      <c r="AB222" s="11"/>
      <c r="AC222" s="11"/>
      <c r="AD222" s="11"/>
      <c r="AE222" s="10" t="s">
        <v>1979</v>
      </c>
      <c r="AF222" s="12">
        <v>603</v>
      </c>
      <c r="AG222" s="11"/>
      <c r="AH222" s="10" t="s">
        <v>1998</v>
      </c>
      <c r="AI222" s="10" t="s">
        <v>1999</v>
      </c>
      <c r="AJ222" s="10" t="s">
        <v>2000</v>
      </c>
      <c r="AK222" s="10" t="s">
        <v>2001</v>
      </c>
      <c r="AL222" s="11"/>
      <c r="AM222" s="11"/>
      <c r="AN222" s="11"/>
      <c r="AO222" s="11"/>
      <c r="AP222" s="11"/>
      <c r="AQ222" s="11"/>
      <c r="AR222" s="10" t="s">
        <v>2002</v>
      </c>
      <c r="AS222" s="10" t="s">
        <v>66</v>
      </c>
      <c r="AT222" s="10" t="s">
        <v>53</v>
      </c>
    </row>
    <row r="223" spans="1:46" ht="20" hidden="1" customHeight="1" x14ac:dyDescent="0.15">
      <c r="A223" s="8" t="s">
        <v>2003</v>
      </c>
      <c r="B223" s="9" t="s">
        <v>2004</v>
      </c>
      <c r="C223" s="10" t="s">
        <v>2005</v>
      </c>
      <c r="D223" s="10" t="s">
        <v>2006</v>
      </c>
      <c r="E223" s="10" t="s">
        <v>51</v>
      </c>
      <c r="F223" s="10" t="s">
        <v>1954</v>
      </c>
      <c r="G223" s="11"/>
      <c r="H223" s="10" t="s">
        <v>91</v>
      </c>
      <c r="I223" s="10" t="s">
        <v>53</v>
      </c>
      <c r="J223" s="10" t="s">
        <v>54</v>
      </c>
      <c r="K223" s="11"/>
      <c r="L223" s="10" t="s">
        <v>1976</v>
      </c>
      <c r="M223" s="11"/>
      <c r="N223" s="11"/>
      <c r="O223" s="11"/>
      <c r="P223" s="11"/>
      <c r="Q223" s="10" t="s">
        <v>603</v>
      </c>
      <c r="R223" s="11"/>
      <c r="S223" s="10" t="s">
        <v>1959</v>
      </c>
      <c r="T223" s="10" t="s">
        <v>1960</v>
      </c>
      <c r="U223" s="10" t="s">
        <v>1961</v>
      </c>
      <c r="V223" s="11"/>
      <c r="W223" s="10" t="s">
        <v>1962</v>
      </c>
      <c r="X223" s="10" t="s">
        <v>80</v>
      </c>
      <c r="Y223" s="10" t="s">
        <v>80</v>
      </c>
      <c r="Z223" s="10" t="s">
        <v>2007</v>
      </c>
      <c r="AA223" s="10" t="s">
        <v>2008</v>
      </c>
      <c r="AB223" s="11"/>
      <c r="AC223" s="11"/>
      <c r="AD223" s="11"/>
      <c r="AE223" s="10" t="s">
        <v>1979</v>
      </c>
      <c r="AF223" s="12">
        <v>2000</v>
      </c>
      <c r="AG223" s="11"/>
      <c r="AH223" s="10" t="s">
        <v>1998</v>
      </c>
      <c r="AI223" s="10" t="s">
        <v>2009</v>
      </c>
      <c r="AJ223" s="10" t="s">
        <v>2010</v>
      </c>
      <c r="AK223" s="10" t="s">
        <v>2001</v>
      </c>
      <c r="AL223" s="11"/>
      <c r="AM223" s="11"/>
      <c r="AN223" s="11"/>
      <c r="AO223" s="11"/>
      <c r="AP223" s="11"/>
      <c r="AQ223" s="11"/>
      <c r="AR223" s="10" t="s">
        <v>2011</v>
      </c>
      <c r="AS223" s="10" t="s">
        <v>66</v>
      </c>
      <c r="AT223" s="10" t="s">
        <v>53</v>
      </c>
    </row>
    <row r="224" spans="1:46" ht="20" hidden="1" customHeight="1" x14ac:dyDescent="0.15">
      <c r="A224" s="8" t="s">
        <v>2012</v>
      </c>
      <c r="B224" s="9" t="s">
        <v>2013</v>
      </c>
      <c r="C224" s="10" t="s">
        <v>2014</v>
      </c>
      <c r="D224" s="10" t="s">
        <v>2015</v>
      </c>
      <c r="E224" s="10" t="s">
        <v>51</v>
      </c>
      <c r="F224" s="10" t="s">
        <v>1954</v>
      </c>
      <c r="G224" s="11"/>
      <c r="H224" s="10" t="s">
        <v>459</v>
      </c>
      <c r="I224" s="10" t="s">
        <v>53</v>
      </c>
      <c r="J224" s="10" t="s">
        <v>54</v>
      </c>
      <c r="K224" s="11"/>
      <c r="L224" s="10" t="s">
        <v>2016</v>
      </c>
      <c r="M224" s="11"/>
      <c r="N224" s="11"/>
      <c r="O224" s="11"/>
      <c r="P224" s="11"/>
      <c r="Q224" s="10" t="s">
        <v>75</v>
      </c>
      <c r="R224" s="11"/>
      <c r="S224" s="10" t="s">
        <v>1959</v>
      </c>
      <c r="T224" s="10" t="s">
        <v>1960</v>
      </c>
      <c r="U224" s="10" t="s">
        <v>1961</v>
      </c>
      <c r="V224" s="11"/>
      <c r="W224" s="10" t="s">
        <v>1962</v>
      </c>
      <c r="X224" s="10" t="s">
        <v>80</v>
      </c>
      <c r="Y224" s="10" t="s">
        <v>80</v>
      </c>
      <c r="Z224" s="10" t="s">
        <v>2017</v>
      </c>
      <c r="AA224" s="10" t="s">
        <v>2018</v>
      </c>
      <c r="AB224" s="11"/>
      <c r="AC224" s="11"/>
      <c r="AD224" s="11"/>
      <c r="AE224" s="10" t="s">
        <v>2019</v>
      </c>
      <c r="AF224" s="12">
        <v>5000</v>
      </c>
      <c r="AG224" s="11"/>
      <c r="AH224" s="10" t="s">
        <v>2020</v>
      </c>
      <c r="AI224" s="10" t="s">
        <v>1335</v>
      </c>
      <c r="AJ224" s="10" t="s">
        <v>2021</v>
      </c>
      <c r="AK224" s="10" t="s">
        <v>2022</v>
      </c>
      <c r="AL224" s="11"/>
      <c r="AM224" s="11"/>
      <c r="AN224" s="11"/>
      <c r="AO224" s="11"/>
      <c r="AP224" s="11"/>
      <c r="AQ224" s="11"/>
      <c r="AR224" s="10" t="s">
        <v>1251</v>
      </c>
      <c r="AS224" s="10" t="s">
        <v>66</v>
      </c>
      <c r="AT224" s="10" t="s">
        <v>53</v>
      </c>
    </row>
    <row r="225" spans="1:46" ht="20" hidden="1" customHeight="1" x14ac:dyDescent="0.15">
      <c r="A225" s="8" t="s">
        <v>2023</v>
      </c>
      <c r="B225" s="9" t="s">
        <v>2024</v>
      </c>
      <c r="C225" s="10" t="s">
        <v>2025</v>
      </c>
      <c r="D225" s="10" t="s">
        <v>2026</v>
      </c>
      <c r="E225" s="10" t="s">
        <v>51</v>
      </c>
      <c r="F225" s="10" t="s">
        <v>1954</v>
      </c>
      <c r="G225" s="11"/>
      <c r="H225" s="10" t="s">
        <v>459</v>
      </c>
      <c r="I225" s="10" t="s">
        <v>53</v>
      </c>
      <c r="J225" s="10" t="s">
        <v>54</v>
      </c>
      <c r="K225" s="11"/>
      <c r="L225" s="10" t="s">
        <v>2016</v>
      </c>
      <c r="M225" s="11"/>
      <c r="N225" s="11"/>
      <c r="O225" s="11"/>
      <c r="P225" s="11"/>
      <c r="Q225" s="10" t="s">
        <v>75</v>
      </c>
      <c r="R225" s="11"/>
      <c r="S225" s="10" t="s">
        <v>1959</v>
      </c>
      <c r="T225" s="10" t="s">
        <v>1960</v>
      </c>
      <c r="U225" s="10" t="s">
        <v>1961</v>
      </c>
      <c r="V225" s="11"/>
      <c r="W225" s="10" t="s">
        <v>1962</v>
      </c>
      <c r="X225" s="10" t="s">
        <v>80</v>
      </c>
      <c r="Y225" s="10" t="s">
        <v>80</v>
      </c>
      <c r="Z225" s="10" t="s">
        <v>2027</v>
      </c>
      <c r="AA225" s="10" t="s">
        <v>2028</v>
      </c>
      <c r="AB225" s="11"/>
      <c r="AC225" s="11"/>
      <c r="AD225" s="11"/>
      <c r="AE225" s="10" t="s">
        <v>2019</v>
      </c>
      <c r="AF225" s="12">
        <v>90500</v>
      </c>
      <c r="AG225" s="11"/>
      <c r="AH225" s="10" t="s">
        <v>2029</v>
      </c>
      <c r="AI225" s="10" t="s">
        <v>1335</v>
      </c>
      <c r="AJ225" s="10" t="s">
        <v>2030</v>
      </c>
      <c r="AK225" s="10" t="s">
        <v>2022</v>
      </c>
      <c r="AL225" s="11"/>
      <c r="AM225" s="11"/>
      <c r="AN225" s="11"/>
      <c r="AO225" s="11"/>
      <c r="AP225" s="11"/>
      <c r="AQ225" s="11"/>
      <c r="AR225" s="10" t="s">
        <v>2031</v>
      </c>
      <c r="AS225" s="10" t="s">
        <v>66</v>
      </c>
      <c r="AT225" s="10" t="s">
        <v>53</v>
      </c>
    </row>
    <row r="226" spans="1:46" ht="20" customHeight="1" x14ac:dyDescent="0.15">
      <c r="A226" s="8" t="s">
        <v>2032</v>
      </c>
      <c r="B226" s="9" t="s">
        <v>2033</v>
      </c>
      <c r="C226" s="10" t="s">
        <v>2034</v>
      </c>
      <c r="D226" s="10" t="s">
        <v>2035</v>
      </c>
      <c r="E226" s="10" t="s">
        <v>51</v>
      </c>
      <c r="F226" s="10" t="s">
        <v>1954</v>
      </c>
      <c r="G226" s="11"/>
      <c r="H226" s="10" t="s">
        <v>72</v>
      </c>
      <c r="I226" s="10" t="s">
        <v>53</v>
      </c>
      <c r="J226" s="10" t="s">
        <v>54</v>
      </c>
      <c r="K226" s="11"/>
      <c r="L226" s="10" t="s">
        <v>2036</v>
      </c>
      <c r="M226" s="11"/>
      <c r="N226" s="11"/>
      <c r="O226" s="11"/>
      <c r="P226" s="11"/>
      <c r="Q226" s="10" t="s">
        <v>75</v>
      </c>
      <c r="R226" s="11"/>
      <c r="S226" s="10" t="s">
        <v>1959</v>
      </c>
      <c r="T226" s="10" t="s">
        <v>1960</v>
      </c>
      <c r="U226" s="10" t="s">
        <v>1961</v>
      </c>
      <c r="V226" s="11"/>
      <c r="W226" s="10" t="s">
        <v>1962</v>
      </c>
      <c r="X226" s="10" t="s">
        <v>80</v>
      </c>
      <c r="Y226" s="10" t="s">
        <v>80</v>
      </c>
      <c r="Z226" s="10" t="s">
        <v>2037</v>
      </c>
      <c r="AA226" s="10" t="s">
        <v>2038</v>
      </c>
      <c r="AB226" s="11"/>
      <c r="AC226" s="11"/>
      <c r="AD226" s="11"/>
      <c r="AE226" s="10" t="s">
        <v>2039</v>
      </c>
      <c r="AF226" s="12">
        <v>96</v>
      </c>
      <c r="AG226" s="11"/>
      <c r="AH226" s="10" t="s">
        <v>2040</v>
      </c>
      <c r="AI226" s="10" t="s">
        <v>1335</v>
      </c>
      <c r="AJ226" s="10" t="s">
        <v>2041</v>
      </c>
      <c r="AK226" s="10" t="s">
        <v>2042</v>
      </c>
      <c r="AL226" s="11"/>
      <c r="AM226" s="11"/>
      <c r="AN226" s="11"/>
      <c r="AO226" s="11"/>
      <c r="AP226" s="11"/>
      <c r="AQ226" s="11"/>
      <c r="AR226" s="10" t="s">
        <v>2043</v>
      </c>
      <c r="AS226" s="10" t="s">
        <v>66</v>
      </c>
      <c r="AT226" s="10" t="s">
        <v>53</v>
      </c>
    </row>
    <row r="227" spans="1:46" ht="20" customHeight="1" x14ac:dyDescent="0.15">
      <c r="A227" s="8" t="s">
        <v>2044</v>
      </c>
      <c r="B227" s="9" t="s">
        <v>2045</v>
      </c>
      <c r="C227" s="10" t="s">
        <v>2046</v>
      </c>
      <c r="D227" s="10" t="s">
        <v>2047</v>
      </c>
      <c r="E227" s="10" t="s">
        <v>51</v>
      </c>
      <c r="F227" s="10" t="s">
        <v>1954</v>
      </c>
      <c r="G227" s="11"/>
      <c r="H227" s="10" t="s">
        <v>1749</v>
      </c>
      <c r="I227" s="10" t="s">
        <v>53</v>
      </c>
      <c r="J227" s="10" t="s">
        <v>54</v>
      </c>
      <c r="K227" s="11"/>
      <c r="L227" s="10" t="s">
        <v>2048</v>
      </c>
      <c r="M227" s="11"/>
      <c r="N227" s="11"/>
      <c r="O227" s="11"/>
      <c r="P227" s="11"/>
      <c r="Q227" s="10" t="s">
        <v>75</v>
      </c>
      <c r="R227" s="11"/>
      <c r="S227" s="10" t="s">
        <v>1959</v>
      </c>
      <c r="T227" s="10" t="s">
        <v>1960</v>
      </c>
      <c r="U227" s="10" t="s">
        <v>1961</v>
      </c>
      <c r="V227" s="11"/>
      <c r="W227" s="10" t="s">
        <v>1962</v>
      </c>
      <c r="X227" s="10" t="s">
        <v>80</v>
      </c>
      <c r="Y227" s="10" t="s">
        <v>80</v>
      </c>
      <c r="Z227" s="10" t="s">
        <v>2049</v>
      </c>
      <c r="AA227" s="10" t="s">
        <v>2050</v>
      </c>
      <c r="AB227" s="11"/>
      <c r="AC227" s="11"/>
      <c r="AD227" s="11"/>
      <c r="AE227" s="10" t="s">
        <v>2039</v>
      </c>
      <c r="AF227" s="12">
        <v>600</v>
      </c>
      <c r="AG227" s="11"/>
      <c r="AH227" s="11"/>
      <c r="AI227" s="10" t="s">
        <v>2051</v>
      </c>
      <c r="AJ227" s="10" t="s">
        <v>2052</v>
      </c>
      <c r="AK227" s="10" t="s">
        <v>2042</v>
      </c>
      <c r="AL227" s="11"/>
      <c r="AM227" s="11"/>
      <c r="AN227" s="11"/>
      <c r="AO227" s="11"/>
      <c r="AP227" s="11"/>
      <c r="AQ227" s="11"/>
      <c r="AR227" s="10" t="s">
        <v>1251</v>
      </c>
      <c r="AS227" s="10" t="s">
        <v>66</v>
      </c>
      <c r="AT227" s="10" t="s">
        <v>53</v>
      </c>
    </row>
    <row r="228" spans="1:46" ht="20" hidden="1" customHeight="1" x14ac:dyDescent="0.15">
      <c r="A228" s="8" t="s">
        <v>2053</v>
      </c>
      <c r="B228" s="9" t="s">
        <v>2054</v>
      </c>
      <c r="C228" s="10" t="s">
        <v>2055</v>
      </c>
      <c r="D228" s="10" t="s">
        <v>2056</v>
      </c>
      <c r="E228" s="10" t="s">
        <v>51</v>
      </c>
      <c r="F228" s="10" t="s">
        <v>2057</v>
      </c>
      <c r="G228" s="11"/>
      <c r="H228" s="10" t="s">
        <v>91</v>
      </c>
      <c r="I228" s="10" t="s">
        <v>53</v>
      </c>
      <c r="J228" s="10" t="s">
        <v>54</v>
      </c>
      <c r="K228" s="11"/>
      <c r="L228" s="10" t="s">
        <v>2058</v>
      </c>
      <c r="M228" s="11"/>
      <c r="N228" s="11"/>
      <c r="O228" s="11"/>
      <c r="P228" s="11"/>
      <c r="Q228" s="10" t="s">
        <v>75</v>
      </c>
      <c r="R228" s="11"/>
      <c r="S228" s="10" t="s">
        <v>2059</v>
      </c>
      <c r="T228" s="10" t="s">
        <v>2060</v>
      </c>
      <c r="U228" s="10" t="s">
        <v>2061</v>
      </c>
      <c r="V228" s="11"/>
      <c r="W228" s="10" t="s">
        <v>2062</v>
      </c>
      <c r="X228" s="10" t="s">
        <v>80</v>
      </c>
      <c r="Y228" s="10" t="s">
        <v>80</v>
      </c>
      <c r="Z228" s="10" t="s">
        <v>2063</v>
      </c>
      <c r="AA228" s="10" t="s">
        <v>2064</v>
      </c>
      <c r="AB228" s="11"/>
      <c r="AC228" s="11"/>
      <c r="AD228" s="11"/>
      <c r="AE228" s="11"/>
      <c r="AF228" s="12">
        <v>3700</v>
      </c>
      <c r="AG228" s="11"/>
      <c r="AH228" s="10" t="s">
        <v>2065</v>
      </c>
      <c r="AI228" s="11"/>
      <c r="AJ228" s="11"/>
      <c r="AK228" s="10" t="s">
        <v>2066</v>
      </c>
      <c r="AL228" s="11"/>
      <c r="AM228" s="11"/>
      <c r="AN228" s="11"/>
      <c r="AO228" s="11"/>
      <c r="AP228" s="11"/>
      <c r="AQ228" s="11"/>
      <c r="AR228" s="10" t="s">
        <v>2067</v>
      </c>
      <c r="AS228" s="10" t="s">
        <v>66</v>
      </c>
      <c r="AT228" s="10" t="s">
        <v>53</v>
      </c>
    </row>
    <row r="229" spans="1:46" ht="20" hidden="1" customHeight="1" x14ac:dyDescent="0.15">
      <c r="A229" s="8" t="s">
        <v>2068</v>
      </c>
      <c r="B229" s="9" t="s">
        <v>2069</v>
      </c>
      <c r="C229" s="10" t="s">
        <v>2070</v>
      </c>
      <c r="D229" s="10" t="s">
        <v>2071</v>
      </c>
      <c r="E229" s="10" t="s">
        <v>51</v>
      </c>
      <c r="F229" s="10" t="s">
        <v>2057</v>
      </c>
      <c r="G229" s="11"/>
      <c r="H229" s="10" t="s">
        <v>2072</v>
      </c>
      <c r="I229" s="10" t="s">
        <v>53</v>
      </c>
      <c r="J229" s="10" t="s">
        <v>54</v>
      </c>
      <c r="K229" s="11"/>
      <c r="L229" s="10" t="s">
        <v>2073</v>
      </c>
      <c r="M229" s="11"/>
      <c r="N229" s="10" t="s">
        <v>2074</v>
      </c>
      <c r="O229" s="11"/>
      <c r="P229" s="11"/>
      <c r="Q229" s="10" t="s">
        <v>75</v>
      </c>
      <c r="R229" s="11"/>
      <c r="S229" s="10" t="s">
        <v>2059</v>
      </c>
      <c r="T229" s="10" t="s">
        <v>2060</v>
      </c>
      <c r="U229" s="10" t="s">
        <v>2061</v>
      </c>
      <c r="V229" s="11"/>
      <c r="W229" s="10" t="s">
        <v>2062</v>
      </c>
      <c r="X229" s="10" t="s">
        <v>80</v>
      </c>
      <c r="Y229" s="10" t="s">
        <v>80</v>
      </c>
      <c r="Z229" s="10" t="s">
        <v>2075</v>
      </c>
      <c r="AA229" s="10" t="s">
        <v>2076</v>
      </c>
      <c r="AB229" s="11"/>
      <c r="AC229" s="11"/>
      <c r="AD229" s="11"/>
      <c r="AE229" s="11"/>
      <c r="AF229" s="12">
        <v>18000</v>
      </c>
      <c r="AG229" s="11"/>
      <c r="AH229" s="10" t="s">
        <v>2077</v>
      </c>
      <c r="AI229" s="11"/>
      <c r="AJ229" s="11"/>
      <c r="AK229" s="10" t="s">
        <v>2078</v>
      </c>
      <c r="AL229" s="11"/>
      <c r="AM229" s="11"/>
      <c r="AN229" s="11"/>
      <c r="AO229" s="11"/>
      <c r="AP229" s="11"/>
      <c r="AQ229" s="11"/>
      <c r="AR229" s="10" t="s">
        <v>2079</v>
      </c>
      <c r="AS229" s="10" t="s">
        <v>66</v>
      </c>
      <c r="AT229" s="10" t="s">
        <v>53</v>
      </c>
    </row>
    <row r="230" spans="1:46" ht="20" customHeight="1" x14ac:dyDescent="0.15">
      <c r="A230" s="8" t="s">
        <v>2080</v>
      </c>
      <c r="B230" s="9" t="s">
        <v>2081</v>
      </c>
      <c r="C230" s="10" t="s">
        <v>2082</v>
      </c>
      <c r="D230" s="10" t="s">
        <v>2083</v>
      </c>
      <c r="E230" s="10" t="s">
        <v>51</v>
      </c>
      <c r="F230" s="10" t="s">
        <v>2057</v>
      </c>
      <c r="G230" s="11"/>
      <c r="H230" s="10" t="s">
        <v>2084</v>
      </c>
      <c r="I230" s="10" t="s">
        <v>53</v>
      </c>
      <c r="J230" s="10" t="s">
        <v>54</v>
      </c>
      <c r="K230" s="11"/>
      <c r="L230" s="10" t="s">
        <v>2073</v>
      </c>
      <c r="M230" s="11"/>
      <c r="N230" s="10" t="s">
        <v>2074</v>
      </c>
      <c r="O230" s="11"/>
      <c r="P230" s="11"/>
      <c r="Q230" s="10" t="s">
        <v>75</v>
      </c>
      <c r="R230" s="11"/>
      <c r="S230" s="10" t="s">
        <v>2059</v>
      </c>
      <c r="T230" s="10" t="s">
        <v>2060</v>
      </c>
      <c r="U230" s="10" t="s">
        <v>2061</v>
      </c>
      <c r="V230" s="11"/>
      <c r="W230" s="10" t="s">
        <v>2062</v>
      </c>
      <c r="X230" s="10" t="s">
        <v>80</v>
      </c>
      <c r="Y230" s="10" t="s">
        <v>80</v>
      </c>
      <c r="Z230" s="10" t="s">
        <v>2085</v>
      </c>
      <c r="AA230" s="10" t="s">
        <v>2086</v>
      </c>
      <c r="AB230" s="11"/>
      <c r="AC230" s="11"/>
      <c r="AD230" s="11"/>
      <c r="AE230" s="11"/>
      <c r="AF230" s="12">
        <v>6500</v>
      </c>
      <c r="AG230" s="11"/>
      <c r="AH230" s="11"/>
      <c r="AI230" s="11"/>
      <c r="AJ230" s="11"/>
      <c r="AK230" s="10" t="s">
        <v>2087</v>
      </c>
      <c r="AL230" s="11"/>
      <c r="AM230" s="11"/>
      <c r="AN230" s="11"/>
      <c r="AO230" s="11"/>
      <c r="AP230" s="11"/>
      <c r="AQ230" s="11"/>
      <c r="AR230" s="10" t="s">
        <v>2088</v>
      </c>
      <c r="AS230" s="10" t="s">
        <v>66</v>
      </c>
      <c r="AT230" s="10" t="s">
        <v>53</v>
      </c>
    </row>
    <row r="231" spans="1:46" ht="20" customHeight="1" x14ac:dyDescent="0.15">
      <c r="A231" s="8" t="s">
        <v>2089</v>
      </c>
      <c r="B231" s="9" t="s">
        <v>2090</v>
      </c>
      <c r="C231" s="10" t="s">
        <v>2091</v>
      </c>
      <c r="D231" s="10" t="s">
        <v>2092</v>
      </c>
      <c r="E231" s="10" t="s">
        <v>51</v>
      </c>
      <c r="F231" s="10" t="s">
        <v>2057</v>
      </c>
      <c r="G231" s="11"/>
      <c r="H231" s="10" t="s">
        <v>2093</v>
      </c>
      <c r="I231" s="10" t="s">
        <v>53</v>
      </c>
      <c r="J231" s="10" t="s">
        <v>54</v>
      </c>
      <c r="K231" s="11"/>
      <c r="L231" s="10" t="s">
        <v>2073</v>
      </c>
      <c r="M231" s="11"/>
      <c r="N231" s="10" t="s">
        <v>2074</v>
      </c>
      <c r="O231" s="11"/>
      <c r="P231" s="11"/>
      <c r="Q231" s="10" t="s">
        <v>75</v>
      </c>
      <c r="R231" s="11"/>
      <c r="S231" s="10" t="s">
        <v>2059</v>
      </c>
      <c r="T231" s="10" t="s">
        <v>2060</v>
      </c>
      <c r="U231" s="10" t="s">
        <v>2061</v>
      </c>
      <c r="V231" s="11"/>
      <c r="W231" s="10" t="s">
        <v>2062</v>
      </c>
      <c r="X231" s="10" t="s">
        <v>80</v>
      </c>
      <c r="Y231" s="10" t="s">
        <v>80</v>
      </c>
      <c r="Z231" s="10" t="s">
        <v>2094</v>
      </c>
      <c r="AA231" s="10" t="s">
        <v>2095</v>
      </c>
      <c r="AB231" s="11"/>
      <c r="AC231" s="11"/>
      <c r="AD231" s="11"/>
      <c r="AE231" s="11"/>
      <c r="AF231" s="12">
        <v>2600</v>
      </c>
      <c r="AG231" s="11"/>
      <c r="AH231" s="11"/>
      <c r="AI231" s="11"/>
      <c r="AJ231" s="11"/>
      <c r="AK231" s="10" t="s">
        <v>2087</v>
      </c>
      <c r="AL231" s="11"/>
      <c r="AM231" s="11"/>
      <c r="AN231" s="11"/>
      <c r="AO231" s="11"/>
      <c r="AP231" s="11"/>
      <c r="AQ231" s="11"/>
      <c r="AR231" s="10" t="s">
        <v>2088</v>
      </c>
      <c r="AS231" s="10" t="s">
        <v>66</v>
      </c>
      <c r="AT231" s="10" t="s">
        <v>53</v>
      </c>
    </row>
    <row r="232" spans="1:46" ht="20" hidden="1" customHeight="1" x14ac:dyDescent="0.15">
      <c r="A232" s="8" t="s">
        <v>2096</v>
      </c>
      <c r="B232" s="9" t="s">
        <v>2097</v>
      </c>
      <c r="C232" s="10" t="s">
        <v>302</v>
      </c>
      <c r="D232" s="10" t="s">
        <v>2098</v>
      </c>
      <c r="E232" s="10" t="s">
        <v>51</v>
      </c>
      <c r="F232" s="10" t="s">
        <v>2057</v>
      </c>
      <c r="G232" s="11"/>
      <c r="H232" s="10" t="s">
        <v>91</v>
      </c>
      <c r="I232" s="10" t="s">
        <v>53</v>
      </c>
      <c r="J232" s="10" t="s">
        <v>54</v>
      </c>
      <c r="K232" s="11"/>
      <c r="L232" s="10" t="s">
        <v>2099</v>
      </c>
      <c r="M232" s="11"/>
      <c r="N232" s="11"/>
      <c r="O232" s="11"/>
      <c r="P232" s="11"/>
      <c r="Q232" s="10" t="s">
        <v>107</v>
      </c>
      <c r="R232" s="11"/>
      <c r="S232" s="10" t="s">
        <v>2059</v>
      </c>
      <c r="T232" s="10" t="s">
        <v>2060</v>
      </c>
      <c r="U232" s="10" t="s">
        <v>2061</v>
      </c>
      <c r="V232" s="11"/>
      <c r="W232" s="10" t="s">
        <v>2062</v>
      </c>
      <c r="X232" s="10" t="s">
        <v>80</v>
      </c>
      <c r="Y232" s="10" t="s">
        <v>80</v>
      </c>
      <c r="Z232" s="10" t="s">
        <v>2100</v>
      </c>
      <c r="AA232" s="10" t="s">
        <v>2101</v>
      </c>
      <c r="AB232" s="11"/>
      <c r="AC232" s="11"/>
      <c r="AD232" s="11"/>
      <c r="AE232" s="11"/>
      <c r="AF232" s="12">
        <v>81010</v>
      </c>
      <c r="AG232" s="11"/>
      <c r="AH232" s="10" t="s">
        <v>2102</v>
      </c>
      <c r="AI232" s="11"/>
      <c r="AJ232" s="11"/>
      <c r="AK232" s="10" t="s">
        <v>2103</v>
      </c>
      <c r="AL232" s="11"/>
      <c r="AM232" s="11"/>
      <c r="AN232" s="11"/>
      <c r="AO232" s="11"/>
      <c r="AP232" s="11"/>
      <c r="AQ232" s="11"/>
      <c r="AR232" s="10" t="s">
        <v>2104</v>
      </c>
      <c r="AS232" s="10" t="s">
        <v>66</v>
      </c>
      <c r="AT232" s="10" t="s">
        <v>53</v>
      </c>
    </row>
    <row r="233" spans="1:46" ht="20" hidden="1" customHeight="1" x14ac:dyDescent="0.15">
      <c r="A233" s="8" t="s">
        <v>2105</v>
      </c>
      <c r="B233" s="9" t="s">
        <v>2106</v>
      </c>
      <c r="C233" s="10" t="s">
        <v>1814</v>
      </c>
      <c r="D233" s="10" t="s">
        <v>2107</v>
      </c>
      <c r="E233" s="10" t="s">
        <v>51</v>
      </c>
      <c r="F233" s="10" t="s">
        <v>1298</v>
      </c>
      <c r="G233" s="11"/>
      <c r="H233" s="10" t="s">
        <v>91</v>
      </c>
      <c r="I233" s="10" t="s">
        <v>53</v>
      </c>
      <c r="J233" s="10" t="s">
        <v>54</v>
      </c>
      <c r="K233" s="11"/>
      <c r="L233" s="10" t="s">
        <v>1299</v>
      </c>
      <c r="M233" s="10" t="s">
        <v>2108</v>
      </c>
      <c r="N233" s="10" t="s">
        <v>2109</v>
      </c>
      <c r="O233" s="11"/>
      <c r="P233" s="11"/>
      <c r="Q233" s="10" t="s">
        <v>2110</v>
      </c>
      <c r="R233" s="11"/>
      <c r="S233" s="10" t="s">
        <v>1301</v>
      </c>
      <c r="T233" s="10" t="s">
        <v>1302</v>
      </c>
      <c r="U233" s="10" t="s">
        <v>1303</v>
      </c>
      <c r="V233" s="11"/>
      <c r="W233" s="10" t="s">
        <v>1304</v>
      </c>
      <c r="X233" s="10" t="s">
        <v>80</v>
      </c>
      <c r="Y233" s="10" t="s">
        <v>80</v>
      </c>
      <c r="Z233" s="10" t="s">
        <v>2111</v>
      </c>
      <c r="AA233" s="10" t="s">
        <v>2112</v>
      </c>
      <c r="AB233" s="11"/>
      <c r="AC233" s="11"/>
      <c r="AD233" s="10" t="s">
        <v>2113</v>
      </c>
      <c r="AE233" s="10" t="s">
        <v>2114</v>
      </c>
      <c r="AF233" s="12">
        <v>22000</v>
      </c>
      <c r="AG233" s="11"/>
      <c r="AH233" s="10" t="s">
        <v>232</v>
      </c>
      <c r="AI233" s="10" t="s">
        <v>2115</v>
      </c>
      <c r="AJ233" s="11"/>
      <c r="AK233" s="10" t="s">
        <v>2116</v>
      </c>
      <c r="AL233" s="10" t="s">
        <v>2117</v>
      </c>
      <c r="AM233" s="11"/>
      <c r="AN233" s="11"/>
      <c r="AO233" s="11"/>
      <c r="AP233" s="11"/>
      <c r="AQ233" s="11"/>
      <c r="AR233" s="10" t="s">
        <v>299</v>
      </c>
      <c r="AS233" s="10" t="s">
        <v>66</v>
      </c>
      <c r="AT233" s="10" t="s">
        <v>53</v>
      </c>
    </row>
    <row r="234" spans="1:46" ht="20" hidden="1" customHeight="1" x14ac:dyDescent="0.15">
      <c r="A234" s="8" t="s">
        <v>2118</v>
      </c>
      <c r="B234" s="9" t="s">
        <v>2119</v>
      </c>
      <c r="C234" s="10" t="s">
        <v>2120</v>
      </c>
      <c r="D234" s="10" t="s">
        <v>2121</v>
      </c>
      <c r="E234" s="10" t="s">
        <v>51</v>
      </c>
      <c r="F234" s="10" t="s">
        <v>1298</v>
      </c>
      <c r="G234" s="11"/>
      <c r="H234" s="10" t="s">
        <v>2122</v>
      </c>
      <c r="I234" s="10" t="s">
        <v>53</v>
      </c>
      <c r="J234" s="10" t="s">
        <v>54</v>
      </c>
      <c r="K234" s="11"/>
      <c r="L234" s="10" t="s">
        <v>1299</v>
      </c>
      <c r="M234" s="11"/>
      <c r="N234" s="11"/>
      <c r="O234" s="11"/>
      <c r="P234" s="11"/>
      <c r="Q234" s="10" t="s">
        <v>2123</v>
      </c>
      <c r="R234" s="11"/>
      <c r="S234" s="10" t="s">
        <v>1301</v>
      </c>
      <c r="T234" s="10" t="s">
        <v>1302</v>
      </c>
      <c r="U234" s="10" t="s">
        <v>1303</v>
      </c>
      <c r="V234" s="11"/>
      <c r="W234" s="10" t="s">
        <v>1304</v>
      </c>
      <c r="X234" s="10" t="s">
        <v>80</v>
      </c>
      <c r="Y234" s="10" t="s">
        <v>80</v>
      </c>
      <c r="Z234" s="10" t="s">
        <v>2124</v>
      </c>
      <c r="AA234" s="10" t="s">
        <v>2125</v>
      </c>
      <c r="AB234" s="11"/>
      <c r="AC234" s="11"/>
      <c r="AD234" s="11"/>
      <c r="AE234" s="11"/>
      <c r="AF234" s="12">
        <v>2500</v>
      </c>
      <c r="AG234" s="11"/>
      <c r="AH234" s="10" t="s">
        <v>138</v>
      </c>
      <c r="AI234" s="11"/>
      <c r="AJ234" s="11"/>
      <c r="AK234" s="10" t="s">
        <v>2126</v>
      </c>
      <c r="AL234" s="11"/>
      <c r="AM234" s="11"/>
      <c r="AN234" s="11"/>
      <c r="AO234" s="11"/>
      <c r="AP234" s="11"/>
      <c r="AQ234" s="11"/>
      <c r="AR234" s="10" t="s">
        <v>2127</v>
      </c>
      <c r="AS234" s="10" t="s">
        <v>66</v>
      </c>
      <c r="AT234" s="10" t="s">
        <v>53</v>
      </c>
    </row>
    <row r="235" spans="1:46" ht="20" hidden="1" customHeight="1" x14ac:dyDescent="0.15">
      <c r="A235" s="8" t="s">
        <v>2128</v>
      </c>
      <c r="B235" s="9" t="s">
        <v>2129</v>
      </c>
      <c r="C235" s="10" t="s">
        <v>2130</v>
      </c>
      <c r="D235" s="10" t="s">
        <v>2131</v>
      </c>
      <c r="E235" s="10" t="s">
        <v>51</v>
      </c>
      <c r="F235" s="10" t="s">
        <v>1298</v>
      </c>
      <c r="G235" s="11"/>
      <c r="H235" s="10" t="s">
        <v>91</v>
      </c>
      <c r="I235" s="10" t="s">
        <v>53</v>
      </c>
      <c r="J235" s="10" t="s">
        <v>54</v>
      </c>
      <c r="K235" s="11"/>
      <c r="L235" s="10" t="s">
        <v>1299</v>
      </c>
      <c r="M235" s="11"/>
      <c r="N235" s="11"/>
      <c r="O235" s="11"/>
      <c r="P235" s="11"/>
      <c r="Q235" s="10" t="s">
        <v>361</v>
      </c>
      <c r="R235" s="11"/>
      <c r="S235" s="10" t="s">
        <v>1301</v>
      </c>
      <c r="T235" s="10" t="s">
        <v>1302</v>
      </c>
      <c r="U235" s="10" t="s">
        <v>1303</v>
      </c>
      <c r="V235" s="11"/>
      <c r="W235" s="10" t="s">
        <v>1304</v>
      </c>
      <c r="X235" s="10" t="s">
        <v>80</v>
      </c>
      <c r="Y235" s="10" t="s">
        <v>80</v>
      </c>
      <c r="Z235" s="10" t="s">
        <v>2132</v>
      </c>
      <c r="AA235" s="10" t="s">
        <v>2133</v>
      </c>
      <c r="AB235" s="11"/>
      <c r="AC235" s="11"/>
      <c r="AD235" s="11"/>
      <c r="AE235" s="11"/>
      <c r="AF235" s="12">
        <v>1000</v>
      </c>
      <c r="AG235" s="11"/>
      <c r="AH235" s="10" t="s">
        <v>929</v>
      </c>
      <c r="AI235" s="11"/>
      <c r="AJ235" s="10" t="s">
        <v>2134</v>
      </c>
      <c r="AK235" s="10" t="s">
        <v>2135</v>
      </c>
      <c r="AL235" s="11"/>
      <c r="AM235" s="11"/>
      <c r="AN235" s="11"/>
      <c r="AO235" s="11"/>
      <c r="AP235" s="11"/>
      <c r="AQ235" s="11"/>
      <c r="AR235" s="10" t="s">
        <v>2136</v>
      </c>
      <c r="AS235" s="10" t="s">
        <v>66</v>
      </c>
      <c r="AT235" s="10" t="s">
        <v>53</v>
      </c>
    </row>
    <row r="236" spans="1:46" ht="20" customHeight="1" x14ac:dyDescent="0.15">
      <c r="A236" s="8" t="s">
        <v>2137</v>
      </c>
      <c r="B236" s="9" t="s">
        <v>2138</v>
      </c>
      <c r="C236" s="10" t="s">
        <v>2139</v>
      </c>
      <c r="D236" s="10" t="s">
        <v>2140</v>
      </c>
      <c r="E236" s="10" t="s">
        <v>51</v>
      </c>
      <c r="F236" s="10" t="s">
        <v>2141</v>
      </c>
      <c r="G236" s="11"/>
      <c r="H236" s="10" t="s">
        <v>1683</v>
      </c>
      <c r="I236" s="10" t="s">
        <v>53</v>
      </c>
      <c r="J236" s="10" t="s">
        <v>54</v>
      </c>
      <c r="K236" s="11"/>
      <c r="L236" s="10" t="s">
        <v>2142</v>
      </c>
      <c r="M236" s="11"/>
      <c r="N236" s="10" t="s">
        <v>2143</v>
      </c>
      <c r="O236" s="11"/>
      <c r="P236" s="11"/>
      <c r="Q236" s="10" t="s">
        <v>75</v>
      </c>
      <c r="R236" s="11"/>
      <c r="S236" s="10" t="s">
        <v>2144</v>
      </c>
      <c r="T236" s="10" t="s">
        <v>2145</v>
      </c>
      <c r="U236" s="10" t="s">
        <v>2146</v>
      </c>
      <c r="V236" s="11"/>
      <c r="W236" s="10" t="s">
        <v>2147</v>
      </c>
      <c r="X236" s="10" t="s">
        <v>80</v>
      </c>
      <c r="Y236" s="10" t="s">
        <v>80</v>
      </c>
      <c r="Z236" s="10" t="s">
        <v>2148</v>
      </c>
      <c r="AA236" s="10" t="s">
        <v>2149</v>
      </c>
      <c r="AB236" s="11"/>
      <c r="AC236" s="11"/>
      <c r="AD236" s="11"/>
      <c r="AE236" s="11"/>
      <c r="AF236" s="12">
        <v>19152</v>
      </c>
      <c r="AG236" s="11"/>
      <c r="AH236" s="10" t="s">
        <v>156</v>
      </c>
      <c r="AI236" s="11"/>
      <c r="AJ236" s="11"/>
      <c r="AK236" s="11"/>
      <c r="AL236" s="11"/>
      <c r="AM236" s="11"/>
      <c r="AN236" s="11"/>
      <c r="AO236" s="11"/>
      <c r="AP236" s="11"/>
      <c r="AQ236" s="11"/>
      <c r="AR236" s="10" t="s">
        <v>2150</v>
      </c>
      <c r="AS236" s="10" t="s">
        <v>66</v>
      </c>
      <c r="AT236" s="10" t="s">
        <v>53</v>
      </c>
    </row>
    <row r="237" spans="1:46" ht="20" hidden="1" customHeight="1" x14ac:dyDescent="0.15">
      <c r="A237" s="8" t="s">
        <v>2151</v>
      </c>
      <c r="B237" s="9" t="s">
        <v>2152</v>
      </c>
      <c r="C237" s="10" t="s">
        <v>2153</v>
      </c>
      <c r="D237" s="10" t="s">
        <v>2154</v>
      </c>
      <c r="E237" s="10" t="s">
        <v>51</v>
      </c>
      <c r="F237" s="10" t="s">
        <v>2141</v>
      </c>
      <c r="G237" s="11"/>
      <c r="H237" s="10" t="s">
        <v>91</v>
      </c>
      <c r="I237" s="10" t="s">
        <v>53</v>
      </c>
      <c r="J237" s="10" t="s">
        <v>54</v>
      </c>
      <c r="K237" s="11"/>
      <c r="L237" s="10" t="s">
        <v>2142</v>
      </c>
      <c r="M237" s="11"/>
      <c r="N237" s="10" t="s">
        <v>2143</v>
      </c>
      <c r="O237" s="11"/>
      <c r="P237" s="11"/>
      <c r="Q237" s="10" t="s">
        <v>75</v>
      </c>
      <c r="R237" s="11"/>
      <c r="S237" s="10" t="s">
        <v>2144</v>
      </c>
      <c r="T237" s="10" t="s">
        <v>2145</v>
      </c>
      <c r="U237" s="10" t="s">
        <v>2146</v>
      </c>
      <c r="V237" s="11"/>
      <c r="W237" s="10" t="s">
        <v>2147</v>
      </c>
      <c r="X237" s="10" t="s">
        <v>80</v>
      </c>
      <c r="Y237" s="10" t="s">
        <v>80</v>
      </c>
      <c r="Z237" s="10" t="s">
        <v>2155</v>
      </c>
      <c r="AA237" s="10" t="s">
        <v>2156</v>
      </c>
      <c r="AB237" s="11"/>
      <c r="AC237" s="11"/>
      <c r="AD237" s="11"/>
      <c r="AE237" s="11"/>
      <c r="AF237" s="12">
        <v>5151</v>
      </c>
      <c r="AG237" s="11"/>
      <c r="AH237" s="10" t="s">
        <v>2157</v>
      </c>
      <c r="AI237" s="11"/>
      <c r="AJ237" s="11"/>
      <c r="AK237" s="11"/>
      <c r="AL237" s="11"/>
      <c r="AM237" s="11"/>
      <c r="AN237" s="11"/>
      <c r="AO237" s="11"/>
      <c r="AP237" s="11"/>
      <c r="AQ237" s="11"/>
      <c r="AR237" s="10" t="s">
        <v>2158</v>
      </c>
      <c r="AS237" s="10" t="s">
        <v>66</v>
      </c>
      <c r="AT237" s="10" t="s">
        <v>53</v>
      </c>
    </row>
    <row r="238" spans="1:46" ht="20" hidden="1" customHeight="1" x14ac:dyDescent="0.15">
      <c r="A238" s="8" t="s">
        <v>2159</v>
      </c>
      <c r="B238" s="9" t="s">
        <v>2160</v>
      </c>
      <c r="C238" s="10" t="s">
        <v>2161</v>
      </c>
      <c r="D238" s="10" t="s">
        <v>2162</v>
      </c>
      <c r="E238" s="10" t="s">
        <v>51</v>
      </c>
      <c r="F238" s="10" t="s">
        <v>2163</v>
      </c>
      <c r="G238" s="11"/>
      <c r="H238" s="10" t="s">
        <v>91</v>
      </c>
      <c r="I238" s="10" t="s">
        <v>53</v>
      </c>
      <c r="J238" s="10" t="s">
        <v>54</v>
      </c>
      <c r="K238" s="11"/>
      <c r="L238" s="10" t="s">
        <v>2164</v>
      </c>
      <c r="M238" s="11"/>
      <c r="N238" s="11"/>
      <c r="O238" s="11"/>
      <c r="P238" s="11"/>
      <c r="Q238" s="10" t="s">
        <v>94</v>
      </c>
      <c r="R238" s="11"/>
      <c r="S238" s="10" t="s">
        <v>2165</v>
      </c>
      <c r="T238" s="10" t="s">
        <v>2166</v>
      </c>
      <c r="U238" s="10" t="s">
        <v>2167</v>
      </c>
      <c r="V238" s="11"/>
      <c r="W238" s="10" t="s">
        <v>2168</v>
      </c>
      <c r="X238" s="10" t="s">
        <v>80</v>
      </c>
      <c r="Y238" s="10" t="s">
        <v>80</v>
      </c>
      <c r="Z238" s="10" t="s">
        <v>2169</v>
      </c>
      <c r="AA238" s="10" t="s">
        <v>2170</v>
      </c>
      <c r="AB238" s="11"/>
      <c r="AC238" s="11"/>
      <c r="AD238" s="11"/>
      <c r="AE238" s="11"/>
      <c r="AF238" s="12">
        <v>50350</v>
      </c>
      <c r="AG238" s="11"/>
      <c r="AH238" s="10" t="s">
        <v>2171</v>
      </c>
      <c r="AI238" s="11"/>
      <c r="AJ238" s="11"/>
      <c r="AK238" s="11"/>
      <c r="AL238" s="11"/>
      <c r="AM238" s="11"/>
      <c r="AN238" s="11"/>
      <c r="AO238" s="11"/>
      <c r="AP238" s="11"/>
      <c r="AQ238" s="11"/>
      <c r="AR238" s="10" t="s">
        <v>2172</v>
      </c>
      <c r="AS238" s="10" t="s">
        <v>66</v>
      </c>
      <c r="AT238" s="10" t="s">
        <v>53</v>
      </c>
    </row>
    <row r="239" spans="1:46" ht="20" hidden="1" customHeight="1" x14ac:dyDescent="0.15">
      <c r="A239" s="8" t="s">
        <v>2173</v>
      </c>
      <c r="B239" s="9" t="s">
        <v>2174</v>
      </c>
      <c r="C239" s="10" t="s">
        <v>2175</v>
      </c>
      <c r="D239" s="10" t="s">
        <v>2176</v>
      </c>
      <c r="E239" s="10" t="s">
        <v>51</v>
      </c>
      <c r="F239" s="10" t="s">
        <v>2163</v>
      </c>
      <c r="G239" s="11"/>
      <c r="H239" s="10" t="s">
        <v>91</v>
      </c>
      <c r="I239" s="10" t="s">
        <v>53</v>
      </c>
      <c r="J239" s="10" t="s">
        <v>54</v>
      </c>
      <c r="K239" s="11"/>
      <c r="L239" s="10" t="s">
        <v>2164</v>
      </c>
      <c r="M239" s="11"/>
      <c r="N239" s="11"/>
      <c r="O239" s="11"/>
      <c r="P239" s="11"/>
      <c r="Q239" s="10" t="s">
        <v>2177</v>
      </c>
      <c r="R239" s="11"/>
      <c r="S239" s="10" t="s">
        <v>2165</v>
      </c>
      <c r="T239" s="10" t="s">
        <v>2166</v>
      </c>
      <c r="U239" s="10" t="s">
        <v>2167</v>
      </c>
      <c r="V239" s="11"/>
      <c r="W239" s="10" t="s">
        <v>2168</v>
      </c>
      <c r="X239" s="10" t="s">
        <v>80</v>
      </c>
      <c r="Y239" s="10" t="s">
        <v>80</v>
      </c>
      <c r="Z239" s="10" t="s">
        <v>2178</v>
      </c>
      <c r="AA239" s="10" t="s">
        <v>2179</v>
      </c>
      <c r="AB239" s="11"/>
      <c r="AC239" s="11"/>
      <c r="AD239" s="11"/>
      <c r="AE239" s="11"/>
      <c r="AF239" s="12">
        <v>150000</v>
      </c>
      <c r="AG239" s="11"/>
      <c r="AH239" s="10" t="s">
        <v>2180</v>
      </c>
      <c r="AI239" s="11"/>
      <c r="AJ239" s="11"/>
      <c r="AK239" s="11"/>
      <c r="AL239" s="11"/>
      <c r="AM239" s="11"/>
      <c r="AN239" s="11"/>
      <c r="AO239" s="11"/>
      <c r="AP239" s="11"/>
      <c r="AQ239" s="11"/>
      <c r="AR239" s="10" t="s">
        <v>2181</v>
      </c>
      <c r="AS239" s="10" t="s">
        <v>66</v>
      </c>
      <c r="AT239" s="10" t="s">
        <v>53</v>
      </c>
    </row>
    <row r="240" spans="1:46" ht="20" hidden="1" customHeight="1" x14ac:dyDescent="0.15">
      <c r="A240" s="8" t="s">
        <v>2182</v>
      </c>
      <c r="B240" s="9" t="s">
        <v>2183</v>
      </c>
      <c r="C240" s="10" t="s">
        <v>2184</v>
      </c>
      <c r="D240" s="10" t="s">
        <v>2185</v>
      </c>
      <c r="E240" s="10" t="s">
        <v>51</v>
      </c>
      <c r="F240" s="10" t="s">
        <v>2163</v>
      </c>
      <c r="G240" s="11"/>
      <c r="H240" s="10" t="s">
        <v>91</v>
      </c>
      <c r="I240" s="10" t="s">
        <v>53</v>
      </c>
      <c r="J240" s="10" t="s">
        <v>54</v>
      </c>
      <c r="K240" s="11"/>
      <c r="L240" s="10" t="s">
        <v>2164</v>
      </c>
      <c r="M240" s="11"/>
      <c r="N240" s="11"/>
      <c r="O240" s="11"/>
      <c r="P240" s="11"/>
      <c r="Q240" s="10" t="s">
        <v>94</v>
      </c>
      <c r="R240" s="11"/>
      <c r="S240" s="10" t="s">
        <v>2165</v>
      </c>
      <c r="T240" s="10" t="s">
        <v>2166</v>
      </c>
      <c r="U240" s="10" t="s">
        <v>2167</v>
      </c>
      <c r="V240" s="11"/>
      <c r="W240" s="10" t="s">
        <v>2168</v>
      </c>
      <c r="X240" s="10" t="s">
        <v>80</v>
      </c>
      <c r="Y240" s="10" t="s">
        <v>80</v>
      </c>
      <c r="Z240" s="10" t="s">
        <v>2186</v>
      </c>
      <c r="AA240" s="10" t="s">
        <v>2187</v>
      </c>
      <c r="AB240" s="11"/>
      <c r="AC240" s="11"/>
      <c r="AD240" s="11"/>
      <c r="AE240" s="11"/>
      <c r="AF240" s="12">
        <v>4690</v>
      </c>
      <c r="AG240" s="11"/>
      <c r="AH240" s="10" t="s">
        <v>2184</v>
      </c>
      <c r="AI240" s="11"/>
      <c r="AJ240" s="11"/>
      <c r="AK240" s="11"/>
      <c r="AL240" s="11"/>
      <c r="AM240" s="11"/>
      <c r="AN240" s="11"/>
      <c r="AO240" s="11"/>
      <c r="AP240" s="11"/>
      <c r="AQ240" s="11"/>
      <c r="AR240" s="10" t="s">
        <v>289</v>
      </c>
      <c r="AS240" s="10" t="s">
        <v>66</v>
      </c>
      <c r="AT240" s="10" t="s">
        <v>53</v>
      </c>
    </row>
    <row r="241" spans="1:46" ht="20" hidden="1" customHeight="1" x14ac:dyDescent="0.15">
      <c r="A241" s="8" t="s">
        <v>2188</v>
      </c>
      <c r="B241" s="9" t="s">
        <v>2189</v>
      </c>
      <c r="C241" s="10" t="s">
        <v>1980</v>
      </c>
      <c r="D241" s="10" t="s">
        <v>2190</v>
      </c>
      <c r="E241" s="10" t="s">
        <v>51</v>
      </c>
      <c r="F241" s="10" t="s">
        <v>2163</v>
      </c>
      <c r="G241" s="11"/>
      <c r="H241" s="10" t="s">
        <v>91</v>
      </c>
      <c r="I241" s="10" t="s">
        <v>53</v>
      </c>
      <c r="J241" s="10" t="s">
        <v>54</v>
      </c>
      <c r="K241" s="11"/>
      <c r="L241" s="10" t="s">
        <v>2191</v>
      </c>
      <c r="M241" s="11"/>
      <c r="N241" s="11"/>
      <c r="O241" s="11"/>
      <c r="P241" s="11"/>
      <c r="Q241" s="10" t="s">
        <v>2192</v>
      </c>
      <c r="R241" s="11"/>
      <c r="S241" s="10" t="s">
        <v>2165</v>
      </c>
      <c r="T241" s="10" t="s">
        <v>2166</v>
      </c>
      <c r="U241" s="10" t="s">
        <v>2167</v>
      </c>
      <c r="V241" s="11"/>
      <c r="W241" s="10" t="s">
        <v>2168</v>
      </c>
      <c r="X241" s="10" t="s">
        <v>80</v>
      </c>
      <c r="Y241" s="10" t="s">
        <v>80</v>
      </c>
      <c r="Z241" s="10" t="s">
        <v>2193</v>
      </c>
      <c r="AA241" s="10" t="s">
        <v>2194</v>
      </c>
      <c r="AB241" s="11"/>
      <c r="AC241" s="11"/>
      <c r="AD241" s="11"/>
      <c r="AE241" s="11"/>
      <c r="AF241" s="12">
        <v>302205</v>
      </c>
      <c r="AG241" s="11"/>
      <c r="AH241" s="10" t="s">
        <v>2195</v>
      </c>
      <c r="AI241" s="11"/>
      <c r="AJ241" s="11"/>
      <c r="AK241" s="11"/>
      <c r="AL241" s="11"/>
      <c r="AM241" s="11"/>
      <c r="AN241" s="11"/>
      <c r="AO241" s="11"/>
      <c r="AP241" s="11"/>
      <c r="AQ241" s="11"/>
      <c r="AR241" s="10" t="s">
        <v>2196</v>
      </c>
      <c r="AS241" s="10" t="s">
        <v>66</v>
      </c>
      <c r="AT241" s="10" t="s">
        <v>53</v>
      </c>
    </row>
    <row r="242" spans="1:46" ht="20" hidden="1" customHeight="1" x14ac:dyDescent="0.15">
      <c r="A242" s="8" t="s">
        <v>2197</v>
      </c>
      <c r="B242" s="9" t="s">
        <v>2198</v>
      </c>
      <c r="C242" s="10" t="s">
        <v>2199</v>
      </c>
      <c r="D242" s="10" t="s">
        <v>2200</v>
      </c>
      <c r="E242" s="10" t="s">
        <v>51</v>
      </c>
      <c r="F242" s="10" t="s">
        <v>2163</v>
      </c>
      <c r="G242" s="11"/>
      <c r="H242" s="10" t="s">
        <v>91</v>
      </c>
      <c r="I242" s="10" t="s">
        <v>53</v>
      </c>
      <c r="J242" s="10" t="s">
        <v>54</v>
      </c>
      <c r="K242" s="11"/>
      <c r="L242" s="10" t="s">
        <v>2164</v>
      </c>
      <c r="M242" s="11"/>
      <c r="N242" s="11"/>
      <c r="O242" s="11"/>
      <c r="P242" s="11"/>
      <c r="Q242" s="10" t="s">
        <v>2201</v>
      </c>
      <c r="R242" s="11"/>
      <c r="S242" s="10" t="s">
        <v>2165</v>
      </c>
      <c r="T242" s="10" t="s">
        <v>2166</v>
      </c>
      <c r="U242" s="10" t="s">
        <v>2167</v>
      </c>
      <c r="V242" s="11"/>
      <c r="W242" s="10" t="s">
        <v>2168</v>
      </c>
      <c r="X242" s="10" t="s">
        <v>80</v>
      </c>
      <c r="Y242" s="10" t="s">
        <v>80</v>
      </c>
      <c r="Z242" s="10" t="s">
        <v>2202</v>
      </c>
      <c r="AA242" s="10" t="s">
        <v>2203</v>
      </c>
      <c r="AB242" s="11"/>
      <c r="AC242" s="11"/>
      <c r="AD242" s="11"/>
      <c r="AE242" s="11"/>
      <c r="AF242" s="12">
        <v>2094</v>
      </c>
      <c r="AG242" s="11"/>
      <c r="AH242" s="10" t="s">
        <v>2204</v>
      </c>
      <c r="AI242" s="11"/>
      <c r="AJ242" s="11"/>
      <c r="AK242" s="11"/>
      <c r="AL242" s="11"/>
      <c r="AM242" s="11"/>
      <c r="AN242" s="11"/>
      <c r="AO242" s="11"/>
      <c r="AP242" s="11"/>
      <c r="AQ242" s="11"/>
      <c r="AR242" s="10" t="s">
        <v>289</v>
      </c>
      <c r="AS242" s="10" t="s">
        <v>66</v>
      </c>
      <c r="AT242" s="10" t="s">
        <v>53</v>
      </c>
    </row>
    <row r="243" spans="1:46" ht="20" hidden="1" customHeight="1" x14ac:dyDescent="0.15">
      <c r="A243" s="8" t="s">
        <v>2205</v>
      </c>
      <c r="B243" s="9" t="s">
        <v>2206</v>
      </c>
      <c r="C243" s="10" t="s">
        <v>2207</v>
      </c>
      <c r="D243" s="10" t="s">
        <v>2208</v>
      </c>
      <c r="E243" s="10" t="s">
        <v>51</v>
      </c>
      <c r="F243" s="10" t="s">
        <v>2163</v>
      </c>
      <c r="G243" s="11"/>
      <c r="H243" s="10" t="s">
        <v>91</v>
      </c>
      <c r="I243" s="10" t="s">
        <v>53</v>
      </c>
      <c r="J243" s="10" t="s">
        <v>54</v>
      </c>
      <c r="K243" s="11"/>
      <c r="L243" s="10" t="s">
        <v>2191</v>
      </c>
      <c r="M243" s="11"/>
      <c r="N243" s="11"/>
      <c r="O243" s="11"/>
      <c r="P243" s="11"/>
      <c r="Q243" s="10" t="s">
        <v>2209</v>
      </c>
      <c r="R243" s="11"/>
      <c r="S243" s="10" t="s">
        <v>2165</v>
      </c>
      <c r="T243" s="10" t="s">
        <v>2166</v>
      </c>
      <c r="U243" s="10" t="s">
        <v>2167</v>
      </c>
      <c r="V243" s="11"/>
      <c r="W243" s="10" t="s">
        <v>2168</v>
      </c>
      <c r="X243" s="10" t="s">
        <v>80</v>
      </c>
      <c r="Y243" s="10" t="s">
        <v>80</v>
      </c>
      <c r="Z243" s="10" t="s">
        <v>2210</v>
      </c>
      <c r="AA243" s="10" t="s">
        <v>2211</v>
      </c>
      <c r="AB243" s="11"/>
      <c r="AC243" s="11"/>
      <c r="AD243" s="11"/>
      <c r="AE243" s="11"/>
      <c r="AF243" s="12">
        <v>261960</v>
      </c>
      <c r="AG243" s="11"/>
      <c r="AH243" s="10" t="s">
        <v>2212</v>
      </c>
      <c r="AI243" s="11"/>
      <c r="AJ243" s="11"/>
      <c r="AK243" s="11"/>
      <c r="AL243" s="11"/>
      <c r="AM243" s="11"/>
      <c r="AN243" s="11"/>
      <c r="AO243" s="11"/>
      <c r="AP243" s="11"/>
      <c r="AQ243" s="11"/>
      <c r="AR243" s="10" t="s">
        <v>2213</v>
      </c>
      <c r="AS243" s="10" t="s">
        <v>66</v>
      </c>
      <c r="AT243" s="10" t="s">
        <v>53</v>
      </c>
    </row>
    <row r="244" spans="1:46" ht="20" hidden="1" customHeight="1" x14ac:dyDescent="0.15">
      <c r="A244" s="8" t="s">
        <v>2214</v>
      </c>
      <c r="B244" s="9" t="s">
        <v>2215</v>
      </c>
      <c r="C244" s="10" t="s">
        <v>2216</v>
      </c>
      <c r="D244" s="10" t="s">
        <v>2217</v>
      </c>
      <c r="E244" s="10" t="s">
        <v>51</v>
      </c>
      <c r="F244" s="10" t="s">
        <v>2163</v>
      </c>
      <c r="G244" s="11"/>
      <c r="H244" s="10" t="s">
        <v>91</v>
      </c>
      <c r="I244" s="10" t="s">
        <v>53</v>
      </c>
      <c r="J244" s="10" t="s">
        <v>54</v>
      </c>
      <c r="K244" s="11"/>
      <c r="L244" s="10" t="s">
        <v>2191</v>
      </c>
      <c r="M244" s="11"/>
      <c r="N244" s="11"/>
      <c r="O244" s="11"/>
      <c r="P244" s="11"/>
      <c r="Q244" s="10" t="s">
        <v>2192</v>
      </c>
      <c r="R244" s="11"/>
      <c r="S244" s="10" t="s">
        <v>2165</v>
      </c>
      <c r="T244" s="10" t="s">
        <v>2166</v>
      </c>
      <c r="U244" s="10" t="s">
        <v>2167</v>
      </c>
      <c r="V244" s="11"/>
      <c r="W244" s="10" t="s">
        <v>2168</v>
      </c>
      <c r="X244" s="10" t="s">
        <v>80</v>
      </c>
      <c r="Y244" s="10" t="s">
        <v>80</v>
      </c>
      <c r="Z244" s="10" t="s">
        <v>2218</v>
      </c>
      <c r="AA244" s="10" t="s">
        <v>2219</v>
      </c>
      <c r="AB244" s="11"/>
      <c r="AC244" s="11"/>
      <c r="AD244" s="11"/>
      <c r="AE244" s="11"/>
      <c r="AF244" s="12">
        <v>1023</v>
      </c>
      <c r="AG244" s="11"/>
      <c r="AH244" s="10" t="s">
        <v>2220</v>
      </c>
      <c r="AI244" s="11"/>
      <c r="AJ244" s="11"/>
      <c r="AK244" s="11"/>
      <c r="AL244" s="11"/>
      <c r="AM244" s="11"/>
      <c r="AN244" s="11"/>
      <c r="AO244" s="11"/>
      <c r="AP244" s="11"/>
      <c r="AQ244" s="11"/>
      <c r="AR244" s="10" t="s">
        <v>908</v>
      </c>
      <c r="AS244" s="10" t="s">
        <v>66</v>
      </c>
      <c r="AT244" s="10" t="s">
        <v>53</v>
      </c>
    </row>
    <row r="245" spans="1:46" ht="20" hidden="1" customHeight="1" x14ac:dyDescent="0.15">
      <c r="A245" s="8" t="s">
        <v>2221</v>
      </c>
      <c r="B245" s="9" t="s">
        <v>2222</v>
      </c>
      <c r="C245" s="10" t="s">
        <v>2223</v>
      </c>
      <c r="D245" s="10" t="s">
        <v>2224</v>
      </c>
      <c r="E245" s="10" t="s">
        <v>51</v>
      </c>
      <c r="F245" s="10" t="s">
        <v>2163</v>
      </c>
      <c r="G245" s="11"/>
      <c r="H245" s="10" t="s">
        <v>91</v>
      </c>
      <c r="I245" s="10" t="s">
        <v>53</v>
      </c>
      <c r="J245" s="10" t="s">
        <v>54</v>
      </c>
      <c r="K245" s="11"/>
      <c r="L245" s="10" t="s">
        <v>2164</v>
      </c>
      <c r="M245" s="11"/>
      <c r="N245" s="11"/>
      <c r="O245" s="11"/>
      <c r="P245" s="11"/>
      <c r="Q245" s="10" t="s">
        <v>2225</v>
      </c>
      <c r="R245" s="11"/>
      <c r="S245" s="10" t="s">
        <v>2165</v>
      </c>
      <c r="T245" s="10" t="s">
        <v>2166</v>
      </c>
      <c r="U245" s="10" t="s">
        <v>2167</v>
      </c>
      <c r="V245" s="11"/>
      <c r="W245" s="10" t="s">
        <v>2168</v>
      </c>
      <c r="X245" s="10" t="s">
        <v>80</v>
      </c>
      <c r="Y245" s="10" t="s">
        <v>80</v>
      </c>
      <c r="Z245" s="10" t="s">
        <v>2226</v>
      </c>
      <c r="AA245" s="10" t="s">
        <v>2227</v>
      </c>
      <c r="AB245" s="11"/>
      <c r="AC245" s="11"/>
      <c r="AD245" s="11"/>
      <c r="AE245" s="11"/>
      <c r="AF245" s="12">
        <v>60838</v>
      </c>
      <c r="AG245" s="11"/>
      <c r="AH245" s="10" t="s">
        <v>2223</v>
      </c>
      <c r="AI245" s="11"/>
      <c r="AJ245" s="11"/>
      <c r="AK245" s="11"/>
      <c r="AL245" s="11"/>
      <c r="AM245" s="11"/>
      <c r="AN245" s="11"/>
      <c r="AO245" s="11"/>
      <c r="AP245" s="11"/>
      <c r="AQ245" s="11"/>
      <c r="AR245" s="10" t="s">
        <v>2228</v>
      </c>
      <c r="AS245" s="10" t="s">
        <v>66</v>
      </c>
      <c r="AT245" s="10" t="s">
        <v>53</v>
      </c>
    </row>
    <row r="246" spans="1:46" ht="20" hidden="1" customHeight="1" x14ac:dyDescent="0.15">
      <c r="A246" s="8" t="s">
        <v>2229</v>
      </c>
      <c r="B246" s="9" t="s">
        <v>2230</v>
      </c>
      <c r="C246" s="10" t="s">
        <v>2231</v>
      </c>
      <c r="D246" s="10" t="s">
        <v>2232</v>
      </c>
      <c r="E246" s="10" t="s">
        <v>51</v>
      </c>
      <c r="F246" s="10" t="s">
        <v>2163</v>
      </c>
      <c r="G246" s="11"/>
      <c r="H246" s="10" t="s">
        <v>91</v>
      </c>
      <c r="I246" s="10" t="s">
        <v>53</v>
      </c>
      <c r="J246" s="10" t="s">
        <v>54</v>
      </c>
      <c r="K246" s="11"/>
      <c r="L246" s="10" t="s">
        <v>2191</v>
      </c>
      <c r="M246" s="11"/>
      <c r="N246" s="11"/>
      <c r="O246" s="11"/>
      <c r="P246" s="11"/>
      <c r="Q246" s="10" t="s">
        <v>1929</v>
      </c>
      <c r="R246" s="11"/>
      <c r="S246" s="10" t="s">
        <v>2165</v>
      </c>
      <c r="T246" s="10" t="s">
        <v>2166</v>
      </c>
      <c r="U246" s="10" t="s">
        <v>2167</v>
      </c>
      <c r="V246" s="11"/>
      <c r="W246" s="10" t="s">
        <v>2168</v>
      </c>
      <c r="X246" s="10" t="s">
        <v>80</v>
      </c>
      <c r="Y246" s="10" t="s">
        <v>80</v>
      </c>
      <c r="Z246" s="10" t="s">
        <v>2233</v>
      </c>
      <c r="AA246" s="10" t="s">
        <v>2234</v>
      </c>
      <c r="AB246" s="11"/>
      <c r="AC246" s="11"/>
      <c r="AD246" s="11"/>
      <c r="AE246" s="11"/>
      <c r="AF246" s="12">
        <v>38980</v>
      </c>
      <c r="AG246" s="11"/>
      <c r="AH246" s="10" t="s">
        <v>2235</v>
      </c>
      <c r="AI246" s="11"/>
      <c r="AJ246" s="11"/>
      <c r="AK246" s="11"/>
      <c r="AL246" s="11"/>
      <c r="AM246" s="11"/>
      <c r="AN246" s="11"/>
      <c r="AO246" s="11"/>
      <c r="AP246" s="11"/>
      <c r="AQ246" s="11"/>
      <c r="AR246" s="10" t="s">
        <v>908</v>
      </c>
      <c r="AS246" s="10" t="s">
        <v>66</v>
      </c>
      <c r="AT246" s="10" t="s">
        <v>53</v>
      </c>
    </row>
    <row r="247" spans="1:46" ht="20" hidden="1" customHeight="1" x14ac:dyDescent="0.15">
      <c r="A247" s="8" t="s">
        <v>2236</v>
      </c>
      <c r="B247" s="9" t="s">
        <v>2237</v>
      </c>
      <c r="C247" s="10" t="s">
        <v>2238</v>
      </c>
      <c r="D247" s="10" t="s">
        <v>2239</v>
      </c>
      <c r="E247" s="10" t="s">
        <v>51</v>
      </c>
      <c r="F247" s="10" t="s">
        <v>2163</v>
      </c>
      <c r="G247" s="11"/>
      <c r="H247" s="10" t="s">
        <v>91</v>
      </c>
      <c r="I247" s="10" t="s">
        <v>53</v>
      </c>
      <c r="J247" s="10" t="s">
        <v>54</v>
      </c>
      <c r="K247" s="11"/>
      <c r="L247" s="10" t="s">
        <v>2191</v>
      </c>
      <c r="M247" s="11"/>
      <c r="N247" s="11"/>
      <c r="O247" s="11"/>
      <c r="P247" s="11"/>
      <c r="Q247" s="10" t="s">
        <v>1929</v>
      </c>
      <c r="R247" s="11"/>
      <c r="S247" s="10" t="s">
        <v>2165</v>
      </c>
      <c r="T247" s="10" t="s">
        <v>2166</v>
      </c>
      <c r="U247" s="10" t="s">
        <v>2167</v>
      </c>
      <c r="V247" s="11"/>
      <c r="W247" s="10" t="s">
        <v>2168</v>
      </c>
      <c r="X247" s="10" t="s">
        <v>80</v>
      </c>
      <c r="Y247" s="10" t="s">
        <v>80</v>
      </c>
      <c r="Z247" s="10" t="s">
        <v>2240</v>
      </c>
      <c r="AA247" s="10" t="s">
        <v>2241</v>
      </c>
      <c r="AB247" s="11"/>
      <c r="AC247" s="11"/>
      <c r="AD247" s="11"/>
      <c r="AE247" s="11"/>
      <c r="AF247" s="12">
        <v>264930</v>
      </c>
      <c r="AG247" s="11"/>
      <c r="AH247" s="10" t="s">
        <v>2242</v>
      </c>
      <c r="AI247" s="11"/>
      <c r="AJ247" s="11"/>
      <c r="AK247" s="11"/>
      <c r="AL247" s="11"/>
      <c r="AM247" s="11"/>
      <c r="AN247" s="11"/>
      <c r="AO247" s="11"/>
      <c r="AP247" s="11"/>
      <c r="AQ247" s="11"/>
      <c r="AR247" s="10" t="s">
        <v>2243</v>
      </c>
      <c r="AS247" s="10" t="s">
        <v>66</v>
      </c>
      <c r="AT247" s="10" t="s">
        <v>53</v>
      </c>
    </row>
    <row r="248" spans="1:46" ht="20" hidden="1" customHeight="1" x14ac:dyDescent="0.15">
      <c r="A248" s="8" t="s">
        <v>2244</v>
      </c>
      <c r="B248" s="9" t="s">
        <v>2245</v>
      </c>
      <c r="C248" s="10" t="s">
        <v>516</v>
      </c>
      <c r="D248" s="10" t="s">
        <v>2246</v>
      </c>
      <c r="E248" s="10" t="s">
        <v>51</v>
      </c>
      <c r="F248" s="10" t="s">
        <v>2163</v>
      </c>
      <c r="G248" s="11"/>
      <c r="H248" s="10" t="s">
        <v>91</v>
      </c>
      <c r="I248" s="10" t="s">
        <v>53</v>
      </c>
      <c r="J248" s="10" t="s">
        <v>54</v>
      </c>
      <c r="K248" s="11"/>
      <c r="L248" s="10" t="s">
        <v>2191</v>
      </c>
      <c r="M248" s="11"/>
      <c r="N248" s="11"/>
      <c r="O248" s="11"/>
      <c r="P248" s="11"/>
      <c r="Q248" s="10" t="s">
        <v>107</v>
      </c>
      <c r="R248" s="11"/>
      <c r="S248" s="10" t="s">
        <v>2165</v>
      </c>
      <c r="T248" s="10" t="s">
        <v>2166</v>
      </c>
      <c r="U248" s="10" t="s">
        <v>2167</v>
      </c>
      <c r="V248" s="11"/>
      <c r="W248" s="10" t="s">
        <v>2168</v>
      </c>
      <c r="X248" s="10" t="s">
        <v>80</v>
      </c>
      <c r="Y248" s="10" t="s">
        <v>80</v>
      </c>
      <c r="Z248" s="10" t="s">
        <v>2247</v>
      </c>
      <c r="AA248" s="10" t="s">
        <v>2248</v>
      </c>
      <c r="AB248" s="11"/>
      <c r="AC248" s="11"/>
      <c r="AD248" s="11"/>
      <c r="AE248" s="11"/>
      <c r="AF248" s="12">
        <v>153130</v>
      </c>
      <c r="AG248" s="11"/>
      <c r="AH248" s="10" t="s">
        <v>2249</v>
      </c>
      <c r="AI248" s="11"/>
      <c r="AJ248" s="11"/>
      <c r="AK248" s="11"/>
      <c r="AL248" s="11"/>
      <c r="AM248" s="11"/>
      <c r="AN248" s="11"/>
      <c r="AO248" s="11"/>
      <c r="AP248" s="11"/>
      <c r="AQ248" s="11"/>
      <c r="AR248" s="10" t="s">
        <v>938</v>
      </c>
      <c r="AS248" s="10" t="s">
        <v>66</v>
      </c>
      <c r="AT248" s="10" t="s">
        <v>53</v>
      </c>
    </row>
    <row r="249" spans="1:46" ht="20" hidden="1" customHeight="1" x14ac:dyDescent="0.15">
      <c r="A249" s="8" t="s">
        <v>2250</v>
      </c>
      <c r="B249" s="9" t="s">
        <v>2251</v>
      </c>
      <c r="C249" s="10" t="s">
        <v>138</v>
      </c>
      <c r="D249" s="10" t="s">
        <v>2252</v>
      </c>
      <c r="E249" s="10" t="s">
        <v>51</v>
      </c>
      <c r="F249" s="10" t="s">
        <v>2163</v>
      </c>
      <c r="G249" s="11"/>
      <c r="H249" s="10" t="s">
        <v>91</v>
      </c>
      <c r="I249" s="10" t="s">
        <v>53</v>
      </c>
      <c r="J249" s="10" t="s">
        <v>54</v>
      </c>
      <c r="K249" s="11"/>
      <c r="L249" s="10" t="s">
        <v>2191</v>
      </c>
      <c r="M249" s="11"/>
      <c r="N249" s="11"/>
      <c r="O249" s="11"/>
      <c r="P249" s="11"/>
      <c r="Q249" s="10" t="s">
        <v>2201</v>
      </c>
      <c r="R249" s="11"/>
      <c r="S249" s="10" t="s">
        <v>2165</v>
      </c>
      <c r="T249" s="10" t="s">
        <v>2166</v>
      </c>
      <c r="U249" s="10" t="s">
        <v>2167</v>
      </c>
      <c r="V249" s="11"/>
      <c r="W249" s="10" t="s">
        <v>2168</v>
      </c>
      <c r="X249" s="10" t="s">
        <v>80</v>
      </c>
      <c r="Y249" s="10" t="s">
        <v>80</v>
      </c>
      <c r="Z249" s="10" t="s">
        <v>2253</v>
      </c>
      <c r="AA249" s="10" t="s">
        <v>2254</v>
      </c>
      <c r="AB249" s="11"/>
      <c r="AC249" s="11"/>
      <c r="AD249" s="11"/>
      <c r="AE249" s="11"/>
      <c r="AF249" s="12">
        <v>180000</v>
      </c>
      <c r="AG249" s="11"/>
      <c r="AH249" s="10" t="s">
        <v>138</v>
      </c>
      <c r="AI249" s="11"/>
      <c r="AJ249" s="11"/>
      <c r="AK249" s="11"/>
      <c r="AL249" s="11"/>
      <c r="AM249" s="11"/>
      <c r="AN249" s="11"/>
      <c r="AO249" s="11"/>
      <c r="AP249" s="11"/>
      <c r="AQ249" s="11"/>
      <c r="AR249" s="10" t="s">
        <v>1971</v>
      </c>
      <c r="AS249" s="10" t="s">
        <v>66</v>
      </c>
      <c r="AT249" s="10" t="s">
        <v>53</v>
      </c>
    </row>
    <row r="250" spans="1:46" ht="20" hidden="1" customHeight="1" x14ac:dyDescent="0.15">
      <c r="A250" s="8" t="s">
        <v>2255</v>
      </c>
      <c r="B250" s="9" t="s">
        <v>2256</v>
      </c>
      <c r="C250" s="10" t="s">
        <v>2257</v>
      </c>
      <c r="D250" s="10" t="s">
        <v>2258</v>
      </c>
      <c r="E250" s="10" t="s">
        <v>51</v>
      </c>
      <c r="F250" s="10" t="s">
        <v>2163</v>
      </c>
      <c r="G250" s="11"/>
      <c r="H250" s="10" t="s">
        <v>91</v>
      </c>
      <c r="I250" s="10" t="s">
        <v>53</v>
      </c>
      <c r="J250" s="10" t="s">
        <v>54</v>
      </c>
      <c r="K250" s="11"/>
      <c r="L250" s="10" t="s">
        <v>2164</v>
      </c>
      <c r="M250" s="11"/>
      <c r="N250" s="11"/>
      <c r="O250" s="11"/>
      <c r="P250" s="11"/>
      <c r="Q250" s="10" t="s">
        <v>94</v>
      </c>
      <c r="R250" s="11"/>
      <c r="S250" s="10" t="s">
        <v>2165</v>
      </c>
      <c r="T250" s="10" t="s">
        <v>2166</v>
      </c>
      <c r="U250" s="10" t="s">
        <v>2167</v>
      </c>
      <c r="V250" s="11"/>
      <c r="W250" s="10" t="s">
        <v>2168</v>
      </c>
      <c r="X250" s="10" t="s">
        <v>80</v>
      </c>
      <c r="Y250" s="10" t="s">
        <v>80</v>
      </c>
      <c r="Z250" s="10" t="s">
        <v>2259</v>
      </c>
      <c r="AA250" s="10" t="s">
        <v>2260</v>
      </c>
      <c r="AB250" s="11"/>
      <c r="AC250" s="11"/>
      <c r="AD250" s="11"/>
      <c r="AE250" s="11"/>
      <c r="AF250" s="12">
        <v>58</v>
      </c>
      <c r="AG250" s="11"/>
      <c r="AH250" s="10" t="s">
        <v>1345</v>
      </c>
      <c r="AI250" s="11"/>
      <c r="AJ250" s="11"/>
      <c r="AK250" s="11"/>
      <c r="AL250" s="11"/>
      <c r="AM250" s="11"/>
      <c r="AN250" s="11"/>
      <c r="AO250" s="11"/>
      <c r="AP250" s="11"/>
      <c r="AQ250" s="11"/>
      <c r="AR250" s="10" t="s">
        <v>325</v>
      </c>
      <c r="AS250" s="10" t="s">
        <v>66</v>
      </c>
      <c r="AT250" s="10" t="s">
        <v>53</v>
      </c>
    </row>
    <row r="251" spans="1:46" ht="20" hidden="1" customHeight="1" x14ac:dyDescent="0.15">
      <c r="A251" s="8" t="s">
        <v>2261</v>
      </c>
      <c r="B251" s="9" t="s">
        <v>2262</v>
      </c>
      <c r="C251" s="10" t="s">
        <v>2263</v>
      </c>
      <c r="D251" s="10" t="s">
        <v>2264</v>
      </c>
      <c r="E251" s="10" t="s">
        <v>51</v>
      </c>
      <c r="F251" s="10" t="s">
        <v>2163</v>
      </c>
      <c r="G251" s="11"/>
      <c r="H251" s="10" t="s">
        <v>91</v>
      </c>
      <c r="I251" s="10" t="s">
        <v>53</v>
      </c>
      <c r="J251" s="10" t="s">
        <v>54</v>
      </c>
      <c r="K251" s="11"/>
      <c r="L251" s="10" t="s">
        <v>2164</v>
      </c>
      <c r="M251" s="11"/>
      <c r="N251" s="11"/>
      <c r="O251" s="11"/>
      <c r="P251" s="11"/>
      <c r="Q251" s="10" t="s">
        <v>94</v>
      </c>
      <c r="R251" s="11"/>
      <c r="S251" s="10" t="s">
        <v>2165</v>
      </c>
      <c r="T251" s="10" t="s">
        <v>2166</v>
      </c>
      <c r="U251" s="10" t="s">
        <v>2167</v>
      </c>
      <c r="V251" s="11"/>
      <c r="W251" s="10" t="s">
        <v>2168</v>
      </c>
      <c r="X251" s="10" t="s">
        <v>80</v>
      </c>
      <c r="Y251" s="10" t="s">
        <v>80</v>
      </c>
      <c r="Z251" s="10" t="s">
        <v>2265</v>
      </c>
      <c r="AA251" s="10" t="s">
        <v>2266</v>
      </c>
      <c r="AB251" s="11"/>
      <c r="AC251" s="11"/>
      <c r="AD251" s="11"/>
      <c r="AE251" s="11"/>
      <c r="AF251" s="12">
        <v>15898</v>
      </c>
      <c r="AG251" s="11"/>
      <c r="AH251" s="10" t="s">
        <v>2267</v>
      </c>
      <c r="AI251" s="11"/>
      <c r="AJ251" s="11"/>
      <c r="AK251" s="11"/>
      <c r="AL251" s="11"/>
      <c r="AM251" s="11"/>
      <c r="AN251" s="11"/>
      <c r="AO251" s="11"/>
      <c r="AP251" s="11"/>
      <c r="AQ251" s="11"/>
      <c r="AR251" s="10" t="s">
        <v>2268</v>
      </c>
      <c r="AS251" s="10" t="s">
        <v>66</v>
      </c>
      <c r="AT251" s="10" t="s">
        <v>53</v>
      </c>
    </row>
    <row r="252" spans="1:46" ht="20" hidden="1" customHeight="1" x14ac:dyDescent="0.15">
      <c r="A252" s="8" t="s">
        <v>2269</v>
      </c>
      <c r="B252" s="9" t="s">
        <v>2270</v>
      </c>
      <c r="C252" s="10" t="s">
        <v>2271</v>
      </c>
      <c r="D252" s="10" t="s">
        <v>2272</v>
      </c>
      <c r="E252" s="10" t="s">
        <v>51</v>
      </c>
      <c r="F252" s="10" t="s">
        <v>2163</v>
      </c>
      <c r="G252" s="11"/>
      <c r="H252" s="10" t="s">
        <v>91</v>
      </c>
      <c r="I252" s="10" t="s">
        <v>53</v>
      </c>
      <c r="J252" s="10" t="s">
        <v>54</v>
      </c>
      <c r="K252" s="11"/>
      <c r="L252" s="10" t="s">
        <v>2191</v>
      </c>
      <c r="M252" s="11"/>
      <c r="N252" s="11"/>
      <c r="O252" s="11"/>
      <c r="P252" s="11"/>
      <c r="Q252" s="10" t="s">
        <v>1929</v>
      </c>
      <c r="R252" s="11"/>
      <c r="S252" s="10" t="s">
        <v>2165</v>
      </c>
      <c r="T252" s="10" t="s">
        <v>2166</v>
      </c>
      <c r="U252" s="10" t="s">
        <v>2167</v>
      </c>
      <c r="V252" s="11"/>
      <c r="W252" s="10" t="s">
        <v>2168</v>
      </c>
      <c r="X252" s="10" t="s">
        <v>80</v>
      </c>
      <c r="Y252" s="10" t="s">
        <v>80</v>
      </c>
      <c r="Z252" s="10" t="s">
        <v>2273</v>
      </c>
      <c r="AA252" s="10" t="s">
        <v>2274</v>
      </c>
      <c r="AB252" s="11"/>
      <c r="AC252" s="11"/>
      <c r="AD252" s="11"/>
      <c r="AE252" s="11"/>
      <c r="AF252" s="12">
        <v>5326</v>
      </c>
      <c r="AG252" s="11"/>
      <c r="AH252" s="10" t="s">
        <v>2271</v>
      </c>
      <c r="AI252" s="11"/>
      <c r="AJ252" s="11"/>
      <c r="AK252" s="11"/>
      <c r="AL252" s="11"/>
      <c r="AM252" s="11"/>
      <c r="AN252" s="11"/>
      <c r="AO252" s="11"/>
      <c r="AP252" s="11"/>
      <c r="AQ252" s="11"/>
      <c r="AR252" s="10" t="s">
        <v>908</v>
      </c>
      <c r="AS252" s="10" t="s">
        <v>66</v>
      </c>
      <c r="AT252" s="10" t="s">
        <v>53</v>
      </c>
    </row>
    <row r="253" spans="1:46" ht="20" hidden="1" customHeight="1" x14ac:dyDescent="0.15">
      <c r="A253" s="8" t="s">
        <v>2275</v>
      </c>
      <c r="B253" s="9" t="s">
        <v>2276</v>
      </c>
      <c r="C253" s="10" t="s">
        <v>2277</v>
      </c>
      <c r="D253" s="10" t="s">
        <v>2278</v>
      </c>
      <c r="E253" s="10" t="s">
        <v>51</v>
      </c>
      <c r="F253" s="10" t="s">
        <v>2163</v>
      </c>
      <c r="G253" s="11"/>
      <c r="H253" s="10" t="s">
        <v>91</v>
      </c>
      <c r="I253" s="10" t="s">
        <v>53</v>
      </c>
      <c r="J253" s="10" t="s">
        <v>54</v>
      </c>
      <c r="K253" s="11"/>
      <c r="L253" s="10" t="s">
        <v>2191</v>
      </c>
      <c r="M253" s="11"/>
      <c r="N253" s="11"/>
      <c r="O253" s="11"/>
      <c r="P253" s="11"/>
      <c r="Q253" s="10" t="s">
        <v>1929</v>
      </c>
      <c r="R253" s="11"/>
      <c r="S253" s="10" t="s">
        <v>2165</v>
      </c>
      <c r="T253" s="10" t="s">
        <v>2166</v>
      </c>
      <c r="U253" s="10" t="s">
        <v>2167</v>
      </c>
      <c r="V253" s="11"/>
      <c r="W253" s="10" t="s">
        <v>2168</v>
      </c>
      <c r="X253" s="10" t="s">
        <v>80</v>
      </c>
      <c r="Y253" s="10" t="s">
        <v>80</v>
      </c>
      <c r="Z253" s="10" t="s">
        <v>2279</v>
      </c>
      <c r="AA253" s="10" t="s">
        <v>2280</v>
      </c>
      <c r="AB253" s="11"/>
      <c r="AC253" s="11"/>
      <c r="AD253" s="11"/>
      <c r="AE253" s="11"/>
      <c r="AF253" s="12">
        <v>3600</v>
      </c>
      <c r="AG253" s="11"/>
      <c r="AH253" s="10" t="s">
        <v>2277</v>
      </c>
      <c r="AI253" s="11"/>
      <c r="AJ253" s="11"/>
      <c r="AK253" s="11"/>
      <c r="AL253" s="11"/>
      <c r="AM253" s="11"/>
      <c r="AN253" s="11"/>
      <c r="AO253" s="11"/>
      <c r="AP253" s="11"/>
      <c r="AQ253" s="11"/>
      <c r="AR253" s="10" t="s">
        <v>908</v>
      </c>
      <c r="AS253" s="10" t="s">
        <v>66</v>
      </c>
      <c r="AT253" s="10" t="s">
        <v>53</v>
      </c>
    </row>
    <row r="254" spans="1:46" ht="20" hidden="1" customHeight="1" x14ac:dyDescent="0.15">
      <c r="A254" s="8" t="s">
        <v>2281</v>
      </c>
      <c r="B254" s="9" t="s">
        <v>2282</v>
      </c>
      <c r="C254" s="10" t="s">
        <v>2283</v>
      </c>
      <c r="D254" s="10" t="s">
        <v>2284</v>
      </c>
      <c r="E254" s="10" t="s">
        <v>51</v>
      </c>
      <c r="F254" s="10" t="s">
        <v>2163</v>
      </c>
      <c r="G254" s="11"/>
      <c r="H254" s="10" t="s">
        <v>91</v>
      </c>
      <c r="I254" s="10" t="s">
        <v>53</v>
      </c>
      <c r="J254" s="10" t="s">
        <v>54</v>
      </c>
      <c r="K254" s="11"/>
      <c r="L254" s="10" t="s">
        <v>2164</v>
      </c>
      <c r="M254" s="11"/>
      <c r="N254" s="11"/>
      <c r="O254" s="11"/>
      <c r="P254" s="11"/>
      <c r="Q254" s="10" t="s">
        <v>1929</v>
      </c>
      <c r="R254" s="11"/>
      <c r="S254" s="10" t="s">
        <v>2165</v>
      </c>
      <c r="T254" s="10" t="s">
        <v>2166</v>
      </c>
      <c r="U254" s="10" t="s">
        <v>2167</v>
      </c>
      <c r="V254" s="11"/>
      <c r="W254" s="10" t="s">
        <v>2168</v>
      </c>
      <c r="X254" s="10" t="s">
        <v>80</v>
      </c>
      <c r="Y254" s="10" t="s">
        <v>80</v>
      </c>
      <c r="Z254" s="10" t="s">
        <v>2285</v>
      </c>
      <c r="AA254" s="10" t="s">
        <v>2286</v>
      </c>
      <c r="AB254" s="11"/>
      <c r="AC254" s="11"/>
      <c r="AD254" s="11"/>
      <c r="AE254" s="11"/>
      <c r="AF254" s="12">
        <v>21900</v>
      </c>
      <c r="AG254" s="11"/>
      <c r="AH254" s="10" t="s">
        <v>2283</v>
      </c>
      <c r="AI254" s="11"/>
      <c r="AJ254" s="11"/>
      <c r="AK254" s="11"/>
      <c r="AL254" s="11"/>
      <c r="AM254" s="11"/>
      <c r="AN254" s="11"/>
      <c r="AO254" s="11"/>
      <c r="AP254" s="11"/>
      <c r="AQ254" s="11"/>
      <c r="AR254" s="10" t="s">
        <v>2287</v>
      </c>
      <c r="AS254" s="10" t="s">
        <v>66</v>
      </c>
      <c r="AT254" s="10" t="s">
        <v>53</v>
      </c>
    </row>
    <row r="255" spans="1:46" ht="20" hidden="1" customHeight="1" x14ac:dyDescent="0.15">
      <c r="A255" s="8" t="s">
        <v>2288</v>
      </c>
      <c r="B255" s="9" t="s">
        <v>2289</v>
      </c>
      <c r="C255" s="10" t="s">
        <v>1355</v>
      </c>
      <c r="D255" s="10" t="s">
        <v>2290</v>
      </c>
      <c r="E255" s="10" t="s">
        <v>51</v>
      </c>
      <c r="F255" s="10" t="s">
        <v>2163</v>
      </c>
      <c r="G255" s="11"/>
      <c r="H255" s="10" t="s">
        <v>91</v>
      </c>
      <c r="I255" s="10" t="s">
        <v>53</v>
      </c>
      <c r="J255" s="10" t="s">
        <v>54</v>
      </c>
      <c r="K255" s="11"/>
      <c r="L255" s="10" t="s">
        <v>2164</v>
      </c>
      <c r="M255" s="11"/>
      <c r="N255" s="11"/>
      <c r="O255" s="11"/>
      <c r="P255" s="11"/>
      <c r="Q255" s="10" t="s">
        <v>1929</v>
      </c>
      <c r="R255" s="11"/>
      <c r="S255" s="10" t="s">
        <v>2165</v>
      </c>
      <c r="T255" s="10" t="s">
        <v>2166</v>
      </c>
      <c r="U255" s="10" t="s">
        <v>2167</v>
      </c>
      <c r="V255" s="11"/>
      <c r="W255" s="10" t="s">
        <v>2168</v>
      </c>
      <c r="X255" s="10" t="s">
        <v>80</v>
      </c>
      <c r="Y255" s="10" t="s">
        <v>80</v>
      </c>
      <c r="Z255" s="10" t="s">
        <v>2291</v>
      </c>
      <c r="AA255" s="10" t="s">
        <v>2292</v>
      </c>
      <c r="AB255" s="11"/>
      <c r="AC255" s="11"/>
      <c r="AD255" s="11"/>
      <c r="AE255" s="11"/>
      <c r="AF255" s="12">
        <v>22727</v>
      </c>
      <c r="AG255" s="11"/>
      <c r="AH255" s="10" t="s">
        <v>1355</v>
      </c>
      <c r="AI255" s="11"/>
      <c r="AJ255" s="11"/>
      <c r="AK255" s="11"/>
      <c r="AL255" s="11"/>
      <c r="AM255" s="11"/>
      <c r="AN255" s="11"/>
      <c r="AO255" s="11"/>
      <c r="AP255" s="11"/>
      <c r="AQ255" s="11"/>
      <c r="AR255" s="10" t="s">
        <v>2293</v>
      </c>
      <c r="AS255" s="10" t="s">
        <v>66</v>
      </c>
      <c r="AT255" s="10" t="s">
        <v>53</v>
      </c>
    </row>
    <row r="256" spans="1:46" ht="20" hidden="1" customHeight="1" x14ac:dyDescent="0.15">
      <c r="A256" s="8" t="s">
        <v>2294</v>
      </c>
      <c r="B256" s="9" t="s">
        <v>2295</v>
      </c>
      <c r="C256" s="10" t="s">
        <v>997</v>
      </c>
      <c r="D256" s="10" t="s">
        <v>2296</v>
      </c>
      <c r="E256" s="10" t="s">
        <v>51</v>
      </c>
      <c r="F256" s="10" t="s">
        <v>2163</v>
      </c>
      <c r="G256" s="11"/>
      <c r="H256" s="10" t="s">
        <v>91</v>
      </c>
      <c r="I256" s="10" t="s">
        <v>53</v>
      </c>
      <c r="J256" s="10" t="s">
        <v>54</v>
      </c>
      <c r="K256" s="11"/>
      <c r="L256" s="10" t="s">
        <v>2297</v>
      </c>
      <c r="M256" s="11"/>
      <c r="N256" s="11"/>
      <c r="O256" s="11"/>
      <c r="P256" s="11"/>
      <c r="Q256" s="10" t="s">
        <v>2298</v>
      </c>
      <c r="R256" s="11"/>
      <c r="S256" s="10" t="s">
        <v>2165</v>
      </c>
      <c r="T256" s="10" t="s">
        <v>2166</v>
      </c>
      <c r="U256" s="10" t="s">
        <v>2167</v>
      </c>
      <c r="V256" s="11"/>
      <c r="W256" s="10" t="s">
        <v>2168</v>
      </c>
      <c r="X256" s="10" t="s">
        <v>80</v>
      </c>
      <c r="Y256" s="10" t="s">
        <v>80</v>
      </c>
      <c r="Z256" s="10" t="s">
        <v>2299</v>
      </c>
      <c r="AA256" s="10" t="s">
        <v>2300</v>
      </c>
      <c r="AB256" s="11"/>
      <c r="AC256" s="11"/>
      <c r="AD256" s="11"/>
      <c r="AE256" s="11"/>
      <c r="AF256" s="12">
        <v>46673</v>
      </c>
      <c r="AG256" s="11"/>
      <c r="AH256" s="10" t="s">
        <v>2301</v>
      </c>
      <c r="AI256" s="11"/>
      <c r="AJ256" s="11"/>
      <c r="AK256" s="11"/>
      <c r="AL256" s="11"/>
      <c r="AM256" s="11"/>
      <c r="AN256" s="11"/>
      <c r="AO256" s="11"/>
      <c r="AP256" s="11"/>
      <c r="AQ256" s="11"/>
      <c r="AR256" s="10" t="s">
        <v>1284</v>
      </c>
      <c r="AS256" s="10" t="s">
        <v>66</v>
      </c>
      <c r="AT256" s="10" t="s">
        <v>53</v>
      </c>
    </row>
    <row r="257" spans="1:46" ht="20" customHeight="1" x14ac:dyDescent="0.15">
      <c r="A257" s="8" t="s">
        <v>2302</v>
      </c>
      <c r="B257" s="9" t="s">
        <v>2303</v>
      </c>
      <c r="C257" s="10" t="s">
        <v>2304</v>
      </c>
      <c r="D257" s="10" t="s">
        <v>2305</v>
      </c>
      <c r="E257" s="10" t="s">
        <v>51</v>
      </c>
      <c r="F257" s="10" t="s">
        <v>2163</v>
      </c>
      <c r="G257" s="11"/>
      <c r="H257" s="10" t="s">
        <v>2306</v>
      </c>
      <c r="I257" s="10" t="s">
        <v>53</v>
      </c>
      <c r="J257" s="10" t="s">
        <v>54</v>
      </c>
      <c r="K257" s="11"/>
      <c r="L257" s="10" t="s">
        <v>2307</v>
      </c>
      <c r="M257" s="11"/>
      <c r="N257" s="10" t="s">
        <v>2308</v>
      </c>
      <c r="O257" s="11"/>
      <c r="P257" s="11"/>
      <c r="Q257" s="10" t="s">
        <v>75</v>
      </c>
      <c r="R257" s="11"/>
      <c r="S257" s="10" t="s">
        <v>2309</v>
      </c>
      <c r="T257" s="10" t="s">
        <v>2310</v>
      </c>
      <c r="U257" s="10" t="s">
        <v>2311</v>
      </c>
      <c r="V257" s="11"/>
      <c r="W257" s="10" t="s">
        <v>2312</v>
      </c>
      <c r="X257" s="10" t="s">
        <v>80</v>
      </c>
      <c r="Y257" s="10" t="s">
        <v>80</v>
      </c>
      <c r="Z257" s="10" t="s">
        <v>2313</v>
      </c>
      <c r="AA257" s="10" t="s">
        <v>2314</v>
      </c>
      <c r="AB257" s="11"/>
      <c r="AC257" s="11"/>
      <c r="AD257" s="11"/>
      <c r="AE257" s="11"/>
      <c r="AF257" s="12">
        <v>60000</v>
      </c>
      <c r="AG257" s="11"/>
      <c r="AH257" s="10" t="s">
        <v>2315</v>
      </c>
      <c r="AI257" s="11"/>
      <c r="AJ257" s="10" t="s">
        <v>2316</v>
      </c>
      <c r="AK257" s="10" t="s">
        <v>2317</v>
      </c>
      <c r="AL257" s="11"/>
      <c r="AM257" s="11"/>
      <c r="AN257" s="11"/>
      <c r="AO257" s="11"/>
      <c r="AP257" s="11"/>
      <c r="AQ257" s="11"/>
      <c r="AR257" s="10" t="s">
        <v>2318</v>
      </c>
      <c r="AS257" s="10" t="s">
        <v>66</v>
      </c>
      <c r="AT257" s="10" t="s">
        <v>53</v>
      </c>
    </row>
    <row r="258" spans="1:46" ht="20" customHeight="1" x14ac:dyDescent="0.15">
      <c r="A258" s="8" t="s">
        <v>2319</v>
      </c>
      <c r="B258" s="9" t="s">
        <v>2320</v>
      </c>
      <c r="C258" s="10" t="s">
        <v>2321</v>
      </c>
      <c r="D258" s="10" t="s">
        <v>2322</v>
      </c>
      <c r="E258" s="10" t="s">
        <v>51</v>
      </c>
      <c r="F258" s="10" t="s">
        <v>2163</v>
      </c>
      <c r="G258" s="11"/>
      <c r="H258" s="10" t="s">
        <v>2323</v>
      </c>
      <c r="I258" s="10" t="s">
        <v>53</v>
      </c>
      <c r="J258" s="10" t="s">
        <v>54</v>
      </c>
      <c r="K258" s="11"/>
      <c r="L258" s="10" t="s">
        <v>2307</v>
      </c>
      <c r="M258" s="11"/>
      <c r="N258" s="10" t="s">
        <v>2324</v>
      </c>
      <c r="O258" s="11"/>
      <c r="P258" s="11"/>
      <c r="Q258" s="10" t="s">
        <v>75</v>
      </c>
      <c r="R258" s="11"/>
      <c r="S258" s="10" t="s">
        <v>2309</v>
      </c>
      <c r="T258" s="10" t="s">
        <v>2310</v>
      </c>
      <c r="U258" s="10" t="s">
        <v>2311</v>
      </c>
      <c r="V258" s="11"/>
      <c r="W258" s="10" t="s">
        <v>2312</v>
      </c>
      <c r="X258" s="10" t="s">
        <v>80</v>
      </c>
      <c r="Y258" s="10" t="s">
        <v>80</v>
      </c>
      <c r="Z258" s="10" t="s">
        <v>2325</v>
      </c>
      <c r="AA258" s="10" t="s">
        <v>2326</v>
      </c>
      <c r="AB258" s="11"/>
      <c r="AC258" s="11"/>
      <c r="AD258" s="11"/>
      <c r="AE258" s="11"/>
      <c r="AF258" s="12">
        <v>35000</v>
      </c>
      <c r="AG258" s="11"/>
      <c r="AH258" s="11"/>
      <c r="AI258" s="11"/>
      <c r="AJ258" s="11"/>
      <c r="AK258" s="10" t="s">
        <v>2327</v>
      </c>
      <c r="AL258" s="11"/>
      <c r="AM258" s="11"/>
      <c r="AN258" s="11"/>
      <c r="AO258" s="11"/>
      <c r="AP258" s="11"/>
      <c r="AQ258" s="11"/>
      <c r="AR258" s="10" t="s">
        <v>2318</v>
      </c>
      <c r="AS258" s="10" t="s">
        <v>66</v>
      </c>
      <c r="AT258" s="10" t="s">
        <v>53</v>
      </c>
    </row>
    <row r="259" spans="1:46" ht="20" customHeight="1" x14ac:dyDescent="0.15">
      <c r="A259" s="8" t="s">
        <v>2328</v>
      </c>
      <c r="B259" s="9" t="s">
        <v>2329</v>
      </c>
      <c r="C259" s="10" t="s">
        <v>2330</v>
      </c>
      <c r="D259" s="10" t="s">
        <v>2331</v>
      </c>
      <c r="E259" s="10" t="s">
        <v>51</v>
      </c>
      <c r="F259" s="10" t="s">
        <v>2163</v>
      </c>
      <c r="G259" s="11"/>
      <c r="H259" s="10" t="s">
        <v>2332</v>
      </c>
      <c r="I259" s="10" t="s">
        <v>53</v>
      </c>
      <c r="J259" s="10" t="s">
        <v>54</v>
      </c>
      <c r="K259" s="11"/>
      <c r="L259" s="10" t="s">
        <v>2333</v>
      </c>
      <c r="M259" s="11"/>
      <c r="N259" s="10" t="s">
        <v>2334</v>
      </c>
      <c r="O259" s="11"/>
      <c r="P259" s="11"/>
      <c r="Q259" s="10" t="s">
        <v>75</v>
      </c>
      <c r="R259" s="11"/>
      <c r="S259" s="10" t="s">
        <v>2309</v>
      </c>
      <c r="T259" s="10" t="s">
        <v>2310</v>
      </c>
      <c r="U259" s="10" t="s">
        <v>2311</v>
      </c>
      <c r="V259" s="11"/>
      <c r="W259" s="10" t="s">
        <v>2312</v>
      </c>
      <c r="X259" s="10" t="s">
        <v>80</v>
      </c>
      <c r="Y259" s="10" t="s">
        <v>80</v>
      </c>
      <c r="Z259" s="10" t="s">
        <v>2335</v>
      </c>
      <c r="AA259" s="10" t="s">
        <v>2336</v>
      </c>
      <c r="AB259" s="11"/>
      <c r="AC259" s="11"/>
      <c r="AD259" s="11"/>
      <c r="AE259" s="11"/>
      <c r="AF259" s="12">
        <v>140000</v>
      </c>
      <c r="AG259" s="11"/>
      <c r="AH259" s="10" t="s">
        <v>2337</v>
      </c>
      <c r="AI259" s="11"/>
      <c r="AJ259" s="10" t="s">
        <v>2338</v>
      </c>
      <c r="AK259" s="10" t="s">
        <v>2339</v>
      </c>
      <c r="AL259" s="11"/>
      <c r="AM259" s="11"/>
      <c r="AN259" s="11"/>
      <c r="AO259" s="11"/>
      <c r="AP259" s="11"/>
      <c r="AQ259" s="11"/>
      <c r="AR259" s="10" t="s">
        <v>2340</v>
      </c>
      <c r="AS259" s="10" t="s">
        <v>66</v>
      </c>
      <c r="AT259" s="10" t="s">
        <v>53</v>
      </c>
    </row>
    <row r="260" spans="1:46" ht="20" customHeight="1" x14ac:dyDescent="0.15">
      <c r="A260" s="8" t="s">
        <v>2341</v>
      </c>
      <c r="B260" s="9" t="s">
        <v>2342</v>
      </c>
      <c r="C260" s="10" t="s">
        <v>2343</v>
      </c>
      <c r="D260" s="10" t="s">
        <v>2344</v>
      </c>
      <c r="E260" s="10" t="s">
        <v>51</v>
      </c>
      <c r="F260" s="10" t="s">
        <v>2163</v>
      </c>
      <c r="G260" s="11"/>
      <c r="H260" s="10" t="s">
        <v>2345</v>
      </c>
      <c r="I260" s="10" t="s">
        <v>53</v>
      </c>
      <c r="J260" s="10" t="s">
        <v>54</v>
      </c>
      <c r="K260" s="11"/>
      <c r="L260" s="10" t="s">
        <v>2346</v>
      </c>
      <c r="M260" s="11"/>
      <c r="N260" s="10" t="s">
        <v>2347</v>
      </c>
      <c r="O260" s="11"/>
      <c r="P260" s="11"/>
      <c r="Q260" s="10" t="s">
        <v>75</v>
      </c>
      <c r="R260" s="11"/>
      <c r="S260" s="10" t="s">
        <v>2309</v>
      </c>
      <c r="T260" s="10" t="s">
        <v>2310</v>
      </c>
      <c r="U260" s="10" t="s">
        <v>2311</v>
      </c>
      <c r="V260" s="11"/>
      <c r="W260" s="10" t="s">
        <v>2312</v>
      </c>
      <c r="X260" s="10" t="s">
        <v>80</v>
      </c>
      <c r="Y260" s="10" t="s">
        <v>80</v>
      </c>
      <c r="Z260" s="10" t="s">
        <v>2348</v>
      </c>
      <c r="AA260" s="10" t="s">
        <v>2349</v>
      </c>
      <c r="AB260" s="11"/>
      <c r="AC260" s="11"/>
      <c r="AD260" s="11"/>
      <c r="AE260" s="11"/>
      <c r="AF260" s="12">
        <v>15000</v>
      </c>
      <c r="AG260" s="11"/>
      <c r="AH260" s="11"/>
      <c r="AI260" s="11"/>
      <c r="AJ260" s="10" t="s">
        <v>2350</v>
      </c>
      <c r="AK260" s="10" t="s">
        <v>2351</v>
      </c>
      <c r="AL260" s="11"/>
      <c r="AM260" s="11"/>
      <c r="AN260" s="11"/>
      <c r="AO260" s="11"/>
      <c r="AP260" s="11"/>
      <c r="AQ260" s="11"/>
      <c r="AR260" s="10" t="s">
        <v>2352</v>
      </c>
      <c r="AS260" s="10" t="s">
        <v>66</v>
      </c>
      <c r="AT260" s="10" t="s">
        <v>53</v>
      </c>
    </row>
    <row r="261" spans="1:46" ht="20" customHeight="1" x14ac:dyDescent="0.15">
      <c r="A261" s="8" t="s">
        <v>2353</v>
      </c>
      <c r="B261" s="9" t="s">
        <v>2354</v>
      </c>
      <c r="C261" s="10" t="s">
        <v>2355</v>
      </c>
      <c r="D261" s="10" t="s">
        <v>2356</v>
      </c>
      <c r="E261" s="10" t="s">
        <v>51</v>
      </c>
      <c r="F261" s="10" t="s">
        <v>2163</v>
      </c>
      <c r="G261" s="11"/>
      <c r="H261" s="10" t="s">
        <v>2357</v>
      </c>
      <c r="I261" s="10" t="s">
        <v>53</v>
      </c>
      <c r="J261" s="10" t="s">
        <v>54</v>
      </c>
      <c r="K261" s="11"/>
      <c r="L261" s="10" t="s">
        <v>2346</v>
      </c>
      <c r="M261" s="11"/>
      <c r="N261" s="10" t="s">
        <v>2358</v>
      </c>
      <c r="O261" s="11"/>
      <c r="P261" s="11"/>
      <c r="Q261" s="10" t="s">
        <v>75</v>
      </c>
      <c r="R261" s="11"/>
      <c r="S261" s="10" t="s">
        <v>2309</v>
      </c>
      <c r="T261" s="10" t="s">
        <v>2310</v>
      </c>
      <c r="U261" s="10" t="s">
        <v>2311</v>
      </c>
      <c r="V261" s="11"/>
      <c r="W261" s="10" t="s">
        <v>2359</v>
      </c>
      <c r="X261" s="10" t="s">
        <v>80</v>
      </c>
      <c r="Y261" s="10" t="s">
        <v>80</v>
      </c>
      <c r="Z261" s="10" t="s">
        <v>2360</v>
      </c>
      <c r="AA261" s="10" t="s">
        <v>2361</v>
      </c>
      <c r="AB261" s="11"/>
      <c r="AC261" s="11"/>
      <c r="AD261" s="11"/>
      <c r="AE261" s="11"/>
      <c r="AF261" s="12">
        <v>20000</v>
      </c>
      <c r="AG261" s="11"/>
      <c r="AH261" s="11"/>
      <c r="AI261" s="11"/>
      <c r="AJ261" s="11"/>
      <c r="AK261" s="10" t="s">
        <v>2362</v>
      </c>
      <c r="AL261" s="11"/>
      <c r="AM261" s="11"/>
      <c r="AN261" s="11"/>
      <c r="AO261" s="11"/>
      <c r="AP261" s="11"/>
      <c r="AQ261" s="11"/>
      <c r="AR261" s="10" t="s">
        <v>2363</v>
      </c>
      <c r="AS261" s="10" t="s">
        <v>66</v>
      </c>
      <c r="AT261" s="10" t="s">
        <v>53</v>
      </c>
    </row>
    <row r="262" spans="1:46" ht="20" customHeight="1" x14ac:dyDescent="0.15">
      <c r="A262" s="8" t="s">
        <v>2364</v>
      </c>
      <c r="B262" s="9" t="s">
        <v>2365</v>
      </c>
      <c r="C262" s="10" t="s">
        <v>2366</v>
      </c>
      <c r="D262" s="10" t="s">
        <v>2367</v>
      </c>
      <c r="E262" s="10" t="s">
        <v>51</v>
      </c>
      <c r="F262" s="10" t="s">
        <v>2163</v>
      </c>
      <c r="G262" s="11"/>
      <c r="H262" s="10" t="s">
        <v>2368</v>
      </c>
      <c r="I262" s="10" t="s">
        <v>53</v>
      </c>
      <c r="J262" s="10" t="s">
        <v>54</v>
      </c>
      <c r="K262" s="11"/>
      <c r="L262" s="10" t="s">
        <v>2333</v>
      </c>
      <c r="M262" s="11"/>
      <c r="N262" s="10" t="s">
        <v>2369</v>
      </c>
      <c r="O262" s="11"/>
      <c r="P262" s="11"/>
      <c r="Q262" s="10" t="s">
        <v>75</v>
      </c>
      <c r="R262" s="11"/>
      <c r="S262" s="10" t="s">
        <v>2309</v>
      </c>
      <c r="T262" s="10" t="s">
        <v>2310</v>
      </c>
      <c r="U262" s="10" t="s">
        <v>2311</v>
      </c>
      <c r="V262" s="11"/>
      <c r="W262" s="10" t="s">
        <v>2312</v>
      </c>
      <c r="X262" s="10" t="s">
        <v>80</v>
      </c>
      <c r="Y262" s="10" t="s">
        <v>80</v>
      </c>
      <c r="Z262" s="10" t="s">
        <v>2370</v>
      </c>
      <c r="AA262" s="10" t="s">
        <v>2371</v>
      </c>
      <c r="AB262" s="11"/>
      <c r="AC262" s="11"/>
      <c r="AD262" s="11"/>
      <c r="AE262" s="11"/>
      <c r="AF262" s="12">
        <v>30000</v>
      </c>
      <c r="AG262" s="11"/>
      <c r="AH262" s="11"/>
      <c r="AI262" s="11"/>
      <c r="AJ262" s="10" t="s">
        <v>2372</v>
      </c>
      <c r="AK262" s="10" t="s">
        <v>2373</v>
      </c>
      <c r="AL262" s="11"/>
      <c r="AM262" s="11"/>
      <c r="AN262" s="11"/>
      <c r="AO262" s="11"/>
      <c r="AP262" s="11"/>
      <c r="AQ262" s="11"/>
      <c r="AR262" s="10" t="s">
        <v>2340</v>
      </c>
      <c r="AS262" s="10" t="s">
        <v>66</v>
      </c>
      <c r="AT262" s="10" t="s">
        <v>53</v>
      </c>
    </row>
    <row r="263" spans="1:46" ht="20" customHeight="1" x14ac:dyDescent="0.15">
      <c r="A263" s="8" t="s">
        <v>2374</v>
      </c>
      <c r="B263" s="9" t="s">
        <v>2375</v>
      </c>
      <c r="C263" s="10" t="s">
        <v>2376</v>
      </c>
      <c r="D263" s="10" t="s">
        <v>2377</v>
      </c>
      <c r="E263" s="10" t="s">
        <v>51</v>
      </c>
      <c r="F263" s="10" t="s">
        <v>2163</v>
      </c>
      <c r="G263" s="11"/>
      <c r="H263" s="10" t="s">
        <v>2378</v>
      </c>
      <c r="I263" s="10" t="s">
        <v>53</v>
      </c>
      <c r="J263" s="10" t="s">
        <v>54</v>
      </c>
      <c r="K263" s="11"/>
      <c r="L263" s="10" t="s">
        <v>2346</v>
      </c>
      <c r="M263" s="11"/>
      <c r="N263" s="10" t="s">
        <v>2347</v>
      </c>
      <c r="O263" s="11"/>
      <c r="P263" s="11"/>
      <c r="Q263" s="10" t="s">
        <v>75</v>
      </c>
      <c r="R263" s="11"/>
      <c r="S263" s="10" t="s">
        <v>2309</v>
      </c>
      <c r="T263" s="10" t="s">
        <v>2310</v>
      </c>
      <c r="U263" s="10" t="s">
        <v>2311</v>
      </c>
      <c r="V263" s="11"/>
      <c r="W263" s="10" t="s">
        <v>2312</v>
      </c>
      <c r="X263" s="10" t="s">
        <v>80</v>
      </c>
      <c r="Y263" s="10" t="s">
        <v>80</v>
      </c>
      <c r="Z263" s="10" t="s">
        <v>2379</v>
      </c>
      <c r="AA263" s="10" t="s">
        <v>2380</v>
      </c>
      <c r="AB263" s="11"/>
      <c r="AC263" s="11"/>
      <c r="AD263" s="11"/>
      <c r="AE263" s="11"/>
      <c r="AF263" s="12">
        <v>30000</v>
      </c>
      <c r="AG263" s="11"/>
      <c r="AH263" s="11"/>
      <c r="AI263" s="11"/>
      <c r="AJ263" s="10" t="s">
        <v>2381</v>
      </c>
      <c r="AK263" s="10" t="s">
        <v>2382</v>
      </c>
      <c r="AL263" s="11"/>
      <c r="AM263" s="11"/>
      <c r="AN263" s="11"/>
      <c r="AO263" s="11"/>
      <c r="AP263" s="11"/>
      <c r="AQ263" s="11"/>
      <c r="AR263" s="10" t="s">
        <v>2352</v>
      </c>
      <c r="AS263" s="10" t="s">
        <v>66</v>
      </c>
      <c r="AT263" s="10" t="s">
        <v>53</v>
      </c>
    </row>
    <row r="264" spans="1:46" ht="20" customHeight="1" x14ac:dyDescent="0.15">
      <c r="A264" s="8" t="s">
        <v>2383</v>
      </c>
      <c r="B264" s="9" t="s">
        <v>2384</v>
      </c>
      <c r="C264" s="10" t="s">
        <v>2385</v>
      </c>
      <c r="D264" s="10" t="s">
        <v>2386</v>
      </c>
      <c r="E264" s="10" t="s">
        <v>51</v>
      </c>
      <c r="F264" s="10" t="s">
        <v>2163</v>
      </c>
      <c r="G264" s="11"/>
      <c r="H264" s="10" t="s">
        <v>561</v>
      </c>
      <c r="I264" s="10" t="s">
        <v>53</v>
      </c>
      <c r="J264" s="10" t="s">
        <v>54</v>
      </c>
      <c r="K264" s="11"/>
      <c r="L264" s="10" t="s">
        <v>2333</v>
      </c>
      <c r="M264" s="11"/>
      <c r="N264" s="10" t="s">
        <v>2387</v>
      </c>
      <c r="O264" s="11"/>
      <c r="P264" s="11"/>
      <c r="Q264" s="10" t="s">
        <v>75</v>
      </c>
      <c r="R264" s="11"/>
      <c r="S264" s="10" t="s">
        <v>2309</v>
      </c>
      <c r="T264" s="10" t="s">
        <v>2310</v>
      </c>
      <c r="U264" s="10" t="s">
        <v>2311</v>
      </c>
      <c r="V264" s="11"/>
      <c r="W264" s="10" t="s">
        <v>2312</v>
      </c>
      <c r="X264" s="10" t="s">
        <v>80</v>
      </c>
      <c r="Y264" s="10" t="s">
        <v>80</v>
      </c>
      <c r="Z264" s="10" t="s">
        <v>2388</v>
      </c>
      <c r="AA264" s="10" t="s">
        <v>2389</v>
      </c>
      <c r="AB264" s="11"/>
      <c r="AC264" s="11"/>
      <c r="AD264" s="11"/>
      <c r="AE264" s="11"/>
      <c r="AF264" s="12">
        <v>500</v>
      </c>
      <c r="AG264" s="11"/>
      <c r="AH264" s="11"/>
      <c r="AI264" s="11"/>
      <c r="AJ264" s="10" t="s">
        <v>2390</v>
      </c>
      <c r="AK264" s="10" t="s">
        <v>2391</v>
      </c>
      <c r="AL264" s="11"/>
      <c r="AM264" s="11"/>
      <c r="AN264" s="11"/>
      <c r="AO264" s="11"/>
      <c r="AP264" s="11"/>
      <c r="AQ264" s="11"/>
      <c r="AR264" s="10" t="s">
        <v>2392</v>
      </c>
      <c r="AS264" s="10" t="s">
        <v>66</v>
      </c>
      <c r="AT264" s="10" t="s">
        <v>53</v>
      </c>
    </row>
    <row r="265" spans="1:46" ht="20" hidden="1" customHeight="1" x14ac:dyDescent="0.15">
      <c r="A265" s="8" t="s">
        <v>2393</v>
      </c>
      <c r="B265" s="9" t="s">
        <v>2394</v>
      </c>
      <c r="C265" s="10" t="s">
        <v>2395</v>
      </c>
      <c r="D265" s="10" t="s">
        <v>2396</v>
      </c>
      <c r="E265" s="10" t="s">
        <v>51</v>
      </c>
      <c r="F265" s="10" t="s">
        <v>2163</v>
      </c>
      <c r="G265" s="11"/>
      <c r="H265" s="10" t="s">
        <v>91</v>
      </c>
      <c r="I265" s="10" t="s">
        <v>53</v>
      </c>
      <c r="J265" s="10" t="s">
        <v>54</v>
      </c>
      <c r="K265" s="11"/>
      <c r="L265" s="10" t="s">
        <v>2397</v>
      </c>
      <c r="M265" s="11"/>
      <c r="N265" s="11"/>
      <c r="O265" s="11"/>
      <c r="P265" s="11"/>
      <c r="Q265" s="10" t="s">
        <v>2398</v>
      </c>
      <c r="R265" s="11"/>
      <c r="S265" s="10" t="s">
        <v>2399</v>
      </c>
      <c r="T265" s="10" t="s">
        <v>2400</v>
      </c>
      <c r="U265" s="10" t="s">
        <v>2401</v>
      </c>
      <c r="V265" s="11"/>
      <c r="W265" s="10" t="s">
        <v>2402</v>
      </c>
      <c r="X265" s="10" t="s">
        <v>80</v>
      </c>
      <c r="Y265" s="10" t="s">
        <v>80</v>
      </c>
      <c r="Z265" s="10" t="s">
        <v>2403</v>
      </c>
      <c r="AA265" s="10" t="s">
        <v>2404</v>
      </c>
      <c r="AB265" s="11"/>
      <c r="AC265" s="11"/>
      <c r="AD265" s="11"/>
      <c r="AE265" s="11"/>
      <c r="AF265" s="12">
        <v>1685</v>
      </c>
      <c r="AG265" s="11"/>
      <c r="AH265" s="10" t="s">
        <v>2405</v>
      </c>
      <c r="AI265" s="11"/>
      <c r="AJ265" s="11"/>
      <c r="AK265" s="10" t="s">
        <v>2406</v>
      </c>
      <c r="AL265" s="10" t="s">
        <v>2407</v>
      </c>
      <c r="AM265" s="11"/>
      <c r="AN265" s="11"/>
      <c r="AO265" s="11"/>
      <c r="AP265" s="11"/>
      <c r="AQ265" s="11"/>
      <c r="AR265" s="10" t="s">
        <v>1284</v>
      </c>
      <c r="AS265" s="10" t="s">
        <v>66</v>
      </c>
      <c r="AT265" s="10" t="s">
        <v>53</v>
      </c>
    </row>
    <row r="266" spans="1:46" ht="20" hidden="1" customHeight="1" x14ac:dyDescent="0.15">
      <c r="A266" s="8" t="s">
        <v>2408</v>
      </c>
      <c r="B266" s="9" t="s">
        <v>2409</v>
      </c>
      <c r="C266" s="10" t="s">
        <v>2410</v>
      </c>
      <c r="D266" s="10" t="s">
        <v>2411</v>
      </c>
      <c r="E266" s="10" t="s">
        <v>51</v>
      </c>
      <c r="F266" s="10" t="s">
        <v>2163</v>
      </c>
      <c r="G266" s="11"/>
      <c r="H266" s="10" t="s">
        <v>91</v>
      </c>
      <c r="I266" s="10" t="s">
        <v>53</v>
      </c>
      <c r="J266" s="10" t="s">
        <v>54</v>
      </c>
      <c r="K266" s="11"/>
      <c r="L266" s="10" t="s">
        <v>2397</v>
      </c>
      <c r="M266" s="11"/>
      <c r="N266" s="11"/>
      <c r="O266" s="11"/>
      <c r="P266" s="11"/>
      <c r="Q266" s="10" t="s">
        <v>685</v>
      </c>
      <c r="R266" s="11"/>
      <c r="S266" s="10" t="s">
        <v>2399</v>
      </c>
      <c r="T266" s="10" t="s">
        <v>2400</v>
      </c>
      <c r="U266" s="10" t="s">
        <v>2401</v>
      </c>
      <c r="V266" s="11"/>
      <c r="W266" s="10" t="s">
        <v>2402</v>
      </c>
      <c r="X266" s="10" t="s">
        <v>80</v>
      </c>
      <c r="Y266" s="10" t="s">
        <v>80</v>
      </c>
      <c r="Z266" s="10" t="s">
        <v>2412</v>
      </c>
      <c r="AA266" s="10" t="s">
        <v>2413</v>
      </c>
      <c r="AB266" s="11"/>
      <c r="AC266" s="11"/>
      <c r="AD266" s="11"/>
      <c r="AE266" s="11"/>
      <c r="AF266" s="12">
        <v>117000</v>
      </c>
      <c r="AG266" s="11"/>
      <c r="AH266" s="10" t="s">
        <v>740</v>
      </c>
      <c r="AI266" s="11"/>
      <c r="AJ266" s="11"/>
      <c r="AK266" s="10" t="s">
        <v>2414</v>
      </c>
      <c r="AL266" s="10" t="s">
        <v>2407</v>
      </c>
      <c r="AM266" s="11"/>
      <c r="AN266" s="11"/>
      <c r="AO266" s="11"/>
      <c r="AP266" s="11"/>
      <c r="AQ266" s="11"/>
      <c r="AR266" s="10" t="s">
        <v>1284</v>
      </c>
      <c r="AS266" s="10" t="s">
        <v>66</v>
      </c>
      <c r="AT266" s="10" t="s">
        <v>53</v>
      </c>
    </row>
    <row r="267" spans="1:46" ht="20" hidden="1" customHeight="1" x14ac:dyDescent="0.15">
      <c r="A267" s="8" t="s">
        <v>2415</v>
      </c>
      <c r="B267" s="9" t="s">
        <v>2416</v>
      </c>
      <c r="C267" s="10" t="s">
        <v>2417</v>
      </c>
      <c r="D267" s="10" t="s">
        <v>2418</v>
      </c>
      <c r="E267" s="10" t="s">
        <v>51</v>
      </c>
      <c r="F267" s="10" t="s">
        <v>2163</v>
      </c>
      <c r="G267" s="11"/>
      <c r="H267" s="10" t="s">
        <v>91</v>
      </c>
      <c r="I267" s="10" t="s">
        <v>53</v>
      </c>
      <c r="J267" s="10" t="s">
        <v>54</v>
      </c>
      <c r="K267" s="11"/>
      <c r="L267" s="10" t="s">
        <v>2397</v>
      </c>
      <c r="M267" s="11"/>
      <c r="N267" s="11"/>
      <c r="O267" s="11"/>
      <c r="P267" s="11"/>
      <c r="Q267" s="10" t="s">
        <v>685</v>
      </c>
      <c r="R267" s="11"/>
      <c r="S267" s="10" t="s">
        <v>2399</v>
      </c>
      <c r="T267" s="10" t="s">
        <v>2400</v>
      </c>
      <c r="U267" s="10" t="s">
        <v>2401</v>
      </c>
      <c r="V267" s="11"/>
      <c r="W267" s="10" t="s">
        <v>2402</v>
      </c>
      <c r="X267" s="10" t="s">
        <v>80</v>
      </c>
      <c r="Y267" s="10" t="s">
        <v>80</v>
      </c>
      <c r="Z267" s="10" t="s">
        <v>2419</v>
      </c>
      <c r="AA267" s="10" t="s">
        <v>2420</v>
      </c>
      <c r="AB267" s="11"/>
      <c r="AC267" s="11"/>
      <c r="AD267" s="11"/>
      <c r="AE267" s="11"/>
      <c r="AF267" s="12">
        <v>46189</v>
      </c>
      <c r="AG267" s="11"/>
      <c r="AH267" s="10" t="s">
        <v>287</v>
      </c>
      <c r="AI267" s="11"/>
      <c r="AJ267" s="11"/>
      <c r="AK267" s="10" t="s">
        <v>2421</v>
      </c>
      <c r="AL267" s="10" t="s">
        <v>2407</v>
      </c>
      <c r="AM267" s="11"/>
      <c r="AN267" s="11"/>
      <c r="AO267" s="11"/>
      <c r="AP267" s="11"/>
      <c r="AQ267" s="11"/>
      <c r="AR267" s="10" t="s">
        <v>1284</v>
      </c>
      <c r="AS267" s="10" t="s">
        <v>66</v>
      </c>
      <c r="AT267" s="10" t="s">
        <v>53</v>
      </c>
    </row>
    <row r="268" spans="1:46" ht="20" hidden="1" customHeight="1" x14ac:dyDescent="0.15">
      <c r="A268" s="8" t="s">
        <v>2422</v>
      </c>
      <c r="B268" s="9" t="s">
        <v>2423</v>
      </c>
      <c r="C268" s="10" t="s">
        <v>2424</v>
      </c>
      <c r="D268" s="10" t="s">
        <v>2425</v>
      </c>
      <c r="E268" s="10" t="s">
        <v>51</v>
      </c>
      <c r="F268" s="10" t="s">
        <v>2163</v>
      </c>
      <c r="G268" s="11"/>
      <c r="H268" s="10" t="s">
        <v>91</v>
      </c>
      <c r="I268" s="10" t="s">
        <v>53</v>
      </c>
      <c r="J268" s="10" t="s">
        <v>54</v>
      </c>
      <c r="K268" s="11"/>
      <c r="L268" s="10" t="s">
        <v>2397</v>
      </c>
      <c r="M268" s="11"/>
      <c r="N268" s="11"/>
      <c r="O268" s="11"/>
      <c r="P268" s="11"/>
      <c r="Q268" s="10" t="s">
        <v>685</v>
      </c>
      <c r="R268" s="11"/>
      <c r="S268" s="10" t="s">
        <v>2399</v>
      </c>
      <c r="T268" s="10" t="s">
        <v>2400</v>
      </c>
      <c r="U268" s="10" t="s">
        <v>2401</v>
      </c>
      <c r="V268" s="11"/>
      <c r="W268" s="10" t="s">
        <v>2402</v>
      </c>
      <c r="X268" s="10" t="s">
        <v>80</v>
      </c>
      <c r="Y268" s="10" t="s">
        <v>80</v>
      </c>
      <c r="Z268" s="10" t="s">
        <v>2426</v>
      </c>
      <c r="AA268" s="10" t="s">
        <v>2427</v>
      </c>
      <c r="AB268" s="11"/>
      <c r="AC268" s="11"/>
      <c r="AD268" s="11"/>
      <c r="AE268" s="11"/>
      <c r="AF268" s="12">
        <v>4135</v>
      </c>
      <c r="AG268" s="11"/>
      <c r="AH268" s="11"/>
      <c r="AI268" s="11"/>
      <c r="AJ268" s="11"/>
      <c r="AK268" s="10" t="s">
        <v>2428</v>
      </c>
      <c r="AL268" s="10" t="s">
        <v>2407</v>
      </c>
      <c r="AM268" s="11"/>
      <c r="AN268" s="11"/>
      <c r="AO268" s="11"/>
      <c r="AP268" s="11"/>
      <c r="AQ268" s="11"/>
      <c r="AR268" s="10" t="s">
        <v>2429</v>
      </c>
      <c r="AS268" s="10" t="s">
        <v>66</v>
      </c>
      <c r="AT268" s="10" t="s">
        <v>53</v>
      </c>
    </row>
    <row r="269" spans="1:46" ht="20" hidden="1" customHeight="1" x14ac:dyDescent="0.15">
      <c r="A269" s="8" t="s">
        <v>2430</v>
      </c>
      <c r="B269" s="9" t="s">
        <v>2431</v>
      </c>
      <c r="C269" s="10" t="s">
        <v>2432</v>
      </c>
      <c r="D269" s="10" t="s">
        <v>2433</v>
      </c>
      <c r="E269" s="10" t="s">
        <v>51</v>
      </c>
      <c r="F269" s="10" t="s">
        <v>2163</v>
      </c>
      <c r="G269" s="11"/>
      <c r="H269" s="10" t="s">
        <v>91</v>
      </c>
      <c r="I269" s="10" t="s">
        <v>53</v>
      </c>
      <c r="J269" s="10" t="s">
        <v>54</v>
      </c>
      <c r="K269" s="11"/>
      <c r="L269" s="10" t="s">
        <v>2397</v>
      </c>
      <c r="M269" s="11"/>
      <c r="N269" s="11"/>
      <c r="O269" s="11"/>
      <c r="P269" s="11"/>
      <c r="Q269" s="10" t="s">
        <v>685</v>
      </c>
      <c r="R269" s="11"/>
      <c r="S269" s="10" t="s">
        <v>2399</v>
      </c>
      <c r="T269" s="10" t="s">
        <v>2400</v>
      </c>
      <c r="U269" s="10" t="s">
        <v>2401</v>
      </c>
      <c r="V269" s="11"/>
      <c r="W269" s="10" t="s">
        <v>2402</v>
      </c>
      <c r="X269" s="10" t="s">
        <v>80</v>
      </c>
      <c r="Y269" s="10" t="s">
        <v>80</v>
      </c>
      <c r="Z269" s="10" t="s">
        <v>2434</v>
      </c>
      <c r="AA269" s="10" t="s">
        <v>2435</v>
      </c>
      <c r="AB269" s="11"/>
      <c r="AC269" s="11"/>
      <c r="AD269" s="11"/>
      <c r="AE269" s="11"/>
      <c r="AF269" s="12">
        <v>12000</v>
      </c>
      <c r="AG269" s="11"/>
      <c r="AH269" s="10" t="s">
        <v>287</v>
      </c>
      <c r="AI269" s="11"/>
      <c r="AJ269" s="11"/>
      <c r="AK269" s="10" t="s">
        <v>2436</v>
      </c>
      <c r="AL269" s="10" t="s">
        <v>2407</v>
      </c>
      <c r="AM269" s="11"/>
      <c r="AN269" s="11"/>
      <c r="AO269" s="11"/>
      <c r="AP269" s="11"/>
      <c r="AQ269" s="11"/>
      <c r="AR269" s="10" t="s">
        <v>1284</v>
      </c>
      <c r="AS269" s="10" t="s">
        <v>66</v>
      </c>
      <c r="AT269" s="10" t="s">
        <v>53</v>
      </c>
    </row>
    <row r="270" spans="1:46" ht="20" hidden="1" customHeight="1" x14ac:dyDescent="0.15">
      <c r="A270" s="8" t="s">
        <v>2437</v>
      </c>
      <c r="B270" s="9" t="s">
        <v>2438</v>
      </c>
      <c r="C270" s="10" t="s">
        <v>2439</v>
      </c>
      <c r="D270" s="10" t="s">
        <v>2440</v>
      </c>
      <c r="E270" s="10" t="s">
        <v>51</v>
      </c>
      <c r="F270" s="10" t="s">
        <v>2163</v>
      </c>
      <c r="G270" s="11"/>
      <c r="H270" s="10" t="s">
        <v>91</v>
      </c>
      <c r="I270" s="10" t="s">
        <v>53</v>
      </c>
      <c r="J270" s="10" t="s">
        <v>54</v>
      </c>
      <c r="K270" s="11"/>
      <c r="L270" s="10" t="s">
        <v>2397</v>
      </c>
      <c r="M270" s="11"/>
      <c r="N270" s="11"/>
      <c r="O270" s="11"/>
      <c r="P270" s="11"/>
      <c r="Q270" s="10" t="s">
        <v>685</v>
      </c>
      <c r="R270" s="11"/>
      <c r="S270" s="10" t="s">
        <v>2399</v>
      </c>
      <c r="T270" s="10" t="s">
        <v>2400</v>
      </c>
      <c r="U270" s="10" t="s">
        <v>2401</v>
      </c>
      <c r="V270" s="11"/>
      <c r="W270" s="10" t="s">
        <v>2402</v>
      </c>
      <c r="X270" s="10" t="s">
        <v>80</v>
      </c>
      <c r="Y270" s="10" t="s">
        <v>80</v>
      </c>
      <c r="Z270" s="10" t="s">
        <v>2441</v>
      </c>
      <c r="AA270" s="10" t="s">
        <v>2442</v>
      </c>
      <c r="AB270" s="11"/>
      <c r="AC270" s="11"/>
      <c r="AD270" s="11"/>
      <c r="AE270" s="11"/>
      <c r="AF270" s="12">
        <v>5639</v>
      </c>
      <c r="AG270" s="11"/>
      <c r="AH270" s="10" t="s">
        <v>2443</v>
      </c>
      <c r="AI270" s="11"/>
      <c r="AJ270" s="11"/>
      <c r="AK270" s="10" t="s">
        <v>2444</v>
      </c>
      <c r="AL270" s="10" t="s">
        <v>2407</v>
      </c>
      <c r="AM270" s="11"/>
      <c r="AN270" s="11"/>
      <c r="AO270" s="11"/>
      <c r="AP270" s="11"/>
      <c r="AQ270" s="11"/>
      <c r="AR270" s="10" t="s">
        <v>2445</v>
      </c>
      <c r="AS270" s="10" t="s">
        <v>66</v>
      </c>
      <c r="AT270" s="10" t="s">
        <v>53</v>
      </c>
    </row>
    <row r="271" spans="1:46" ht="20" hidden="1" customHeight="1" x14ac:dyDescent="0.15">
      <c r="A271" s="8" t="s">
        <v>2446</v>
      </c>
      <c r="B271" s="9" t="s">
        <v>2447</v>
      </c>
      <c r="C271" s="10" t="s">
        <v>2448</v>
      </c>
      <c r="D271" s="10" t="s">
        <v>2449</v>
      </c>
      <c r="E271" s="10" t="s">
        <v>51</v>
      </c>
      <c r="F271" s="10" t="s">
        <v>2163</v>
      </c>
      <c r="G271" s="11"/>
      <c r="H271" s="10" t="s">
        <v>91</v>
      </c>
      <c r="I271" s="10" t="s">
        <v>53</v>
      </c>
      <c r="J271" s="10" t="s">
        <v>54</v>
      </c>
      <c r="K271" s="11"/>
      <c r="L271" s="10" t="s">
        <v>2397</v>
      </c>
      <c r="M271" s="10" t="s">
        <v>2450</v>
      </c>
      <c r="N271" s="10" t="s">
        <v>2451</v>
      </c>
      <c r="O271" s="11"/>
      <c r="P271" s="11"/>
      <c r="Q271" s="10" t="s">
        <v>685</v>
      </c>
      <c r="R271" s="11"/>
      <c r="S271" s="10" t="s">
        <v>2399</v>
      </c>
      <c r="T271" s="10" t="s">
        <v>2400</v>
      </c>
      <c r="U271" s="10" t="s">
        <v>2401</v>
      </c>
      <c r="V271" s="11"/>
      <c r="W271" s="10" t="s">
        <v>2402</v>
      </c>
      <c r="X271" s="10" t="s">
        <v>80</v>
      </c>
      <c r="Y271" s="10" t="s">
        <v>80</v>
      </c>
      <c r="Z271" s="10" t="s">
        <v>2452</v>
      </c>
      <c r="AA271" s="10" t="s">
        <v>2453</v>
      </c>
      <c r="AB271" s="11"/>
      <c r="AC271" s="11"/>
      <c r="AD271" s="10" t="s">
        <v>2454</v>
      </c>
      <c r="AE271" s="10" t="s">
        <v>2455</v>
      </c>
      <c r="AF271" s="12">
        <v>862250</v>
      </c>
      <c r="AG271" s="11"/>
      <c r="AH271" s="10" t="s">
        <v>433</v>
      </c>
      <c r="AI271" s="10" t="s">
        <v>2456</v>
      </c>
      <c r="AJ271" s="10" t="s">
        <v>2457</v>
      </c>
      <c r="AK271" s="10" t="s">
        <v>2458</v>
      </c>
      <c r="AL271" s="10" t="s">
        <v>2459</v>
      </c>
      <c r="AM271" s="11"/>
      <c r="AN271" s="11"/>
      <c r="AO271" s="11"/>
      <c r="AP271" s="11"/>
      <c r="AQ271" s="11"/>
      <c r="AR271" s="10" t="s">
        <v>1284</v>
      </c>
      <c r="AS271" s="10" t="s">
        <v>66</v>
      </c>
      <c r="AT271" s="10" t="s">
        <v>53</v>
      </c>
    </row>
    <row r="272" spans="1:46" ht="20" hidden="1" customHeight="1" x14ac:dyDescent="0.15">
      <c r="A272" s="8" t="s">
        <v>2460</v>
      </c>
      <c r="B272" s="9" t="s">
        <v>2461</v>
      </c>
      <c r="C272" s="10" t="s">
        <v>2462</v>
      </c>
      <c r="D272" s="10" t="s">
        <v>2463</v>
      </c>
      <c r="E272" s="10" t="s">
        <v>51</v>
      </c>
      <c r="F272" s="10" t="s">
        <v>2163</v>
      </c>
      <c r="G272" s="11"/>
      <c r="H272" s="10" t="s">
        <v>91</v>
      </c>
      <c r="I272" s="10" t="s">
        <v>53</v>
      </c>
      <c r="J272" s="10" t="s">
        <v>54</v>
      </c>
      <c r="K272" s="11"/>
      <c r="L272" s="10" t="s">
        <v>2397</v>
      </c>
      <c r="M272" s="11"/>
      <c r="N272" s="11"/>
      <c r="O272" s="11"/>
      <c r="P272" s="11"/>
      <c r="Q272" s="10" t="s">
        <v>685</v>
      </c>
      <c r="R272" s="11"/>
      <c r="S272" s="10" t="s">
        <v>2399</v>
      </c>
      <c r="T272" s="10" t="s">
        <v>2400</v>
      </c>
      <c r="U272" s="10" t="s">
        <v>2401</v>
      </c>
      <c r="V272" s="11"/>
      <c r="W272" s="10" t="s">
        <v>2402</v>
      </c>
      <c r="X272" s="10" t="s">
        <v>80</v>
      </c>
      <c r="Y272" s="10" t="s">
        <v>80</v>
      </c>
      <c r="Z272" s="10" t="s">
        <v>2464</v>
      </c>
      <c r="AA272" s="10" t="s">
        <v>2465</v>
      </c>
      <c r="AB272" s="11"/>
      <c r="AC272" s="11"/>
      <c r="AD272" s="11"/>
      <c r="AE272" s="11"/>
      <c r="AF272" s="12">
        <v>6536</v>
      </c>
      <c r="AG272" s="11"/>
      <c r="AH272" s="11"/>
      <c r="AI272" s="11"/>
      <c r="AJ272" s="11"/>
      <c r="AK272" s="10" t="s">
        <v>2466</v>
      </c>
      <c r="AL272" s="10" t="s">
        <v>2407</v>
      </c>
      <c r="AM272" s="11"/>
      <c r="AN272" s="11"/>
      <c r="AO272" s="11"/>
      <c r="AP272" s="11"/>
      <c r="AQ272" s="11"/>
      <c r="AR272" s="10" t="s">
        <v>2467</v>
      </c>
      <c r="AS272" s="10" t="s">
        <v>66</v>
      </c>
      <c r="AT272" s="10" t="s">
        <v>53</v>
      </c>
    </row>
    <row r="273" spans="1:46" ht="20" hidden="1" customHeight="1" x14ac:dyDescent="0.15">
      <c r="A273" s="8" t="s">
        <v>2468</v>
      </c>
      <c r="B273" s="9" t="s">
        <v>2469</v>
      </c>
      <c r="C273" s="10" t="s">
        <v>2470</v>
      </c>
      <c r="D273" s="10" t="s">
        <v>2471</v>
      </c>
      <c r="E273" s="10" t="s">
        <v>51</v>
      </c>
      <c r="F273" s="10" t="s">
        <v>2163</v>
      </c>
      <c r="G273" s="11"/>
      <c r="H273" s="10" t="s">
        <v>91</v>
      </c>
      <c r="I273" s="10" t="s">
        <v>53</v>
      </c>
      <c r="J273" s="10" t="s">
        <v>54</v>
      </c>
      <c r="K273" s="11"/>
      <c r="L273" s="10" t="s">
        <v>2397</v>
      </c>
      <c r="M273" s="11"/>
      <c r="N273" s="11"/>
      <c r="O273" s="11"/>
      <c r="P273" s="11"/>
      <c r="Q273" s="10" t="s">
        <v>135</v>
      </c>
      <c r="R273" s="11"/>
      <c r="S273" s="10" t="s">
        <v>2399</v>
      </c>
      <c r="T273" s="10" t="s">
        <v>2400</v>
      </c>
      <c r="U273" s="10" t="s">
        <v>2401</v>
      </c>
      <c r="V273" s="11"/>
      <c r="W273" s="10" t="s">
        <v>2402</v>
      </c>
      <c r="X273" s="10" t="s">
        <v>80</v>
      </c>
      <c r="Y273" s="10" t="s">
        <v>80</v>
      </c>
      <c r="Z273" s="10" t="s">
        <v>2472</v>
      </c>
      <c r="AA273" s="10" t="s">
        <v>2473</v>
      </c>
      <c r="AB273" s="11"/>
      <c r="AC273" s="11"/>
      <c r="AD273" s="11"/>
      <c r="AE273" s="11"/>
      <c r="AF273" s="12">
        <v>5095</v>
      </c>
      <c r="AG273" s="11"/>
      <c r="AH273" s="10" t="s">
        <v>433</v>
      </c>
      <c r="AI273" s="11"/>
      <c r="AJ273" s="11"/>
      <c r="AK273" s="10" t="s">
        <v>2474</v>
      </c>
      <c r="AL273" s="10" t="s">
        <v>2407</v>
      </c>
      <c r="AM273" s="11"/>
      <c r="AN273" s="11"/>
      <c r="AO273" s="11"/>
      <c r="AP273" s="11"/>
      <c r="AQ273" s="11"/>
      <c r="AR273" s="10" t="s">
        <v>1284</v>
      </c>
      <c r="AS273" s="10" t="s">
        <v>66</v>
      </c>
      <c r="AT273" s="10" t="s">
        <v>53</v>
      </c>
    </row>
    <row r="274" spans="1:46" ht="20" hidden="1" customHeight="1" x14ac:dyDescent="0.15">
      <c r="A274" s="8" t="s">
        <v>2475</v>
      </c>
      <c r="B274" s="9" t="s">
        <v>2476</v>
      </c>
      <c r="C274" s="10" t="s">
        <v>2477</v>
      </c>
      <c r="D274" s="10" t="s">
        <v>2478</v>
      </c>
      <c r="E274" s="10" t="s">
        <v>51</v>
      </c>
      <c r="F274" s="10" t="s">
        <v>2163</v>
      </c>
      <c r="G274" s="11"/>
      <c r="H274" s="10" t="s">
        <v>1785</v>
      </c>
      <c r="I274" s="10" t="s">
        <v>53</v>
      </c>
      <c r="J274" s="10" t="s">
        <v>54</v>
      </c>
      <c r="K274" s="11"/>
      <c r="L274" s="10" t="s">
        <v>2397</v>
      </c>
      <c r="M274" s="11"/>
      <c r="N274" s="11"/>
      <c r="O274" s="11"/>
      <c r="P274" s="11"/>
      <c r="Q274" s="10" t="s">
        <v>361</v>
      </c>
      <c r="R274" s="11"/>
      <c r="S274" s="10" t="s">
        <v>2399</v>
      </c>
      <c r="T274" s="10" t="s">
        <v>2400</v>
      </c>
      <c r="U274" s="10" t="s">
        <v>2401</v>
      </c>
      <c r="V274" s="11"/>
      <c r="W274" s="10" t="s">
        <v>2402</v>
      </c>
      <c r="X274" s="10" t="s">
        <v>80</v>
      </c>
      <c r="Y274" s="10" t="s">
        <v>80</v>
      </c>
      <c r="Z274" s="10" t="s">
        <v>2479</v>
      </c>
      <c r="AA274" s="10" t="s">
        <v>2480</v>
      </c>
      <c r="AB274" s="11"/>
      <c r="AC274" s="11"/>
      <c r="AD274" s="11"/>
      <c r="AE274" s="11"/>
      <c r="AF274" s="12">
        <v>1239</v>
      </c>
      <c r="AG274" s="11"/>
      <c r="AH274" s="11"/>
      <c r="AI274" s="11"/>
      <c r="AJ274" s="11"/>
      <c r="AK274" s="10" t="s">
        <v>2481</v>
      </c>
      <c r="AL274" s="10" t="s">
        <v>2407</v>
      </c>
      <c r="AM274" s="11"/>
      <c r="AN274" s="11"/>
      <c r="AO274" s="11"/>
      <c r="AP274" s="11"/>
      <c r="AQ274" s="11"/>
      <c r="AR274" s="10" t="s">
        <v>2482</v>
      </c>
      <c r="AS274" s="10" t="s">
        <v>66</v>
      </c>
      <c r="AT274" s="10" t="s">
        <v>53</v>
      </c>
    </row>
    <row r="275" spans="1:46" ht="20" hidden="1" customHeight="1" x14ac:dyDescent="0.15">
      <c r="A275" s="8" t="s">
        <v>2483</v>
      </c>
      <c r="B275" s="9" t="s">
        <v>2484</v>
      </c>
      <c r="C275" s="10" t="s">
        <v>2485</v>
      </c>
      <c r="D275" s="10" t="s">
        <v>2486</v>
      </c>
      <c r="E275" s="10" t="s">
        <v>51</v>
      </c>
      <c r="F275" s="10" t="s">
        <v>2163</v>
      </c>
      <c r="G275" s="11"/>
      <c r="H275" s="10" t="s">
        <v>91</v>
      </c>
      <c r="I275" s="10" t="s">
        <v>53</v>
      </c>
      <c r="J275" s="10" t="s">
        <v>54</v>
      </c>
      <c r="K275" s="11"/>
      <c r="L275" s="10" t="s">
        <v>2397</v>
      </c>
      <c r="M275" s="11"/>
      <c r="N275" s="11"/>
      <c r="O275" s="11"/>
      <c r="P275" s="11"/>
      <c r="Q275" s="10" t="s">
        <v>128</v>
      </c>
      <c r="R275" s="11"/>
      <c r="S275" s="10" t="s">
        <v>2399</v>
      </c>
      <c r="T275" s="10" t="s">
        <v>2400</v>
      </c>
      <c r="U275" s="10" t="s">
        <v>2401</v>
      </c>
      <c r="V275" s="11"/>
      <c r="W275" s="10" t="s">
        <v>2402</v>
      </c>
      <c r="X275" s="10" t="s">
        <v>80</v>
      </c>
      <c r="Y275" s="10" t="s">
        <v>80</v>
      </c>
      <c r="Z275" s="10" t="s">
        <v>2487</v>
      </c>
      <c r="AA275" s="10" t="s">
        <v>2488</v>
      </c>
      <c r="AB275" s="11"/>
      <c r="AC275" s="11"/>
      <c r="AD275" s="11"/>
      <c r="AE275" s="11"/>
      <c r="AF275" s="12">
        <v>1457</v>
      </c>
      <c r="AG275" s="11"/>
      <c r="AH275" s="11"/>
      <c r="AI275" s="11"/>
      <c r="AJ275" s="11"/>
      <c r="AK275" s="11"/>
      <c r="AL275" s="10" t="s">
        <v>2407</v>
      </c>
      <c r="AM275" s="11"/>
      <c r="AN275" s="11"/>
      <c r="AO275" s="11"/>
      <c r="AP275" s="11"/>
      <c r="AQ275" s="11"/>
      <c r="AR275" s="10" t="s">
        <v>1284</v>
      </c>
      <c r="AS275" s="10" t="s">
        <v>66</v>
      </c>
      <c r="AT275" s="10" t="s">
        <v>53</v>
      </c>
    </row>
    <row r="276" spans="1:46" ht="20" hidden="1" customHeight="1" x14ac:dyDescent="0.15">
      <c r="A276" s="8" t="s">
        <v>2489</v>
      </c>
      <c r="B276" s="9" t="s">
        <v>2490</v>
      </c>
      <c r="C276" s="10" t="s">
        <v>2491</v>
      </c>
      <c r="D276" s="10" t="s">
        <v>2492</v>
      </c>
      <c r="E276" s="10" t="s">
        <v>51</v>
      </c>
      <c r="F276" s="10" t="s">
        <v>2163</v>
      </c>
      <c r="G276" s="11"/>
      <c r="H276" s="10" t="s">
        <v>2493</v>
      </c>
      <c r="I276" s="10" t="s">
        <v>53</v>
      </c>
      <c r="J276" s="10" t="s">
        <v>54</v>
      </c>
      <c r="K276" s="11"/>
      <c r="L276" s="10" t="s">
        <v>2397</v>
      </c>
      <c r="M276" s="11"/>
      <c r="N276" s="11"/>
      <c r="O276" s="11"/>
      <c r="P276" s="11"/>
      <c r="Q276" s="10" t="s">
        <v>135</v>
      </c>
      <c r="R276" s="11"/>
      <c r="S276" s="10" t="s">
        <v>2399</v>
      </c>
      <c r="T276" s="10" t="s">
        <v>2400</v>
      </c>
      <c r="U276" s="10" t="s">
        <v>2401</v>
      </c>
      <c r="V276" s="11"/>
      <c r="W276" s="10" t="s">
        <v>2402</v>
      </c>
      <c r="X276" s="10" t="s">
        <v>80</v>
      </c>
      <c r="Y276" s="10" t="s">
        <v>80</v>
      </c>
      <c r="Z276" s="10" t="s">
        <v>2494</v>
      </c>
      <c r="AA276" s="10" t="s">
        <v>2495</v>
      </c>
      <c r="AB276" s="11"/>
      <c r="AC276" s="11"/>
      <c r="AD276" s="11"/>
      <c r="AE276" s="11"/>
      <c r="AF276" s="11"/>
      <c r="AG276" s="11"/>
      <c r="AH276" s="10" t="s">
        <v>433</v>
      </c>
      <c r="AI276" s="11"/>
      <c r="AJ276" s="11"/>
      <c r="AK276" s="10" t="s">
        <v>2496</v>
      </c>
      <c r="AL276" s="10" t="s">
        <v>2407</v>
      </c>
      <c r="AM276" s="11"/>
      <c r="AN276" s="11"/>
      <c r="AO276" s="11"/>
      <c r="AP276" s="11"/>
      <c r="AQ276" s="11"/>
      <c r="AR276" s="10" t="s">
        <v>2497</v>
      </c>
      <c r="AS276" s="10" t="s">
        <v>66</v>
      </c>
      <c r="AT276" s="10" t="s">
        <v>53</v>
      </c>
    </row>
    <row r="277" spans="1:46" ht="20" hidden="1" customHeight="1" x14ac:dyDescent="0.15">
      <c r="A277" s="8" t="s">
        <v>2498</v>
      </c>
      <c r="B277" s="9" t="s">
        <v>2499</v>
      </c>
      <c r="C277" s="10" t="s">
        <v>287</v>
      </c>
      <c r="D277" s="10" t="s">
        <v>2500</v>
      </c>
      <c r="E277" s="10" t="s">
        <v>51</v>
      </c>
      <c r="F277" s="10" t="s">
        <v>2501</v>
      </c>
      <c r="G277" s="11"/>
      <c r="H277" s="10" t="s">
        <v>91</v>
      </c>
      <c r="I277" s="10" t="s">
        <v>53</v>
      </c>
      <c r="J277" s="10" t="s">
        <v>54</v>
      </c>
      <c r="K277" s="11"/>
      <c r="L277" s="10" t="s">
        <v>2502</v>
      </c>
      <c r="M277" s="11"/>
      <c r="N277" s="11"/>
      <c r="O277" s="11"/>
      <c r="P277" s="11"/>
      <c r="Q277" s="10" t="s">
        <v>135</v>
      </c>
      <c r="R277" s="11"/>
      <c r="S277" s="10" t="s">
        <v>2503</v>
      </c>
      <c r="T277" s="10" t="s">
        <v>2504</v>
      </c>
      <c r="U277" s="10" t="s">
        <v>2505</v>
      </c>
      <c r="V277" s="11"/>
      <c r="W277" s="10" t="s">
        <v>2506</v>
      </c>
      <c r="X277" s="10" t="s">
        <v>80</v>
      </c>
      <c r="Y277" s="10" t="s">
        <v>80</v>
      </c>
      <c r="Z277" s="10" t="s">
        <v>2507</v>
      </c>
      <c r="AA277" s="10" t="s">
        <v>2508</v>
      </c>
      <c r="AB277" s="11"/>
      <c r="AC277" s="11"/>
      <c r="AD277" s="11"/>
      <c r="AE277" s="11"/>
      <c r="AF277" s="12">
        <v>730</v>
      </c>
      <c r="AG277" s="11"/>
      <c r="AH277" s="10" t="s">
        <v>287</v>
      </c>
      <c r="AI277" s="11"/>
      <c r="AJ277" s="11"/>
      <c r="AK277" s="11"/>
      <c r="AL277" s="11"/>
      <c r="AM277" s="11"/>
      <c r="AN277" s="11"/>
      <c r="AO277" s="11"/>
      <c r="AP277" s="11"/>
      <c r="AQ277" s="11"/>
      <c r="AR277" s="10" t="s">
        <v>677</v>
      </c>
      <c r="AS277" s="10" t="s">
        <v>66</v>
      </c>
      <c r="AT277" s="10" t="s">
        <v>53</v>
      </c>
    </row>
    <row r="278" spans="1:46" ht="20" hidden="1" customHeight="1" x14ac:dyDescent="0.15">
      <c r="A278" s="8" t="s">
        <v>2509</v>
      </c>
      <c r="B278" s="9" t="s">
        <v>2510</v>
      </c>
      <c r="C278" s="10" t="s">
        <v>2511</v>
      </c>
      <c r="D278" s="10" t="s">
        <v>2512</v>
      </c>
      <c r="E278" s="10" t="s">
        <v>51</v>
      </c>
      <c r="F278" s="10" t="s">
        <v>2501</v>
      </c>
      <c r="G278" s="11"/>
      <c r="H278" s="10" t="s">
        <v>91</v>
      </c>
      <c r="I278" s="10" t="s">
        <v>53</v>
      </c>
      <c r="J278" s="10" t="s">
        <v>54</v>
      </c>
      <c r="K278" s="11"/>
      <c r="L278" s="10" t="s">
        <v>2502</v>
      </c>
      <c r="M278" s="11"/>
      <c r="N278" s="11"/>
      <c r="O278" s="11"/>
      <c r="P278" s="11"/>
      <c r="Q278" s="10" t="s">
        <v>135</v>
      </c>
      <c r="R278" s="11"/>
      <c r="S278" s="10" t="s">
        <v>2503</v>
      </c>
      <c r="T278" s="10" t="s">
        <v>2504</v>
      </c>
      <c r="U278" s="10" t="s">
        <v>2505</v>
      </c>
      <c r="V278" s="11"/>
      <c r="W278" s="10" t="s">
        <v>2506</v>
      </c>
      <c r="X278" s="10" t="s">
        <v>80</v>
      </c>
      <c r="Y278" s="10" t="s">
        <v>80</v>
      </c>
      <c r="Z278" s="10" t="s">
        <v>2513</v>
      </c>
      <c r="AA278" s="10" t="s">
        <v>2514</v>
      </c>
      <c r="AB278" s="11"/>
      <c r="AC278" s="11"/>
      <c r="AD278" s="11"/>
      <c r="AE278" s="11"/>
      <c r="AF278" s="12">
        <v>750</v>
      </c>
      <c r="AG278" s="11"/>
      <c r="AH278" s="10" t="s">
        <v>287</v>
      </c>
      <c r="AI278" s="11"/>
      <c r="AJ278" s="11"/>
      <c r="AK278" s="11"/>
      <c r="AL278" s="11"/>
      <c r="AM278" s="11"/>
      <c r="AN278" s="11"/>
      <c r="AO278" s="11"/>
      <c r="AP278" s="11"/>
      <c r="AQ278" s="11"/>
      <c r="AR278" s="10" t="s">
        <v>677</v>
      </c>
      <c r="AS278" s="10" t="s">
        <v>66</v>
      </c>
      <c r="AT278" s="10" t="s">
        <v>53</v>
      </c>
    </row>
    <row r="279" spans="1:46" ht="20" hidden="1" customHeight="1" x14ac:dyDescent="0.15">
      <c r="A279" s="8" t="s">
        <v>2515</v>
      </c>
      <c r="B279" s="9" t="s">
        <v>2516</v>
      </c>
      <c r="C279" s="10" t="s">
        <v>2517</v>
      </c>
      <c r="D279" s="10" t="s">
        <v>2518</v>
      </c>
      <c r="E279" s="10" t="s">
        <v>51</v>
      </c>
      <c r="F279" s="10" t="s">
        <v>2501</v>
      </c>
      <c r="G279" s="11"/>
      <c r="H279" s="10" t="s">
        <v>91</v>
      </c>
      <c r="I279" s="10" t="s">
        <v>53</v>
      </c>
      <c r="J279" s="10" t="s">
        <v>54</v>
      </c>
      <c r="K279" s="11"/>
      <c r="L279" s="10" t="s">
        <v>2502</v>
      </c>
      <c r="M279" s="11"/>
      <c r="N279" s="11"/>
      <c r="O279" s="11"/>
      <c r="P279" s="11"/>
      <c r="Q279" s="10" t="s">
        <v>135</v>
      </c>
      <c r="R279" s="11"/>
      <c r="S279" s="10" t="s">
        <v>2503</v>
      </c>
      <c r="T279" s="10" t="s">
        <v>2504</v>
      </c>
      <c r="U279" s="10" t="s">
        <v>2505</v>
      </c>
      <c r="V279" s="11"/>
      <c r="W279" s="10" t="s">
        <v>2506</v>
      </c>
      <c r="X279" s="10" t="s">
        <v>80</v>
      </c>
      <c r="Y279" s="10" t="s">
        <v>80</v>
      </c>
      <c r="Z279" s="10" t="s">
        <v>2519</v>
      </c>
      <c r="AA279" s="10" t="s">
        <v>2520</v>
      </c>
      <c r="AB279" s="11"/>
      <c r="AC279" s="11"/>
      <c r="AD279" s="11"/>
      <c r="AE279" s="11"/>
      <c r="AF279" s="12">
        <v>405</v>
      </c>
      <c r="AG279" s="11"/>
      <c r="AH279" s="10" t="s">
        <v>2521</v>
      </c>
      <c r="AI279" s="11"/>
      <c r="AJ279" s="11"/>
      <c r="AK279" s="11"/>
      <c r="AL279" s="11"/>
      <c r="AM279" s="11"/>
      <c r="AN279" s="11"/>
      <c r="AO279" s="11"/>
      <c r="AP279" s="11"/>
      <c r="AQ279" s="11"/>
      <c r="AR279" s="10" t="s">
        <v>677</v>
      </c>
      <c r="AS279" s="10" t="s">
        <v>66</v>
      </c>
      <c r="AT279" s="10" t="s">
        <v>53</v>
      </c>
    </row>
    <row r="280" spans="1:46" ht="20" hidden="1" customHeight="1" x14ac:dyDescent="0.15">
      <c r="A280" s="8" t="s">
        <v>2522</v>
      </c>
      <c r="B280" s="9" t="s">
        <v>2523</v>
      </c>
      <c r="C280" s="10" t="s">
        <v>740</v>
      </c>
      <c r="D280" s="10" t="s">
        <v>2524</v>
      </c>
      <c r="E280" s="10" t="s">
        <v>51</v>
      </c>
      <c r="F280" s="10" t="s">
        <v>2501</v>
      </c>
      <c r="G280" s="11"/>
      <c r="H280" s="10" t="s">
        <v>91</v>
      </c>
      <c r="I280" s="10" t="s">
        <v>53</v>
      </c>
      <c r="J280" s="10" t="s">
        <v>54</v>
      </c>
      <c r="K280" s="11"/>
      <c r="L280" s="10" t="s">
        <v>2502</v>
      </c>
      <c r="M280" s="11"/>
      <c r="N280" s="11"/>
      <c r="O280" s="11"/>
      <c r="P280" s="11"/>
      <c r="Q280" s="10" t="s">
        <v>135</v>
      </c>
      <c r="R280" s="11"/>
      <c r="S280" s="10" t="s">
        <v>2503</v>
      </c>
      <c r="T280" s="10" t="s">
        <v>2504</v>
      </c>
      <c r="U280" s="10" t="s">
        <v>2505</v>
      </c>
      <c r="V280" s="11"/>
      <c r="W280" s="10" t="s">
        <v>2506</v>
      </c>
      <c r="X280" s="10" t="s">
        <v>80</v>
      </c>
      <c r="Y280" s="10" t="s">
        <v>80</v>
      </c>
      <c r="Z280" s="10" t="s">
        <v>2525</v>
      </c>
      <c r="AA280" s="10" t="s">
        <v>2526</v>
      </c>
      <c r="AB280" s="11"/>
      <c r="AC280" s="11"/>
      <c r="AD280" s="11"/>
      <c r="AE280" s="11"/>
      <c r="AF280" s="12">
        <v>3478</v>
      </c>
      <c r="AG280" s="11"/>
      <c r="AH280" s="10" t="s">
        <v>740</v>
      </c>
      <c r="AI280" s="11"/>
      <c r="AJ280" s="11"/>
      <c r="AK280" s="11"/>
      <c r="AL280" s="11"/>
      <c r="AM280" s="11"/>
      <c r="AN280" s="11"/>
      <c r="AO280" s="11"/>
      <c r="AP280" s="11"/>
      <c r="AQ280" s="11"/>
      <c r="AR280" s="10" t="s">
        <v>1001</v>
      </c>
      <c r="AS280" s="10" t="s">
        <v>66</v>
      </c>
      <c r="AT280" s="10" t="s">
        <v>53</v>
      </c>
    </row>
    <row r="281" spans="1:46" ht="20" hidden="1" customHeight="1" x14ac:dyDescent="0.15">
      <c r="A281" s="8" t="s">
        <v>2527</v>
      </c>
      <c r="B281" s="9" t="s">
        <v>2528</v>
      </c>
      <c r="C281" s="10" t="s">
        <v>2529</v>
      </c>
      <c r="D281" s="10" t="s">
        <v>2530</v>
      </c>
      <c r="E281" s="10" t="s">
        <v>51</v>
      </c>
      <c r="F281" s="10" t="s">
        <v>2501</v>
      </c>
      <c r="G281" s="11"/>
      <c r="H281" s="10" t="s">
        <v>91</v>
      </c>
      <c r="I281" s="10" t="s">
        <v>53</v>
      </c>
      <c r="J281" s="10" t="s">
        <v>54</v>
      </c>
      <c r="K281" s="11"/>
      <c r="L281" s="10" t="s">
        <v>2502</v>
      </c>
      <c r="M281" s="11"/>
      <c r="N281" s="11"/>
      <c r="O281" s="11"/>
      <c r="P281" s="11"/>
      <c r="Q281" s="10" t="s">
        <v>135</v>
      </c>
      <c r="R281" s="11"/>
      <c r="S281" s="10" t="s">
        <v>2503</v>
      </c>
      <c r="T281" s="10" t="s">
        <v>2504</v>
      </c>
      <c r="U281" s="10" t="s">
        <v>2505</v>
      </c>
      <c r="V281" s="11"/>
      <c r="W281" s="10" t="s">
        <v>2506</v>
      </c>
      <c r="X281" s="10" t="s">
        <v>80</v>
      </c>
      <c r="Y281" s="10" t="s">
        <v>80</v>
      </c>
      <c r="Z281" s="10" t="s">
        <v>2531</v>
      </c>
      <c r="AA281" s="10" t="s">
        <v>2532</v>
      </c>
      <c r="AB281" s="11"/>
      <c r="AC281" s="11"/>
      <c r="AD281" s="11"/>
      <c r="AE281" s="11"/>
      <c r="AF281" s="12">
        <v>40000</v>
      </c>
      <c r="AG281" s="11"/>
      <c r="AH281" s="10" t="s">
        <v>433</v>
      </c>
      <c r="AI281" s="11"/>
      <c r="AJ281" s="11"/>
      <c r="AK281" s="11"/>
      <c r="AL281" s="11"/>
      <c r="AM281" s="11"/>
      <c r="AN281" s="11"/>
      <c r="AO281" s="11"/>
      <c r="AP281" s="11"/>
      <c r="AQ281" s="11"/>
      <c r="AR281" s="10" t="s">
        <v>1284</v>
      </c>
      <c r="AS281" s="10" t="s">
        <v>66</v>
      </c>
      <c r="AT281" s="10" t="s">
        <v>53</v>
      </c>
    </row>
    <row r="282" spans="1:46" ht="20" hidden="1" customHeight="1" x14ac:dyDescent="0.15">
      <c r="A282" s="8" t="s">
        <v>2533</v>
      </c>
      <c r="B282" s="9" t="s">
        <v>2534</v>
      </c>
      <c r="C282" s="10" t="s">
        <v>2535</v>
      </c>
      <c r="D282" s="10" t="s">
        <v>2536</v>
      </c>
      <c r="E282" s="10" t="s">
        <v>51</v>
      </c>
      <c r="F282" s="10" t="s">
        <v>2501</v>
      </c>
      <c r="G282" s="11"/>
      <c r="H282" s="10" t="s">
        <v>91</v>
      </c>
      <c r="I282" s="10" t="s">
        <v>53</v>
      </c>
      <c r="J282" s="10" t="s">
        <v>54</v>
      </c>
      <c r="K282" s="11"/>
      <c r="L282" s="10" t="s">
        <v>2502</v>
      </c>
      <c r="M282" s="11"/>
      <c r="N282" s="11"/>
      <c r="O282" s="11"/>
      <c r="P282" s="11"/>
      <c r="Q282" s="10" t="s">
        <v>135</v>
      </c>
      <c r="R282" s="11"/>
      <c r="S282" s="10" t="s">
        <v>2503</v>
      </c>
      <c r="T282" s="10" t="s">
        <v>2504</v>
      </c>
      <c r="U282" s="10" t="s">
        <v>2505</v>
      </c>
      <c r="V282" s="11"/>
      <c r="W282" s="10" t="s">
        <v>2506</v>
      </c>
      <c r="X282" s="10" t="s">
        <v>80</v>
      </c>
      <c r="Y282" s="10" t="s">
        <v>80</v>
      </c>
      <c r="Z282" s="10" t="s">
        <v>2537</v>
      </c>
      <c r="AA282" s="10" t="s">
        <v>2538</v>
      </c>
      <c r="AB282" s="11"/>
      <c r="AC282" s="11"/>
      <c r="AD282" s="11"/>
      <c r="AE282" s="11"/>
      <c r="AF282" s="12">
        <v>850</v>
      </c>
      <c r="AG282" s="11"/>
      <c r="AH282" s="10" t="s">
        <v>2539</v>
      </c>
      <c r="AI282" s="11"/>
      <c r="AJ282" s="11"/>
      <c r="AK282" s="11"/>
      <c r="AL282" s="11"/>
      <c r="AM282" s="11"/>
      <c r="AN282" s="11"/>
      <c r="AO282" s="11"/>
      <c r="AP282" s="11"/>
      <c r="AQ282" s="11"/>
      <c r="AR282" s="10" t="s">
        <v>2540</v>
      </c>
      <c r="AS282" s="10" t="s">
        <v>66</v>
      </c>
      <c r="AT282" s="10" t="s">
        <v>53</v>
      </c>
    </row>
    <row r="283" spans="1:46" ht="20" hidden="1" customHeight="1" x14ac:dyDescent="0.15">
      <c r="A283" s="8" t="s">
        <v>2541</v>
      </c>
      <c r="B283" s="9" t="s">
        <v>2542</v>
      </c>
      <c r="C283" s="10" t="s">
        <v>2543</v>
      </c>
      <c r="D283" s="10" t="s">
        <v>2544</v>
      </c>
      <c r="E283" s="10" t="s">
        <v>51</v>
      </c>
      <c r="F283" s="10" t="s">
        <v>2501</v>
      </c>
      <c r="G283" s="11"/>
      <c r="H283" s="10" t="s">
        <v>91</v>
      </c>
      <c r="I283" s="10" t="s">
        <v>53</v>
      </c>
      <c r="J283" s="10" t="s">
        <v>54</v>
      </c>
      <c r="K283" s="11"/>
      <c r="L283" s="10" t="s">
        <v>2502</v>
      </c>
      <c r="M283" s="11"/>
      <c r="N283" s="11"/>
      <c r="O283" s="11"/>
      <c r="P283" s="11"/>
      <c r="Q283" s="10" t="s">
        <v>603</v>
      </c>
      <c r="R283" s="11"/>
      <c r="S283" s="10" t="s">
        <v>2503</v>
      </c>
      <c r="T283" s="10" t="s">
        <v>2504</v>
      </c>
      <c r="U283" s="10" t="s">
        <v>2505</v>
      </c>
      <c r="V283" s="11"/>
      <c r="W283" s="10" t="s">
        <v>2506</v>
      </c>
      <c r="X283" s="10" t="s">
        <v>80</v>
      </c>
      <c r="Y283" s="10" t="s">
        <v>80</v>
      </c>
      <c r="Z283" s="10" t="s">
        <v>2545</v>
      </c>
      <c r="AA283" s="10" t="s">
        <v>2546</v>
      </c>
      <c r="AB283" s="11"/>
      <c r="AC283" s="11"/>
      <c r="AD283" s="11"/>
      <c r="AE283" s="11"/>
      <c r="AF283" s="12">
        <v>1000</v>
      </c>
      <c r="AG283" s="11"/>
      <c r="AH283" s="10" t="s">
        <v>2315</v>
      </c>
      <c r="AI283" s="11"/>
      <c r="AJ283" s="11"/>
      <c r="AK283" s="11"/>
      <c r="AL283" s="11"/>
      <c r="AM283" s="11"/>
      <c r="AN283" s="11"/>
      <c r="AO283" s="11"/>
      <c r="AP283" s="11"/>
      <c r="AQ283" s="11"/>
      <c r="AR283" s="10" t="s">
        <v>2547</v>
      </c>
      <c r="AS283" s="10" t="s">
        <v>66</v>
      </c>
      <c r="AT283" s="10" t="s">
        <v>53</v>
      </c>
    </row>
    <row r="284" spans="1:46" ht="20" hidden="1" customHeight="1" x14ac:dyDescent="0.15">
      <c r="A284" s="8" t="s">
        <v>2548</v>
      </c>
      <c r="B284" s="9" t="s">
        <v>2549</v>
      </c>
      <c r="C284" s="10" t="s">
        <v>2550</v>
      </c>
      <c r="D284" s="10" t="s">
        <v>2551</v>
      </c>
      <c r="E284" s="10" t="s">
        <v>51</v>
      </c>
      <c r="F284" s="10" t="s">
        <v>2501</v>
      </c>
      <c r="G284" s="11"/>
      <c r="H284" s="10" t="s">
        <v>91</v>
      </c>
      <c r="I284" s="10" t="s">
        <v>53</v>
      </c>
      <c r="J284" s="10" t="s">
        <v>54</v>
      </c>
      <c r="K284" s="11"/>
      <c r="L284" s="10" t="s">
        <v>2502</v>
      </c>
      <c r="M284" s="11"/>
      <c r="N284" s="11"/>
      <c r="O284" s="11"/>
      <c r="P284" s="11"/>
      <c r="Q284" s="10" t="s">
        <v>603</v>
      </c>
      <c r="R284" s="11"/>
      <c r="S284" s="10" t="s">
        <v>2503</v>
      </c>
      <c r="T284" s="10" t="s">
        <v>2504</v>
      </c>
      <c r="U284" s="10" t="s">
        <v>2505</v>
      </c>
      <c r="V284" s="11"/>
      <c r="W284" s="10" t="s">
        <v>2506</v>
      </c>
      <c r="X284" s="10" t="s">
        <v>80</v>
      </c>
      <c r="Y284" s="10" t="s">
        <v>80</v>
      </c>
      <c r="Z284" s="10" t="s">
        <v>2552</v>
      </c>
      <c r="AA284" s="10" t="s">
        <v>2553</v>
      </c>
      <c r="AB284" s="11"/>
      <c r="AC284" s="11"/>
      <c r="AD284" s="11"/>
      <c r="AE284" s="11"/>
      <c r="AF284" s="12">
        <v>130</v>
      </c>
      <c r="AG284" s="11"/>
      <c r="AH284" s="10" t="s">
        <v>2554</v>
      </c>
      <c r="AI284" s="11"/>
      <c r="AJ284" s="11"/>
      <c r="AK284" s="11"/>
      <c r="AL284" s="11"/>
      <c r="AM284" s="11"/>
      <c r="AN284" s="11"/>
      <c r="AO284" s="11"/>
      <c r="AP284" s="11"/>
      <c r="AQ284" s="11"/>
      <c r="AR284" s="10" t="s">
        <v>2547</v>
      </c>
      <c r="AS284" s="10" t="s">
        <v>66</v>
      </c>
      <c r="AT284" s="10" t="s">
        <v>53</v>
      </c>
    </row>
    <row r="285" spans="1:46" ht="20" hidden="1" customHeight="1" x14ac:dyDescent="0.15">
      <c r="A285" s="8" t="s">
        <v>2555</v>
      </c>
      <c r="B285" s="9" t="s">
        <v>2556</v>
      </c>
      <c r="C285" s="10" t="s">
        <v>2557</v>
      </c>
      <c r="D285" s="10" t="s">
        <v>2558</v>
      </c>
      <c r="E285" s="10" t="s">
        <v>51</v>
      </c>
      <c r="F285" s="10" t="s">
        <v>2501</v>
      </c>
      <c r="G285" s="11"/>
      <c r="H285" s="10" t="s">
        <v>91</v>
      </c>
      <c r="I285" s="10" t="s">
        <v>53</v>
      </c>
      <c r="J285" s="10" t="s">
        <v>54</v>
      </c>
      <c r="K285" s="11"/>
      <c r="L285" s="10" t="s">
        <v>2502</v>
      </c>
      <c r="M285" s="11"/>
      <c r="N285" s="11"/>
      <c r="O285" s="11"/>
      <c r="P285" s="11"/>
      <c r="Q285" s="10" t="s">
        <v>603</v>
      </c>
      <c r="R285" s="11"/>
      <c r="S285" s="10" t="s">
        <v>2503</v>
      </c>
      <c r="T285" s="10" t="s">
        <v>2504</v>
      </c>
      <c r="U285" s="10" t="s">
        <v>2505</v>
      </c>
      <c r="V285" s="11"/>
      <c r="W285" s="10" t="s">
        <v>2506</v>
      </c>
      <c r="X285" s="10" t="s">
        <v>80</v>
      </c>
      <c r="Y285" s="10" t="s">
        <v>80</v>
      </c>
      <c r="Z285" s="10" t="s">
        <v>2559</v>
      </c>
      <c r="AA285" s="10" t="s">
        <v>2560</v>
      </c>
      <c r="AB285" s="11"/>
      <c r="AC285" s="11"/>
      <c r="AD285" s="11"/>
      <c r="AE285" s="11"/>
      <c r="AF285" s="12">
        <v>3200</v>
      </c>
      <c r="AG285" s="11"/>
      <c r="AH285" s="10" t="s">
        <v>2561</v>
      </c>
      <c r="AI285" s="11"/>
      <c r="AJ285" s="11"/>
      <c r="AK285" s="11"/>
      <c r="AL285" s="11"/>
      <c r="AM285" s="11"/>
      <c r="AN285" s="11"/>
      <c r="AO285" s="11"/>
      <c r="AP285" s="11"/>
      <c r="AQ285" s="11"/>
      <c r="AR285" s="10" t="s">
        <v>2547</v>
      </c>
      <c r="AS285" s="10" t="s">
        <v>66</v>
      </c>
      <c r="AT285" s="10" t="s">
        <v>53</v>
      </c>
    </row>
    <row r="286" spans="1:46" ht="20" hidden="1" customHeight="1" x14ac:dyDescent="0.15">
      <c r="A286" s="8" t="s">
        <v>2562</v>
      </c>
      <c r="B286" s="9" t="s">
        <v>2563</v>
      </c>
      <c r="C286" s="10" t="s">
        <v>307</v>
      </c>
      <c r="D286" s="10" t="s">
        <v>2564</v>
      </c>
      <c r="E286" s="10" t="s">
        <v>51</v>
      </c>
      <c r="F286" s="10" t="s">
        <v>2501</v>
      </c>
      <c r="G286" s="11"/>
      <c r="H286" s="10" t="s">
        <v>91</v>
      </c>
      <c r="I286" s="10" t="s">
        <v>53</v>
      </c>
      <c r="J286" s="10" t="s">
        <v>54</v>
      </c>
      <c r="K286" s="11"/>
      <c r="L286" s="10" t="s">
        <v>2502</v>
      </c>
      <c r="M286" s="11"/>
      <c r="N286" s="11"/>
      <c r="O286" s="11"/>
      <c r="P286" s="11"/>
      <c r="Q286" s="10" t="s">
        <v>1929</v>
      </c>
      <c r="R286" s="11"/>
      <c r="S286" s="10" t="s">
        <v>2503</v>
      </c>
      <c r="T286" s="10" t="s">
        <v>2504</v>
      </c>
      <c r="U286" s="10" t="s">
        <v>2505</v>
      </c>
      <c r="V286" s="11"/>
      <c r="W286" s="10" t="s">
        <v>2506</v>
      </c>
      <c r="X286" s="10" t="s">
        <v>80</v>
      </c>
      <c r="Y286" s="10" t="s">
        <v>80</v>
      </c>
      <c r="Z286" s="10" t="s">
        <v>2565</v>
      </c>
      <c r="AA286" s="10" t="s">
        <v>2566</v>
      </c>
      <c r="AB286" s="11"/>
      <c r="AC286" s="11"/>
      <c r="AD286" s="11"/>
      <c r="AE286" s="11"/>
      <c r="AF286" s="12">
        <v>53530</v>
      </c>
      <c r="AG286" s="11"/>
      <c r="AH286" s="10" t="s">
        <v>2567</v>
      </c>
      <c r="AI286" s="11"/>
      <c r="AJ286" s="11"/>
      <c r="AK286" s="11"/>
      <c r="AL286" s="11"/>
      <c r="AM286" s="11"/>
      <c r="AN286" s="11"/>
      <c r="AO286" s="11"/>
      <c r="AP286" s="11"/>
      <c r="AQ286" s="11"/>
      <c r="AR286" s="10" t="s">
        <v>677</v>
      </c>
      <c r="AS286" s="10" t="s">
        <v>66</v>
      </c>
      <c r="AT286" s="10" t="s">
        <v>53</v>
      </c>
    </row>
    <row r="287" spans="1:46" ht="20" hidden="1" customHeight="1" x14ac:dyDescent="0.15">
      <c r="A287" s="8" t="s">
        <v>2568</v>
      </c>
      <c r="B287" s="9" t="s">
        <v>2569</v>
      </c>
      <c r="C287" s="10" t="s">
        <v>2570</v>
      </c>
      <c r="D287" s="10" t="s">
        <v>2571</v>
      </c>
      <c r="E287" s="10" t="s">
        <v>51</v>
      </c>
      <c r="F287" s="10" t="s">
        <v>2501</v>
      </c>
      <c r="G287" s="11"/>
      <c r="H287" s="10" t="s">
        <v>91</v>
      </c>
      <c r="I287" s="10" t="s">
        <v>53</v>
      </c>
      <c r="J287" s="10" t="s">
        <v>54</v>
      </c>
      <c r="K287" s="11"/>
      <c r="L287" s="10" t="s">
        <v>2502</v>
      </c>
      <c r="M287" s="11"/>
      <c r="N287" s="11"/>
      <c r="O287" s="11"/>
      <c r="P287" s="11"/>
      <c r="Q287" s="10" t="s">
        <v>94</v>
      </c>
      <c r="R287" s="11"/>
      <c r="S287" s="10" t="s">
        <v>2503</v>
      </c>
      <c r="T287" s="10" t="s">
        <v>2504</v>
      </c>
      <c r="U287" s="10" t="s">
        <v>2505</v>
      </c>
      <c r="V287" s="11"/>
      <c r="W287" s="10" t="s">
        <v>2506</v>
      </c>
      <c r="X287" s="10" t="s">
        <v>80</v>
      </c>
      <c r="Y287" s="10" t="s">
        <v>80</v>
      </c>
      <c r="Z287" s="10" t="s">
        <v>2572</v>
      </c>
      <c r="AA287" s="10" t="s">
        <v>2573</v>
      </c>
      <c r="AB287" s="11"/>
      <c r="AC287" s="11"/>
      <c r="AD287" s="11"/>
      <c r="AE287" s="11"/>
      <c r="AF287" s="12">
        <v>1200</v>
      </c>
      <c r="AG287" s="11"/>
      <c r="AH287" s="10" t="s">
        <v>307</v>
      </c>
      <c r="AI287" s="11"/>
      <c r="AJ287" s="11"/>
      <c r="AK287" s="11"/>
      <c r="AL287" s="11"/>
      <c r="AM287" s="11"/>
      <c r="AN287" s="11"/>
      <c r="AO287" s="11"/>
      <c r="AP287" s="11"/>
      <c r="AQ287" s="11"/>
      <c r="AR287" s="10" t="s">
        <v>2574</v>
      </c>
      <c r="AS287" s="10" t="s">
        <v>66</v>
      </c>
      <c r="AT287" s="10" t="s">
        <v>53</v>
      </c>
    </row>
    <row r="288" spans="1:46" ht="20" hidden="1" customHeight="1" x14ac:dyDescent="0.15">
      <c r="A288" s="8" t="s">
        <v>2575</v>
      </c>
      <c r="B288" s="9" t="s">
        <v>2576</v>
      </c>
      <c r="C288" s="10" t="s">
        <v>2577</v>
      </c>
      <c r="D288" s="10" t="s">
        <v>2578</v>
      </c>
      <c r="E288" s="10" t="s">
        <v>51</v>
      </c>
      <c r="F288" s="10" t="s">
        <v>2501</v>
      </c>
      <c r="G288" s="11"/>
      <c r="H288" s="10" t="s">
        <v>91</v>
      </c>
      <c r="I288" s="10" t="s">
        <v>53</v>
      </c>
      <c r="J288" s="10" t="s">
        <v>54</v>
      </c>
      <c r="K288" s="11"/>
      <c r="L288" s="10" t="s">
        <v>2502</v>
      </c>
      <c r="M288" s="11"/>
      <c r="N288" s="11"/>
      <c r="O288" s="11"/>
      <c r="P288" s="11"/>
      <c r="Q288" s="10" t="s">
        <v>135</v>
      </c>
      <c r="R288" s="11"/>
      <c r="S288" s="10" t="s">
        <v>2503</v>
      </c>
      <c r="T288" s="10" t="s">
        <v>2504</v>
      </c>
      <c r="U288" s="10" t="s">
        <v>2505</v>
      </c>
      <c r="V288" s="11"/>
      <c r="W288" s="10" t="s">
        <v>2506</v>
      </c>
      <c r="X288" s="10" t="s">
        <v>80</v>
      </c>
      <c r="Y288" s="10" t="s">
        <v>80</v>
      </c>
      <c r="Z288" s="10" t="s">
        <v>2579</v>
      </c>
      <c r="AA288" s="10" t="s">
        <v>2580</v>
      </c>
      <c r="AB288" s="11"/>
      <c r="AC288" s="11"/>
      <c r="AD288" s="11"/>
      <c r="AE288" s="11"/>
      <c r="AF288" s="12">
        <v>300</v>
      </c>
      <c r="AG288" s="11"/>
      <c r="AH288" s="10" t="s">
        <v>149</v>
      </c>
      <c r="AI288" s="11"/>
      <c r="AJ288" s="11"/>
      <c r="AK288" s="11"/>
      <c r="AL288" s="11"/>
      <c r="AM288" s="11"/>
      <c r="AN288" s="11"/>
      <c r="AO288" s="11"/>
      <c r="AP288" s="11"/>
      <c r="AQ288" s="11"/>
      <c r="AR288" s="10" t="s">
        <v>677</v>
      </c>
      <c r="AS288" s="10" t="s">
        <v>66</v>
      </c>
      <c r="AT288" s="10" t="s">
        <v>53</v>
      </c>
    </row>
    <row r="289" spans="1:46" ht="20" hidden="1" customHeight="1" x14ac:dyDescent="0.15">
      <c r="A289" s="8" t="s">
        <v>2581</v>
      </c>
      <c r="B289" s="9" t="s">
        <v>2582</v>
      </c>
      <c r="C289" s="10" t="s">
        <v>2583</v>
      </c>
      <c r="D289" s="10" t="s">
        <v>2584</v>
      </c>
      <c r="E289" s="10" t="s">
        <v>51</v>
      </c>
      <c r="F289" s="10" t="s">
        <v>2501</v>
      </c>
      <c r="G289" s="11"/>
      <c r="H289" s="10" t="s">
        <v>91</v>
      </c>
      <c r="I289" s="10" t="s">
        <v>53</v>
      </c>
      <c r="J289" s="10" t="s">
        <v>54</v>
      </c>
      <c r="K289" s="11"/>
      <c r="L289" s="10" t="s">
        <v>2502</v>
      </c>
      <c r="M289" s="11"/>
      <c r="N289" s="11"/>
      <c r="O289" s="11"/>
      <c r="P289" s="11"/>
      <c r="Q289" s="10" t="s">
        <v>75</v>
      </c>
      <c r="R289" s="11"/>
      <c r="S289" s="10" t="s">
        <v>2503</v>
      </c>
      <c r="T289" s="10" t="s">
        <v>2504</v>
      </c>
      <c r="U289" s="10" t="s">
        <v>2505</v>
      </c>
      <c r="V289" s="11"/>
      <c r="W289" s="10" t="s">
        <v>2506</v>
      </c>
      <c r="X289" s="10" t="s">
        <v>80</v>
      </c>
      <c r="Y289" s="10" t="s">
        <v>80</v>
      </c>
      <c r="Z289" s="10" t="s">
        <v>2585</v>
      </c>
      <c r="AA289" s="10" t="s">
        <v>2586</v>
      </c>
      <c r="AB289" s="11"/>
      <c r="AC289" s="11"/>
      <c r="AD289" s="11"/>
      <c r="AE289" s="11"/>
      <c r="AF289" s="12">
        <v>1500</v>
      </c>
      <c r="AG289" s="11"/>
      <c r="AH289" s="10" t="s">
        <v>2587</v>
      </c>
      <c r="AI289" s="11"/>
      <c r="AJ289" s="11"/>
      <c r="AK289" s="11"/>
      <c r="AL289" s="11"/>
      <c r="AM289" s="11"/>
      <c r="AN289" s="11"/>
      <c r="AO289" s="11"/>
      <c r="AP289" s="11"/>
      <c r="AQ289" s="11"/>
      <c r="AR289" s="10" t="s">
        <v>677</v>
      </c>
      <c r="AS289" s="10" t="s">
        <v>66</v>
      </c>
      <c r="AT289" s="10" t="s">
        <v>53</v>
      </c>
    </row>
    <row r="290" spans="1:46" ht="20" hidden="1" customHeight="1" x14ac:dyDescent="0.15">
      <c r="A290" s="8" t="s">
        <v>2588</v>
      </c>
      <c r="B290" s="9" t="s">
        <v>2589</v>
      </c>
      <c r="C290" s="10" t="s">
        <v>2590</v>
      </c>
      <c r="D290" s="10" t="s">
        <v>2591</v>
      </c>
      <c r="E290" s="10" t="s">
        <v>51</v>
      </c>
      <c r="F290" s="10" t="s">
        <v>2501</v>
      </c>
      <c r="G290" s="11"/>
      <c r="H290" s="10" t="s">
        <v>1849</v>
      </c>
      <c r="I290" s="10" t="s">
        <v>53</v>
      </c>
      <c r="J290" s="10" t="s">
        <v>54</v>
      </c>
      <c r="K290" s="11"/>
      <c r="L290" s="10" t="s">
        <v>2502</v>
      </c>
      <c r="M290" s="11"/>
      <c r="N290" s="11"/>
      <c r="O290" s="11"/>
      <c r="P290" s="11"/>
      <c r="Q290" s="10" t="s">
        <v>317</v>
      </c>
      <c r="R290" s="11"/>
      <c r="S290" s="10" t="s">
        <v>2503</v>
      </c>
      <c r="T290" s="10" t="s">
        <v>2504</v>
      </c>
      <c r="U290" s="10" t="s">
        <v>2505</v>
      </c>
      <c r="V290" s="11"/>
      <c r="W290" s="10" t="s">
        <v>2506</v>
      </c>
      <c r="X290" s="10" t="s">
        <v>80</v>
      </c>
      <c r="Y290" s="10" t="s">
        <v>80</v>
      </c>
      <c r="Z290" s="10" t="s">
        <v>2592</v>
      </c>
      <c r="AA290" s="10" t="s">
        <v>2593</v>
      </c>
      <c r="AB290" s="11"/>
      <c r="AC290" s="11"/>
      <c r="AD290" s="11"/>
      <c r="AE290" s="11"/>
      <c r="AF290" s="12">
        <v>1300</v>
      </c>
      <c r="AG290" s="11"/>
      <c r="AH290" s="10" t="s">
        <v>2587</v>
      </c>
      <c r="AI290" s="11"/>
      <c r="AJ290" s="11"/>
      <c r="AK290" s="11"/>
      <c r="AL290" s="11"/>
      <c r="AM290" s="11"/>
      <c r="AN290" s="11"/>
      <c r="AO290" s="11"/>
      <c r="AP290" s="11"/>
      <c r="AQ290" s="11"/>
      <c r="AR290" s="10" t="s">
        <v>677</v>
      </c>
      <c r="AS290" s="10" t="s">
        <v>66</v>
      </c>
      <c r="AT290" s="10" t="s">
        <v>53</v>
      </c>
    </row>
    <row r="291" spans="1:46" ht="20" customHeight="1" x14ac:dyDescent="0.15">
      <c r="A291" s="8" t="s">
        <v>2594</v>
      </c>
      <c r="B291" s="9" t="s">
        <v>2595</v>
      </c>
      <c r="C291" s="10" t="s">
        <v>2596</v>
      </c>
      <c r="D291" s="10" t="s">
        <v>2597</v>
      </c>
      <c r="E291" s="10" t="s">
        <v>51</v>
      </c>
      <c r="F291" s="10" t="s">
        <v>2501</v>
      </c>
      <c r="G291" s="11"/>
      <c r="H291" s="10" t="s">
        <v>552</v>
      </c>
      <c r="I291" s="10" t="s">
        <v>53</v>
      </c>
      <c r="J291" s="10" t="s">
        <v>54</v>
      </c>
      <c r="K291" s="11"/>
      <c r="L291" s="10" t="s">
        <v>2502</v>
      </c>
      <c r="M291" s="11"/>
      <c r="N291" s="11"/>
      <c r="O291" s="11"/>
      <c r="P291" s="11"/>
      <c r="Q291" s="10" t="s">
        <v>75</v>
      </c>
      <c r="R291" s="11"/>
      <c r="S291" s="10" t="s">
        <v>2503</v>
      </c>
      <c r="T291" s="10" t="s">
        <v>2504</v>
      </c>
      <c r="U291" s="10" t="s">
        <v>2505</v>
      </c>
      <c r="V291" s="11"/>
      <c r="W291" s="10" t="s">
        <v>2506</v>
      </c>
      <c r="X291" s="10" t="s">
        <v>80</v>
      </c>
      <c r="Y291" s="10" t="s">
        <v>80</v>
      </c>
      <c r="Z291" s="10" t="s">
        <v>2598</v>
      </c>
      <c r="AA291" s="10" t="s">
        <v>2599</v>
      </c>
      <c r="AB291" s="11"/>
      <c r="AC291" s="11"/>
      <c r="AD291" s="11"/>
      <c r="AE291" s="11"/>
      <c r="AF291" s="12">
        <v>18600</v>
      </c>
      <c r="AG291" s="11"/>
      <c r="AH291" s="11"/>
      <c r="AI291" s="11"/>
      <c r="AJ291" s="11"/>
      <c r="AK291" s="11"/>
      <c r="AL291" s="11"/>
      <c r="AM291" s="11"/>
      <c r="AN291" s="11"/>
      <c r="AO291" s="11"/>
      <c r="AP291" s="11"/>
      <c r="AQ291" s="11"/>
      <c r="AR291" s="10" t="s">
        <v>2600</v>
      </c>
      <c r="AS291" s="10" t="s">
        <v>66</v>
      </c>
      <c r="AT291" s="10" t="s">
        <v>53</v>
      </c>
    </row>
    <row r="292" spans="1:46" ht="20" customHeight="1" x14ac:dyDescent="0.15">
      <c r="A292" s="8" t="s">
        <v>2601</v>
      </c>
      <c r="B292" s="9" t="s">
        <v>2602</v>
      </c>
      <c r="C292" s="10" t="s">
        <v>1139</v>
      </c>
      <c r="D292" s="10" t="s">
        <v>2603</v>
      </c>
      <c r="E292" s="10" t="s">
        <v>51</v>
      </c>
      <c r="F292" s="10" t="s">
        <v>2501</v>
      </c>
      <c r="G292" s="11"/>
      <c r="H292" s="10" t="s">
        <v>1683</v>
      </c>
      <c r="I292" s="10" t="s">
        <v>53</v>
      </c>
      <c r="J292" s="10" t="s">
        <v>54</v>
      </c>
      <c r="K292" s="11"/>
      <c r="L292" s="10" t="s">
        <v>2502</v>
      </c>
      <c r="M292" s="11"/>
      <c r="N292" s="11"/>
      <c r="O292" s="11"/>
      <c r="P292" s="11"/>
      <c r="Q292" s="10" t="s">
        <v>75</v>
      </c>
      <c r="R292" s="11"/>
      <c r="S292" s="10" t="s">
        <v>2503</v>
      </c>
      <c r="T292" s="10" t="s">
        <v>2504</v>
      </c>
      <c r="U292" s="10" t="s">
        <v>2505</v>
      </c>
      <c r="V292" s="11"/>
      <c r="W292" s="10" t="s">
        <v>2506</v>
      </c>
      <c r="X292" s="10" t="s">
        <v>80</v>
      </c>
      <c r="Y292" s="10" t="s">
        <v>80</v>
      </c>
      <c r="Z292" s="10" t="s">
        <v>2604</v>
      </c>
      <c r="AA292" s="10" t="s">
        <v>2605</v>
      </c>
      <c r="AB292" s="11"/>
      <c r="AC292" s="11"/>
      <c r="AD292" s="11"/>
      <c r="AE292" s="11"/>
      <c r="AF292" s="12">
        <v>10000</v>
      </c>
      <c r="AG292" s="11"/>
      <c r="AH292" s="11"/>
      <c r="AI292" s="11"/>
      <c r="AJ292" s="11"/>
      <c r="AK292" s="11"/>
      <c r="AL292" s="11"/>
      <c r="AM292" s="11"/>
      <c r="AN292" s="11"/>
      <c r="AO292" s="11"/>
      <c r="AP292" s="11"/>
      <c r="AQ292" s="11"/>
      <c r="AR292" s="10" t="s">
        <v>2606</v>
      </c>
      <c r="AS292" s="10" t="s">
        <v>66</v>
      </c>
      <c r="AT292" s="10" t="s">
        <v>53</v>
      </c>
    </row>
    <row r="293" spans="1:46" ht="20" hidden="1" customHeight="1" x14ac:dyDescent="0.15">
      <c r="A293" s="8" t="s">
        <v>2607</v>
      </c>
      <c r="B293" s="9" t="s">
        <v>2608</v>
      </c>
      <c r="C293" s="10" t="s">
        <v>2609</v>
      </c>
      <c r="D293" s="10" t="s">
        <v>2610</v>
      </c>
      <c r="E293" s="10" t="s">
        <v>51</v>
      </c>
      <c r="F293" s="10" t="s">
        <v>2501</v>
      </c>
      <c r="G293" s="11"/>
      <c r="H293" s="10" t="s">
        <v>91</v>
      </c>
      <c r="I293" s="10" t="s">
        <v>53</v>
      </c>
      <c r="J293" s="10" t="s">
        <v>54</v>
      </c>
      <c r="K293" s="11"/>
      <c r="L293" s="10" t="s">
        <v>2502</v>
      </c>
      <c r="M293" s="11"/>
      <c r="N293" s="11"/>
      <c r="O293" s="11"/>
      <c r="P293" s="11"/>
      <c r="Q293" s="10" t="s">
        <v>94</v>
      </c>
      <c r="R293" s="11"/>
      <c r="S293" s="10" t="s">
        <v>2503</v>
      </c>
      <c r="T293" s="10" t="s">
        <v>2504</v>
      </c>
      <c r="U293" s="10" t="s">
        <v>2505</v>
      </c>
      <c r="V293" s="11"/>
      <c r="W293" s="10" t="s">
        <v>2506</v>
      </c>
      <c r="X293" s="10" t="s">
        <v>80</v>
      </c>
      <c r="Y293" s="10" t="s">
        <v>80</v>
      </c>
      <c r="Z293" s="10" t="s">
        <v>2611</v>
      </c>
      <c r="AA293" s="10" t="s">
        <v>2612</v>
      </c>
      <c r="AB293" s="11"/>
      <c r="AC293" s="11"/>
      <c r="AD293" s="11"/>
      <c r="AE293" s="11"/>
      <c r="AF293" s="12">
        <v>520</v>
      </c>
      <c r="AG293" s="11"/>
      <c r="AH293" s="10" t="s">
        <v>593</v>
      </c>
      <c r="AI293" s="11"/>
      <c r="AJ293" s="11"/>
      <c r="AK293" s="11"/>
      <c r="AL293" s="11"/>
      <c r="AM293" s="11"/>
      <c r="AN293" s="11"/>
      <c r="AO293" s="11"/>
      <c r="AP293" s="11"/>
      <c r="AQ293" s="11"/>
      <c r="AR293" s="10" t="s">
        <v>677</v>
      </c>
      <c r="AS293" s="10" t="s">
        <v>66</v>
      </c>
      <c r="AT293" s="10" t="s">
        <v>53</v>
      </c>
    </row>
    <row r="294" spans="1:46" ht="20" hidden="1" customHeight="1" x14ac:dyDescent="0.15">
      <c r="A294" s="8" t="s">
        <v>2613</v>
      </c>
      <c r="B294" s="9" t="s">
        <v>2614</v>
      </c>
      <c r="C294" s="10" t="s">
        <v>2615</v>
      </c>
      <c r="D294" s="10" t="s">
        <v>2616</v>
      </c>
      <c r="E294" s="10" t="s">
        <v>51</v>
      </c>
      <c r="F294" s="10" t="s">
        <v>52</v>
      </c>
      <c r="G294" s="11"/>
      <c r="H294" s="10" t="s">
        <v>91</v>
      </c>
      <c r="I294" s="10" t="s">
        <v>53</v>
      </c>
      <c r="J294" s="10" t="s">
        <v>54</v>
      </c>
      <c r="K294" s="11"/>
      <c r="L294" s="10" t="s">
        <v>2617</v>
      </c>
      <c r="M294" s="11"/>
      <c r="N294" s="11"/>
      <c r="O294" s="11"/>
      <c r="P294" s="11"/>
      <c r="Q294" s="10" t="s">
        <v>135</v>
      </c>
      <c r="R294" s="11"/>
      <c r="S294" s="10" t="s">
        <v>2618</v>
      </c>
      <c r="T294" s="10" t="s">
        <v>2619</v>
      </c>
      <c r="U294" s="10" t="s">
        <v>2620</v>
      </c>
      <c r="V294" s="11"/>
      <c r="W294" s="10" t="s">
        <v>2621</v>
      </c>
      <c r="X294" s="10" t="s">
        <v>80</v>
      </c>
      <c r="Y294" s="10" t="s">
        <v>80</v>
      </c>
      <c r="Z294" s="10" t="s">
        <v>2622</v>
      </c>
      <c r="AA294" s="10" t="s">
        <v>2623</v>
      </c>
      <c r="AB294" s="11"/>
      <c r="AC294" s="11"/>
      <c r="AD294" s="11"/>
      <c r="AE294" s="11"/>
      <c r="AF294" s="12">
        <v>2644</v>
      </c>
      <c r="AG294" s="11"/>
      <c r="AH294" s="10" t="s">
        <v>433</v>
      </c>
      <c r="AI294" s="11"/>
      <c r="AJ294" s="11"/>
      <c r="AK294" s="10" t="s">
        <v>2624</v>
      </c>
      <c r="AL294" s="10" t="s">
        <v>2625</v>
      </c>
      <c r="AM294" s="11"/>
      <c r="AN294" s="11"/>
      <c r="AO294" s="11"/>
      <c r="AP294" s="11"/>
      <c r="AQ294" s="11"/>
      <c r="AR294" s="10" t="s">
        <v>2626</v>
      </c>
      <c r="AS294" s="10" t="s">
        <v>66</v>
      </c>
      <c r="AT294" s="10" t="s">
        <v>53</v>
      </c>
    </row>
    <row r="295" spans="1:46" ht="20" hidden="1" customHeight="1" x14ac:dyDescent="0.15">
      <c r="A295" s="8" t="s">
        <v>2627</v>
      </c>
      <c r="B295" s="9" t="s">
        <v>2628</v>
      </c>
      <c r="C295" s="10" t="s">
        <v>2629</v>
      </c>
      <c r="D295" s="10" t="s">
        <v>2630</v>
      </c>
      <c r="E295" s="10" t="s">
        <v>51</v>
      </c>
      <c r="F295" s="10" t="s">
        <v>52</v>
      </c>
      <c r="G295" s="11"/>
      <c r="H295" s="10" t="s">
        <v>91</v>
      </c>
      <c r="I295" s="10" t="s">
        <v>53</v>
      </c>
      <c r="J295" s="10" t="s">
        <v>54</v>
      </c>
      <c r="K295" s="11"/>
      <c r="L295" s="10" t="s">
        <v>2617</v>
      </c>
      <c r="M295" s="11"/>
      <c r="N295" s="11"/>
      <c r="O295" s="11"/>
      <c r="P295" s="11"/>
      <c r="Q295" s="10" t="s">
        <v>135</v>
      </c>
      <c r="R295" s="11"/>
      <c r="S295" s="10" t="s">
        <v>2618</v>
      </c>
      <c r="T295" s="10" t="s">
        <v>2619</v>
      </c>
      <c r="U295" s="10" t="s">
        <v>2620</v>
      </c>
      <c r="V295" s="11"/>
      <c r="W295" s="10" t="s">
        <v>2621</v>
      </c>
      <c r="X295" s="10" t="s">
        <v>80</v>
      </c>
      <c r="Y295" s="10" t="s">
        <v>80</v>
      </c>
      <c r="Z295" s="10" t="s">
        <v>2631</v>
      </c>
      <c r="AA295" s="10" t="s">
        <v>2632</v>
      </c>
      <c r="AB295" s="11"/>
      <c r="AC295" s="11"/>
      <c r="AD295" s="11"/>
      <c r="AE295" s="11"/>
      <c r="AF295" s="12">
        <v>1450</v>
      </c>
      <c r="AG295" s="11"/>
      <c r="AH295" s="10" t="s">
        <v>433</v>
      </c>
      <c r="AI295" s="11"/>
      <c r="AJ295" s="11"/>
      <c r="AK295" s="10" t="s">
        <v>2633</v>
      </c>
      <c r="AL295" s="10" t="s">
        <v>2625</v>
      </c>
      <c r="AM295" s="11"/>
      <c r="AN295" s="11"/>
      <c r="AO295" s="11"/>
      <c r="AP295" s="11"/>
      <c r="AQ295" s="11"/>
      <c r="AR295" s="10" t="s">
        <v>2634</v>
      </c>
      <c r="AS295" s="10" t="s">
        <v>66</v>
      </c>
      <c r="AT295" s="10" t="s">
        <v>53</v>
      </c>
    </row>
    <row r="296" spans="1:46" ht="20" hidden="1" customHeight="1" x14ac:dyDescent="0.15">
      <c r="A296" s="8" t="s">
        <v>2635</v>
      </c>
      <c r="B296" s="9" t="s">
        <v>2636</v>
      </c>
      <c r="C296" s="10" t="s">
        <v>2637</v>
      </c>
      <c r="D296" s="10" t="s">
        <v>2638</v>
      </c>
      <c r="E296" s="10" t="s">
        <v>51</v>
      </c>
      <c r="F296" s="10" t="s">
        <v>52</v>
      </c>
      <c r="G296" s="11"/>
      <c r="H296" s="10" t="s">
        <v>91</v>
      </c>
      <c r="I296" s="10" t="s">
        <v>53</v>
      </c>
      <c r="J296" s="10" t="s">
        <v>54</v>
      </c>
      <c r="K296" s="11"/>
      <c r="L296" s="10" t="s">
        <v>2617</v>
      </c>
      <c r="M296" s="11"/>
      <c r="N296" s="11"/>
      <c r="O296" s="11"/>
      <c r="P296" s="11"/>
      <c r="Q296" s="10" t="s">
        <v>135</v>
      </c>
      <c r="R296" s="11"/>
      <c r="S296" s="10" t="s">
        <v>2618</v>
      </c>
      <c r="T296" s="10" t="s">
        <v>2619</v>
      </c>
      <c r="U296" s="10" t="s">
        <v>2620</v>
      </c>
      <c r="V296" s="11"/>
      <c r="W296" s="10" t="s">
        <v>2621</v>
      </c>
      <c r="X296" s="10" t="s">
        <v>80</v>
      </c>
      <c r="Y296" s="10" t="s">
        <v>80</v>
      </c>
      <c r="Z296" s="10" t="s">
        <v>2639</v>
      </c>
      <c r="AA296" s="10" t="s">
        <v>2640</v>
      </c>
      <c r="AB296" s="11"/>
      <c r="AC296" s="11"/>
      <c r="AD296" s="11"/>
      <c r="AE296" s="11"/>
      <c r="AF296" s="12">
        <v>700</v>
      </c>
      <c r="AG296" s="11"/>
      <c r="AH296" s="10" t="s">
        <v>433</v>
      </c>
      <c r="AI296" s="11"/>
      <c r="AJ296" s="11"/>
      <c r="AK296" s="10" t="s">
        <v>2641</v>
      </c>
      <c r="AL296" s="10" t="s">
        <v>2625</v>
      </c>
      <c r="AM296" s="11"/>
      <c r="AN296" s="11"/>
      <c r="AO296" s="11"/>
      <c r="AP296" s="11"/>
      <c r="AQ296" s="11"/>
      <c r="AR296" s="10" t="s">
        <v>2642</v>
      </c>
      <c r="AS296" s="10" t="s">
        <v>66</v>
      </c>
      <c r="AT296" s="10" t="s">
        <v>53</v>
      </c>
    </row>
    <row r="297" spans="1:46" ht="20" hidden="1" customHeight="1" x14ac:dyDescent="0.15">
      <c r="A297" s="8" t="s">
        <v>2643</v>
      </c>
      <c r="B297" s="9" t="s">
        <v>2644</v>
      </c>
      <c r="C297" s="10" t="s">
        <v>2645</v>
      </c>
      <c r="D297" s="10" t="s">
        <v>2646</v>
      </c>
      <c r="E297" s="10" t="s">
        <v>51</v>
      </c>
      <c r="F297" s="10" t="s">
        <v>52</v>
      </c>
      <c r="G297" s="11"/>
      <c r="H297" s="10" t="s">
        <v>91</v>
      </c>
      <c r="I297" s="10" t="s">
        <v>53</v>
      </c>
      <c r="J297" s="10" t="s">
        <v>54</v>
      </c>
      <c r="K297" s="11"/>
      <c r="L297" s="10" t="s">
        <v>2617</v>
      </c>
      <c r="M297" s="11"/>
      <c r="N297" s="11"/>
      <c r="O297" s="11"/>
      <c r="P297" s="11"/>
      <c r="Q297" s="10" t="s">
        <v>135</v>
      </c>
      <c r="R297" s="11"/>
      <c r="S297" s="10" t="s">
        <v>2618</v>
      </c>
      <c r="T297" s="10" t="s">
        <v>2619</v>
      </c>
      <c r="U297" s="10" t="s">
        <v>2620</v>
      </c>
      <c r="V297" s="11"/>
      <c r="W297" s="10" t="s">
        <v>2621</v>
      </c>
      <c r="X297" s="10" t="s">
        <v>80</v>
      </c>
      <c r="Y297" s="10" t="s">
        <v>80</v>
      </c>
      <c r="Z297" s="10" t="s">
        <v>2647</v>
      </c>
      <c r="AA297" s="10" t="s">
        <v>2648</v>
      </c>
      <c r="AB297" s="11"/>
      <c r="AC297" s="11"/>
      <c r="AD297" s="11"/>
      <c r="AE297" s="11"/>
      <c r="AF297" s="12">
        <v>1900</v>
      </c>
      <c r="AG297" s="11"/>
      <c r="AH297" s="10" t="s">
        <v>433</v>
      </c>
      <c r="AI297" s="11"/>
      <c r="AJ297" s="11"/>
      <c r="AK297" s="10" t="s">
        <v>2649</v>
      </c>
      <c r="AL297" s="10" t="s">
        <v>2625</v>
      </c>
      <c r="AM297" s="11"/>
      <c r="AN297" s="11"/>
      <c r="AO297" s="11"/>
      <c r="AP297" s="11"/>
      <c r="AQ297" s="11"/>
      <c r="AR297" s="10" t="s">
        <v>2650</v>
      </c>
      <c r="AS297" s="10" t="s">
        <v>66</v>
      </c>
      <c r="AT297" s="10" t="s">
        <v>53</v>
      </c>
    </row>
    <row r="298" spans="1:46" ht="20" hidden="1" customHeight="1" x14ac:dyDescent="0.15">
      <c r="A298" s="8" t="s">
        <v>2651</v>
      </c>
      <c r="B298" s="9" t="s">
        <v>2652</v>
      </c>
      <c r="C298" s="10" t="s">
        <v>2653</v>
      </c>
      <c r="D298" s="10" t="s">
        <v>2654</v>
      </c>
      <c r="E298" s="10" t="s">
        <v>51</v>
      </c>
      <c r="F298" s="10" t="s">
        <v>52</v>
      </c>
      <c r="G298" s="11"/>
      <c r="H298" s="10" t="s">
        <v>91</v>
      </c>
      <c r="I298" s="10" t="s">
        <v>53</v>
      </c>
      <c r="J298" s="10" t="s">
        <v>54</v>
      </c>
      <c r="K298" s="11"/>
      <c r="L298" s="10" t="s">
        <v>2617</v>
      </c>
      <c r="M298" s="11"/>
      <c r="N298" s="11"/>
      <c r="O298" s="11"/>
      <c r="P298" s="11"/>
      <c r="Q298" s="10" t="s">
        <v>135</v>
      </c>
      <c r="R298" s="11"/>
      <c r="S298" s="10" t="s">
        <v>2618</v>
      </c>
      <c r="T298" s="10" t="s">
        <v>2619</v>
      </c>
      <c r="U298" s="10" t="s">
        <v>2620</v>
      </c>
      <c r="V298" s="11"/>
      <c r="W298" s="10" t="s">
        <v>2621</v>
      </c>
      <c r="X298" s="10" t="s">
        <v>80</v>
      </c>
      <c r="Y298" s="10" t="s">
        <v>80</v>
      </c>
      <c r="Z298" s="10" t="s">
        <v>2655</v>
      </c>
      <c r="AA298" s="10" t="s">
        <v>2656</v>
      </c>
      <c r="AB298" s="11"/>
      <c r="AC298" s="11"/>
      <c r="AD298" s="11"/>
      <c r="AE298" s="11"/>
      <c r="AF298" s="12">
        <v>550</v>
      </c>
      <c r="AG298" s="11"/>
      <c r="AH298" s="10" t="s">
        <v>433</v>
      </c>
      <c r="AI298" s="11"/>
      <c r="AJ298" s="11"/>
      <c r="AK298" s="10" t="s">
        <v>2657</v>
      </c>
      <c r="AL298" s="10" t="s">
        <v>2625</v>
      </c>
      <c r="AM298" s="11"/>
      <c r="AN298" s="11"/>
      <c r="AO298" s="11"/>
      <c r="AP298" s="11"/>
      <c r="AQ298" s="11"/>
      <c r="AR298" s="10" t="s">
        <v>2658</v>
      </c>
      <c r="AS298" s="10" t="s">
        <v>66</v>
      </c>
      <c r="AT298" s="10" t="s">
        <v>53</v>
      </c>
    </row>
    <row r="299" spans="1:46" ht="20" hidden="1" customHeight="1" x14ac:dyDescent="0.15">
      <c r="A299" s="8" t="s">
        <v>2659</v>
      </c>
      <c r="B299" s="9" t="s">
        <v>2660</v>
      </c>
      <c r="C299" s="10" t="s">
        <v>2661</v>
      </c>
      <c r="D299" s="10" t="s">
        <v>2662</v>
      </c>
      <c r="E299" s="10" t="s">
        <v>51</v>
      </c>
      <c r="F299" s="10" t="s">
        <v>52</v>
      </c>
      <c r="G299" s="11"/>
      <c r="H299" s="10" t="s">
        <v>91</v>
      </c>
      <c r="I299" s="10" t="s">
        <v>53</v>
      </c>
      <c r="J299" s="10" t="s">
        <v>54</v>
      </c>
      <c r="K299" s="11"/>
      <c r="L299" s="10" t="s">
        <v>2617</v>
      </c>
      <c r="M299" s="11"/>
      <c r="N299" s="11"/>
      <c r="O299" s="11"/>
      <c r="P299" s="11"/>
      <c r="Q299" s="10" t="s">
        <v>135</v>
      </c>
      <c r="R299" s="11"/>
      <c r="S299" s="10" t="s">
        <v>2618</v>
      </c>
      <c r="T299" s="10" t="s">
        <v>2619</v>
      </c>
      <c r="U299" s="10" t="s">
        <v>2620</v>
      </c>
      <c r="V299" s="11"/>
      <c r="W299" s="10" t="s">
        <v>2621</v>
      </c>
      <c r="X299" s="10" t="s">
        <v>80</v>
      </c>
      <c r="Y299" s="10" t="s">
        <v>80</v>
      </c>
      <c r="Z299" s="10" t="s">
        <v>2663</v>
      </c>
      <c r="AA299" s="10" t="s">
        <v>2664</v>
      </c>
      <c r="AB299" s="11"/>
      <c r="AC299" s="11"/>
      <c r="AD299" s="11"/>
      <c r="AE299" s="11"/>
      <c r="AF299" s="12">
        <v>3579</v>
      </c>
      <c r="AG299" s="11"/>
      <c r="AH299" s="10" t="s">
        <v>433</v>
      </c>
      <c r="AI299" s="11"/>
      <c r="AJ299" s="11"/>
      <c r="AK299" s="10" t="s">
        <v>2665</v>
      </c>
      <c r="AL299" s="10" t="s">
        <v>2625</v>
      </c>
      <c r="AM299" s="11"/>
      <c r="AN299" s="11"/>
      <c r="AO299" s="11"/>
      <c r="AP299" s="11"/>
      <c r="AQ299" s="11"/>
      <c r="AR299" s="10" t="s">
        <v>2666</v>
      </c>
      <c r="AS299" s="10" t="s">
        <v>66</v>
      </c>
      <c r="AT299" s="10" t="s">
        <v>53</v>
      </c>
    </row>
    <row r="300" spans="1:46" ht="20" hidden="1" customHeight="1" x14ac:dyDescent="0.15">
      <c r="A300" s="8" t="s">
        <v>2667</v>
      </c>
      <c r="B300" s="9" t="s">
        <v>2668</v>
      </c>
      <c r="C300" s="10" t="s">
        <v>2669</v>
      </c>
      <c r="D300" s="10" t="s">
        <v>2670</v>
      </c>
      <c r="E300" s="10" t="s">
        <v>51</v>
      </c>
      <c r="F300" s="10" t="s">
        <v>52</v>
      </c>
      <c r="G300" s="11"/>
      <c r="H300" s="10" t="s">
        <v>91</v>
      </c>
      <c r="I300" s="10" t="s">
        <v>53</v>
      </c>
      <c r="J300" s="10" t="s">
        <v>54</v>
      </c>
      <c r="K300" s="11"/>
      <c r="L300" s="10" t="s">
        <v>2617</v>
      </c>
      <c r="M300" s="11"/>
      <c r="N300" s="11"/>
      <c r="O300" s="11"/>
      <c r="P300" s="11"/>
      <c r="Q300" s="10" t="s">
        <v>135</v>
      </c>
      <c r="R300" s="11"/>
      <c r="S300" s="10" t="s">
        <v>2618</v>
      </c>
      <c r="T300" s="10" t="s">
        <v>2619</v>
      </c>
      <c r="U300" s="10" t="s">
        <v>2620</v>
      </c>
      <c r="V300" s="11"/>
      <c r="W300" s="10" t="s">
        <v>2621</v>
      </c>
      <c r="X300" s="10" t="s">
        <v>80</v>
      </c>
      <c r="Y300" s="10" t="s">
        <v>80</v>
      </c>
      <c r="Z300" s="10" t="s">
        <v>2671</v>
      </c>
      <c r="AA300" s="10" t="s">
        <v>2672</v>
      </c>
      <c r="AB300" s="11"/>
      <c r="AC300" s="11"/>
      <c r="AD300" s="11"/>
      <c r="AE300" s="11"/>
      <c r="AF300" s="12">
        <v>2581</v>
      </c>
      <c r="AG300" s="11"/>
      <c r="AH300" s="10" t="s">
        <v>433</v>
      </c>
      <c r="AI300" s="11"/>
      <c r="AJ300" s="11"/>
      <c r="AK300" s="10" t="s">
        <v>2673</v>
      </c>
      <c r="AL300" s="11"/>
      <c r="AM300" s="11"/>
      <c r="AN300" s="11"/>
      <c r="AO300" s="11"/>
      <c r="AP300" s="11"/>
      <c r="AQ300" s="11"/>
      <c r="AR300" s="10" t="s">
        <v>2674</v>
      </c>
      <c r="AS300" s="10" t="s">
        <v>66</v>
      </c>
      <c r="AT300" s="10" t="s">
        <v>53</v>
      </c>
    </row>
    <row r="301" spans="1:46" ht="20" hidden="1" customHeight="1" x14ac:dyDescent="0.15">
      <c r="A301" s="8" t="s">
        <v>2675</v>
      </c>
      <c r="B301" s="9" t="s">
        <v>2676</v>
      </c>
      <c r="C301" s="10" t="s">
        <v>2677</v>
      </c>
      <c r="D301" s="10" t="s">
        <v>2678</v>
      </c>
      <c r="E301" s="10" t="s">
        <v>51</v>
      </c>
      <c r="F301" s="10" t="s">
        <v>52</v>
      </c>
      <c r="G301" s="11"/>
      <c r="H301" s="10" t="s">
        <v>91</v>
      </c>
      <c r="I301" s="10" t="s">
        <v>53</v>
      </c>
      <c r="J301" s="10" t="s">
        <v>54</v>
      </c>
      <c r="K301" s="11"/>
      <c r="L301" s="10" t="s">
        <v>2617</v>
      </c>
      <c r="M301" s="11"/>
      <c r="N301" s="11"/>
      <c r="O301" s="11"/>
      <c r="P301" s="11"/>
      <c r="Q301" s="10" t="s">
        <v>135</v>
      </c>
      <c r="R301" s="11"/>
      <c r="S301" s="10" t="s">
        <v>2618</v>
      </c>
      <c r="T301" s="10" t="s">
        <v>2619</v>
      </c>
      <c r="U301" s="10" t="s">
        <v>2620</v>
      </c>
      <c r="V301" s="11"/>
      <c r="W301" s="10" t="s">
        <v>2621</v>
      </c>
      <c r="X301" s="10" t="s">
        <v>80</v>
      </c>
      <c r="Y301" s="10" t="s">
        <v>80</v>
      </c>
      <c r="Z301" s="10" t="s">
        <v>2679</v>
      </c>
      <c r="AA301" s="10" t="s">
        <v>2680</v>
      </c>
      <c r="AB301" s="11"/>
      <c r="AC301" s="11"/>
      <c r="AD301" s="11"/>
      <c r="AE301" s="11"/>
      <c r="AF301" s="12">
        <v>5000</v>
      </c>
      <c r="AG301" s="11"/>
      <c r="AH301" s="10" t="s">
        <v>433</v>
      </c>
      <c r="AI301" s="11"/>
      <c r="AJ301" s="11"/>
      <c r="AK301" s="10" t="s">
        <v>2681</v>
      </c>
      <c r="AL301" s="10" t="s">
        <v>2625</v>
      </c>
      <c r="AM301" s="11"/>
      <c r="AN301" s="11"/>
      <c r="AO301" s="11"/>
      <c r="AP301" s="11"/>
      <c r="AQ301" s="11"/>
      <c r="AR301" s="10" t="s">
        <v>2682</v>
      </c>
      <c r="AS301" s="10" t="s">
        <v>66</v>
      </c>
      <c r="AT301" s="10" t="s">
        <v>53</v>
      </c>
    </row>
    <row r="302" spans="1:46" ht="20" hidden="1" customHeight="1" x14ac:dyDescent="0.15">
      <c r="A302" s="8" t="s">
        <v>2683</v>
      </c>
      <c r="B302" s="9" t="s">
        <v>2684</v>
      </c>
      <c r="C302" s="10" t="s">
        <v>2685</v>
      </c>
      <c r="D302" s="10" t="s">
        <v>2686</v>
      </c>
      <c r="E302" s="10" t="s">
        <v>51</v>
      </c>
      <c r="F302" s="10" t="s">
        <v>52</v>
      </c>
      <c r="G302" s="11"/>
      <c r="H302" s="10" t="s">
        <v>91</v>
      </c>
      <c r="I302" s="10" t="s">
        <v>53</v>
      </c>
      <c r="J302" s="10" t="s">
        <v>54</v>
      </c>
      <c r="K302" s="11"/>
      <c r="L302" s="10" t="s">
        <v>2617</v>
      </c>
      <c r="M302" s="11"/>
      <c r="N302" s="11"/>
      <c r="O302" s="11"/>
      <c r="P302" s="11"/>
      <c r="Q302" s="10" t="s">
        <v>135</v>
      </c>
      <c r="R302" s="11"/>
      <c r="S302" s="10" t="s">
        <v>2618</v>
      </c>
      <c r="T302" s="10" t="s">
        <v>2619</v>
      </c>
      <c r="U302" s="10" t="s">
        <v>2620</v>
      </c>
      <c r="V302" s="11"/>
      <c r="W302" s="10" t="s">
        <v>2621</v>
      </c>
      <c r="X302" s="10" t="s">
        <v>80</v>
      </c>
      <c r="Y302" s="10" t="s">
        <v>80</v>
      </c>
      <c r="Z302" s="10" t="s">
        <v>2687</v>
      </c>
      <c r="AA302" s="10" t="s">
        <v>2688</v>
      </c>
      <c r="AB302" s="11"/>
      <c r="AC302" s="11"/>
      <c r="AD302" s="11"/>
      <c r="AE302" s="11"/>
      <c r="AF302" s="12">
        <v>650</v>
      </c>
      <c r="AG302" s="11"/>
      <c r="AH302" s="10" t="s">
        <v>433</v>
      </c>
      <c r="AI302" s="11"/>
      <c r="AJ302" s="11"/>
      <c r="AK302" s="10" t="s">
        <v>2689</v>
      </c>
      <c r="AL302" s="10" t="s">
        <v>2625</v>
      </c>
      <c r="AM302" s="11"/>
      <c r="AN302" s="11"/>
      <c r="AO302" s="11"/>
      <c r="AP302" s="11"/>
      <c r="AQ302" s="11"/>
      <c r="AR302" s="10" t="s">
        <v>2690</v>
      </c>
      <c r="AS302" s="10" t="s">
        <v>66</v>
      </c>
      <c r="AT302" s="10" t="s">
        <v>53</v>
      </c>
    </row>
    <row r="303" spans="1:46" ht="20" hidden="1" customHeight="1" x14ac:dyDescent="0.15">
      <c r="A303" s="8" t="s">
        <v>2691</v>
      </c>
      <c r="B303" s="9" t="s">
        <v>2692</v>
      </c>
      <c r="C303" s="10" t="s">
        <v>2693</v>
      </c>
      <c r="D303" s="10" t="s">
        <v>2694</v>
      </c>
      <c r="E303" s="10" t="s">
        <v>51</v>
      </c>
      <c r="F303" s="10" t="s">
        <v>52</v>
      </c>
      <c r="G303" s="11"/>
      <c r="H303" s="10" t="s">
        <v>91</v>
      </c>
      <c r="I303" s="10" t="s">
        <v>53</v>
      </c>
      <c r="J303" s="10" t="s">
        <v>54</v>
      </c>
      <c r="K303" s="11"/>
      <c r="L303" s="10" t="s">
        <v>2617</v>
      </c>
      <c r="M303" s="11"/>
      <c r="N303" s="11"/>
      <c r="O303" s="11"/>
      <c r="P303" s="11"/>
      <c r="Q303" s="10" t="s">
        <v>135</v>
      </c>
      <c r="R303" s="11"/>
      <c r="S303" s="10" t="s">
        <v>2618</v>
      </c>
      <c r="T303" s="10" t="s">
        <v>2619</v>
      </c>
      <c r="U303" s="10" t="s">
        <v>2620</v>
      </c>
      <c r="V303" s="11"/>
      <c r="W303" s="10" t="s">
        <v>2621</v>
      </c>
      <c r="X303" s="10" t="s">
        <v>80</v>
      </c>
      <c r="Y303" s="10" t="s">
        <v>80</v>
      </c>
      <c r="Z303" s="10" t="s">
        <v>2695</v>
      </c>
      <c r="AA303" s="10" t="s">
        <v>2696</v>
      </c>
      <c r="AB303" s="11"/>
      <c r="AC303" s="11"/>
      <c r="AD303" s="11"/>
      <c r="AE303" s="11"/>
      <c r="AF303" s="12">
        <v>125</v>
      </c>
      <c r="AG303" s="11"/>
      <c r="AH303" s="10" t="s">
        <v>433</v>
      </c>
      <c r="AI303" s="11"/>
      <c r="AJ303" s="11"/>
      <c r="AK303" s="10" t="s">
        <v>2697</v>
      </c>
      <c r="AL303" s="10" t="s">
        <v>2625</v>
      </c>
      <c r="AM303" s="11"/>
      <c r="AN303" s="11"/>
      <c r="AO303" s="11"/>
      <c r="AP303" s="11"/>
      <c r="AQ303" s="11"/>
      <c r="AR303" s="10" t="s">
        <v>2698</v>
      </c>
      <c r="AS303" s="10" t="s">
        <v>66</v>
      </c>
      <c r="AT303" s="10" t="s">
        <v>53</v>
      </c>
    </row>
    <row r="304" spans="1:46" ht="20" hidden="1" customHeight="1" x14ac:dyDescent="0.15">
      <c r="A304" s="8" t="s">
        <v>2699</v>
      </c>
      <c r="B304" s="9" t="s">
        <v>2700</v>
      </c>
      <c r="C304" s="10" t="s">
        <v>2701</v>
      </c>
      <c r="D304" s="10" t="s">
        <v>2702</v>
      </c>
      <c r="E304" s="10" t="s">
        <v>51</v>
      </c>
      <c r="F304" s="10" t="s">
        <v>52</v>
      </c>
      <c r="G304" s="11"/>
      <c r="H304" s="10" t="s">
        <v>91</v>
      </c>
      <c r="I304" s="10" t="s">
        <v>53</v>
      </c>
      <c r="J304" s="10" t="s">
        <v>54</v>
      </c>
      <c r="K304" s="11"/>
      <c r="L304" s="10" t="s">
        <v>2617</v>
      </c>
      <c r="M304" s="11"/>
      <c r="N304" s="11"/>
      <c r="O304" s="11"/>
      <c r="P304" s="11"/>
      <c r="Q304" s="10" t="s">
        <v>135</v>
      </c>
      <c r="R304" s="11"/>
      <c r="S304" s="10" t="s">
        <v>2618</v>
      </c>
      <c r="T304" s="10" t="s">
        <v>2619</v>
      </c>
      <c r="U304" s="10" t="s">
        <v>2620</v>
      </c>
      <c r="V304" s="11"/>
      <c r="W304" s="10" t="s">
        <v>2621</v>
      </c>
      <c r="X304" s="10" t="s">
        <v>80</v>
      </c>
      <c r="Y304" s="10" t="s">
        <v>80</v>
      </c>
      <c r="Z304" s="10" t="s">
        <v>2703</v>
      </c>
      <c r="AA304" s="10" t="s">
        <v>2704</v>
      </c>
      <c r="AB304" s="11"/>
      <c r="AC304" s="11"/>
      <c r="AD304" s="11"/>
      <c r="AE304" s="11"/>
      <c r="AF304" s="12">
        <v>128</v>
      </c>
      <c r="AG304" s="11"/>
      <c r="AH304" s="10" t="s">
        <v>433</v>
      </c>
      <c r="AI304" s="11"/>
      <c r="AJ304" s="11"/>
      <c r="AK304" s="10" t="s">
        <v>2705</v>
      </c>
      <c r="AL304" s="10" t="s">
        <v>2625</v>
      </c>
      <c r="AM304" s="11"/>
      <c r="AN304" s="11"/>
      <c r="AO304" s="11"/>
      <c r="AP304" s="11"/>
      <c r="AQ304" s="11"/>
      <c r="AR304" s="10" t="s">
        <v>2706</v>
      </c>
      <c r="AS304" s="10" t="s">
        <v>66</v>
      </c>
      <c r="AT304" s="10" t="s">
        <v>53</v>
      </c>
    </row>
    <row r="305" spans="1:46" ht="20" hidden="1" customHeight="1" x14ac:dyDescent="0.15">
      <c r="A305" s="8" t="s">
        <v>2707</v>
      </c>
      <c r="B305" s="9" t="s">
        <v>2708</v>
      </c>
      <c r="C305" s="10" t="s">
        <v>2709</v>
      </c>
      <c r="D305" s="10" t="s">
        <v>2710</v>
      </c>
      <c r="E305" s="10" t="s">
        <v>51</v>
      </c>
      <c r="F305" s="10" t="s">
        <v>52</v>
      </c>
      <c r="G305" s="11"/>
      <c r="H305" s="10" t="s">
        <v>91</v>
      </c>
      <c r="I305" s="10" t="s">
        <v>53</v>
      </c>
      <c r="J305" s="10" t="s">
        <v>54</v>
      </c>
      <c r="K305" s="11"/>
      <c r="L305" s="10" t="s">
        <v>2617</v>
      </c>
      <c r="M305" s="11"/>
      <c r="N305" s="11"/>
      <c r="O305" s="11"/>
      <c r="P305" s="11"/>
      <c r="Q305" s="10" t="s">
        <v>135</v>
      </c>
      <c r="R305" s="11"/>
      <c r="S305" s="10" t="s">
        <v>2618</v>
      </c>
      <c r="T305" s="10" t="s">
        <v>2619</v>
      </c>
      <c r="U305" s="10" t="s">
        <v>2620</v>
      </c>
      <c r="V305" s="11"/>
      <c r="W305" s="10" t="s">
        <v>2621</v>
      </c>
      <c r="X305" s="10" t="s">
        <v>80</v>
      </c>
      <c r="Y305" s="10" t="s">
        <v>80</v>
      </c>
      <c r="Z305" s="10" t="s">
        <v>2711</v>
      </c>
      <c r="AA305" s="10" t="s">
        <v>2712</v>
      </c>
      <c r="AB305" s="11"/>
      <c r="AC305" s="11"/>
      <c r="AD305" s="11"/>
      <c r="AE305" s="11"/>
      <c r="AF305" s="12">
        <v>455</v>
      </c>
      <c r="AG305" s="11"/>
      <c r="AH305" s="10" t="s">
        <v>433</v>
      </c>
      <c r="AI305" s="11"/>
      <c r="AJ305" s="11"/>
      <c r="AK305" s="10" t="s">
        <v>2681</v>
      </c>
      <c r="AL305" s="11"/>
      <c r="AM305" s="11"/>
      <c r="AN305" s="11"/>
      <c r="AO305" s="11"/>
      <c r="AP305" s="11"/>
      <c r="AQ305" s="11"/>
      <c r="AR305" s="10" t="s">
        <v>2682</v>
      </c>
      <c r="AS305" s="10" t="s">
        <v>66</v>
      </c>
      <c r="AT305" s="10" t="s">
        <v>53</v>
      </c>
    </row>
    <row r="306" spans="1:46" ht="20" hidden="1" customHeight="1" x14ac:dyDescent="0.15">
      <c r="A306" s="8" t="s">
        <v>2713</v>
      </c>
      <c r="B306" s="9" t="s">
        <v>2714</v>
      </c>
      <c r="C306" s="10" t="s">
        <v>2715</v>
      </c>
      <c r="D306" s="10" t="s">
        <v>2716</v>
      </c>
      <c r="E306" s="10" t="s">
        <v>51</v>
      </c>
      <c r="F306" s="10" t="s">
        <v>52</v>
      </c>
      <c r="G306" s="11"/>
      <c r="H306" s="10" t="s">
        <v>91</v>
      </c>
      <c r="I306" s="10" t="s">
        <v>53</v>
      </c>
      <c r="J306" s="10" t="s">
        <v>54</v>
      </c>
      <c r="K306" s="11"/>
      <c r="L306" s="10" t="s">
        <v>2617</v>
      </c>
      <c r="M306" s="11"/>
      <c r="N306" s="11"/>
      <c r="O306" s="11"/>
      <c r="P306" s="11"/>
      <c r="Q306" s="10" t="s">
        <v>135</v>
      </c>
      <c r="R306" s="11"/>
      <c r="S306" s="10" t="s">
        <v>2618</v>
      </c>
      <c r="T306" s="10" t="s">
        <v>2619</v>
      </c>
      <c r="U306" s="10" t="s">
        <v>2620</v>
      </c>
      <c r="V306" s="11"/>
      <c r="W306" s="10" t="s">
        <v>2621</v>
      </c>
      <c r="X306" s="10" t="s">
        <v>80</v>
      </c>
      <c r="Y306" s="10" t="s">
        <v>80</v>
      </c>
      <c r="Z306" s="10" t="s">
        <v>2717</v>
      </c>
      <c r="AA306" s="10" t="s">
        <v>2718</v>
      </c>
      <c r="AB306" s="11"/>
      <c r="AC306" s="11"/>
      <c r="AD306" s="11"/>
      <c r="AE306" s="11"/>
      <c r="AF306" s="12">
        <v>2396</v>
      </c>
      <c r="AG306" s="11"/>
      <c r="AH306" s="10" t="s">
        <v>433</v>
      </c>
      <c r="AI306" s="11"/>
      <c r="AJ306" s="11"/>
      <c r="AK306" s="10" t="s">
        <v>2719</v>
      </c>
      <c r="AL306" s="10" t="s">
        <v>2625</v>
      </c>
      <c r="AM306" s="11"/>
      <c r="AN306" s="11"/>
      <c r="AO306" s="11"/>
      <c r="AP306" s="11"/>
      <c r="AQ306" s="11"/>
      <c r="AR306" s="10" t="s">
        <v>2720</v>
      </c>
      <c r="AS306" s="10" t="s">
        <v>66</v>
      </c>
      <c r="AT306" s="10" t="s">
        <v>53</v>
      </c>
    </row>
    <row r="307" spans="1:46" ht="20" hidden="1" customHeight="1" x14ac:dyDescent="0.15">
      <c r="A307" s="8" t="s">
        <v>2721</v>
      </c>
      <c r="B307" s="9" t="s">
        <v>2722</v>
      </c>
      <c r="C307" s="10" t="s">
        <v>2723</v>
      </c>
      <c r="D307" s="10" t="s">
        <v>2724</v>
      </c>
      <c r="E307" s="10" t="s">
        <v>51</v>
      </c>
      <c r="F307" s="10" t="s">
        <v>52</v>
      </c>
      <c r="G307" s="11"/>
      <c r="H307" s="10" t="s">
        <v>91</v>
      </c>
      <c r="I307" s="10" t="s">
        <v>53</v>
      </c>
      <c r="J307" s="10" t="s">
        <v>54</v>
      </c>
      <c r="K307" s="11"/>
      <c r="L307" s="10" t="s">
        <v>2617</v>
      </c>
      <c r="M307" s="11"/>
      <c r="N307" s="11"/>
      <c r="O307" s="11"/>
      <c r="P307" s="11"/>
      <c r="Q307" s="10" t="s">
        <v>135</v>
      </c>
      <c r="R307" s="11"/>
      <c r="S307" s="10" t="s">
        <v>2618</v>
      </c>
      <c r="T307" s="10" t="s">
        <v>2619</v>
      </c>
      <c r="U307" s="10" t="s">
        <v>2620</v>
      </c>
      <c r="V307" s="11"/>
      <c r="W307" s="10" t="s">
        <v>2621</v>
      </c>
      <c r="X307" s="10" t="s">
        <v>80</v>
      </c>
      <c r="Y307" s="10" t="s">
        <v>80</v>
      </c>
      <c r="Z307" s="10" t="s">
        <v>2725</v>
      </c>
      <c r="AA307" s="10" t="s">
        <v>2726</v>
      </c>
      <c r="AB307" s="11"/>
      <c r="AC307" s="11"/>
      <c r="AD307" s="11"/>
      <c r="AE307" s="11"/>
      <c r="AF307" s="12">
        <v>2750</v>
      </c>
      <c r="AG307" s="11"/>
      <c r="AH307" s="10" t="s">
        <v>433</v>
      </c>
      <c r="AI307" s="11"/>
      <c r="AJ307" s="11"/>
      <c r="AK307" s="10" t="s">
        <v>2727</v>
      </c>
      <c r="AL307" s="10" t="s">
        <v>2625</v>
      </c>
      <c r="AM307" s="11"/>
      <c r="AN307" s="11"/>
      <c r="AO307" s="11"/>
      <c r="AP307" s="11"/>
      <c r="AQ307" s="11"/>
      <c r="AR307" s="10" t="s">
        <v>2728</v>
      </c>
      <c r="AS307" s="10" t="s">
        <v>66</v>
      </c>
      <c r="AT307" s="10" t="s">
        <v>53</v>
      </c>
    </row>
    <row r="308" spans="1:46" ht="20" hidden="1" customHeight="1" x14ac:dyDescent="0.15">
      <c r="A308" s="8" t="s">
        <v>2729</v>
      </c>
      <c r="B308" s="9" t="s">
        <v>2730</v>
      </c>
      <c r="C308" s="10" t="s">
        <v>2731</v>
      </c>
      <c r="D308" s="10" t="s">
        <v>2732</v>
      </c>
      <c r="E308" s="10" t="s">
        <v>51</v>
      </c>
      <c r="F308" s="10" t="s">
        <v>52</v>
      </c>
      <c r="G308" s="11"/>
      <c r="H308" s="10" t="s">
        <v>91</v>
      </c>
      <c r="I308" s="10" t="s">
        <v>53</v>
      </c>
      <c r="J308" s="10" t="s">
        <v>54</v>
      </c>
      <c r="K308" s="11"/>
      <c r="L308" s="10" t="s">
        <v>2617</v>
      </c>
      <c r="M308" s="11"/>
      <c r="N308" s="11"/>
      <c r="O308" s="11"/>
      <c r="P308" s="11"/>
      <c r="Q308" s="10" t="s">
        <v>135</v>
      </c>
      <c r="R308" s="11"/>
      <c r="S308" s="10" t="s">
        <v>2618</v>
      </c>
      <c r="T308" s="10" t="s">
        <v>2619</v>
      </c>
      <c r="U308" s="10" t="s">
        <v>2620</v>
      </c>
      <c r="V308" s="11"/>
      <c r="W308" s="10" t="s">
        <v>2621</v>
      </c>
      <c r="X308" s="10" t="s">
        <v>80</v>
      </c>
      <c r="Y308" s="10" t="s">
        <v>80</v>
      </c>
      <c r="Z308" s="10" t="s">
        <v>2733</v>
      </c>
      <c r="AA308" s="10" t="s">
        <v>2734</v>
      </c>
      <c r="AB308" s="11"/>
      <c r="AC308" s="11"/>
      <c r="AD308" s="11"/>
      <c r="AE308" s="11"/>
      <c r="AF308" s="12">
        <v>5000</v>
      </c>
      <c r="AG308" s="11"/>
      <c r="AH308" s="10" t="s">
        <v>740</v>
      </c>
      <c r="AI308" s="11"/>
      <c r="AJ308" s="11"/>
      <c r="AK308" s="10" t="s">
        <v>2624</v>
      </c>
      <c r="AL308" s="10" t="s">
        <v>2625</v>
      </c>
      <c r="AM308" s="11"/>
      <c r="AN308" s="11"/>
      <c r="AO308" s="11"/>
      <c r="AP308" s="11"/>
      <c r="AQ308" s="11"/>
      <c r="AR308" s="10" t="s">
        <v>2735</v>
      </c>
      <c r="AS308" s="10" t="s">
        <v>66</v>
      </c>
      <c r="AT308" s="10" t="s">
        <v>53</v>
      </c>
    </row>
    <row r="309" spans="1:46" ht="20" hidden="1" customHeight="1" x14ac:dyDescent="0.15">
      <c r="A309" s="8" t="s">
        <v>2736</v>
      </c>
      <c r="B309" s="9" t="s">
        <v>2737</v>
      </c>
      <c r="C309" s="10" t="s">
        <v>2738</v>
      </c>
      <c r="D309" s="10" t="s">
        <v>2739</v>
      </c>
      <c r="E309" s="10" t="s">
        <v>51</v>
      </c>
      <c r="F309" s="10" t="s">
        <v>52</v>
      </c>
      <c r="G309" s="11"/>
      <c r="H309" s="10" t="s">
        <v>91</v>
      </c>
      <c r="I309" s="10" t="s">
        <v>53</v>
      </c>
      <c r="J309" s="10" t="s">
        <v>54</v>
      </c>
      <c r="K309" s="11"/>
      <c r="L309" s="10" t="s">
        <v>2617</v>
      </c>
      <c r="M309" s="10" t="s">
        <v>2740</v>
      </c>
      <c r="N309" s="10" t="s">
        <v>2741</v>
      </c>
      <c r="O309" s="11"/>
      <c r="P309" s="11"/>
      <c r="Q309" s="10" t="s">
        <v>135</v>
      </c>
      <c r="R309" s="11"/>
      <c r="S309" s="10" t="s">
        <v>2618</v>
      </c>
      <c r="T309" s="10" t="s">
        <v>2619</v>
      </c>
      <c r="U309" s="10" t="s">
        <v>2620</v>
      </c>
      <c r="V309" s="11"/>
      <c r="W309" s="10" t="s">
        <v>2621</v>
      </c>
      <c r="X309" s="10" t="s">
        <v>80</v>
      </c>
      <c r="Y309" s="10" t="s">
        <v>80</v>
      </c>
      <c r="Z309" s="10" t="s">
        <v>2742</v>
      </c>
      <c r="AA309" s="10" t="s">
        <v>2743</v>
      </c>
      <c r="AB309" s="11"/>
      <c r="AC309" s="11"/>
      <c r="AD309" s="10" t="s">
        <v>2744</v>
      </c>
      <c r="AE309" s="10" t="s">
        <v>2745</v>
      </c>
      <c r="AF309" s="12">
        <v>20000</v>
      </c>
      <c r="AG309" s="11"/>
      <c r="AH309" s="10" t="s">
        <v>433</v>
      </c>
      <c r="AI309" s="10" t="s">
        <v>2746</v>
      </c>
      <c r="AJ309" s="10" t="s">
        <v>2747</v>
      </c>
      <c r="AK309" s="10" t="s">
        <v>2719</v>
      </c>
      <c r="AL309" s="10" t="s">
        <v>2748</v>
      </c>
      <c r="AM309" s="11"/>
      <c r="AN309" s="11"/>
      <c r="AO309" s="11"/>
      <c r="AP309" s="11"/>
      <c r="AQ309" s="11"/>
      <c r="AR309" s="10" t="s">
        <v>2720</v>
      </c>
      <c r="AS309" s="10" t="s">
        <v>66</v>
      </c>
      <c r="AT309" s="10" t="s">
        <v>53</v>
      </c>
    </row>
    <row r="310" spans="1:46" ht="20" hidden="1" customHeight="1" x14ac:dyDescent="0.15">
      <c r="A310" s="8" t="s">
        <v>2749</v>
      </c>
      <c r="B310" s="9" t="s">
        <v>2750</v>
      </c>
      <c r="C310" s="10" t="s">
        <v>2751</v>
      </c>
      <c r="D310" s="10" t="s">
        <v>2752</v>
      </c>
      <c r="E310" s="10" t="s">
        <v>51</v>
      </c>
      <c r="F310" s="10" t="s">
        <v>52</v>
      </c>
      <c r="G310" s="11"/>
      <c r="H310" s="10" t="s">
        <v>91</v>
      </c>
      <c r="I310" s="10" t="s">
        <v>53</v>
      </c>
      <c r="J310" s="10" t="s">
        <v>54</v>
      </c>
      <c r="K310" s="11"/>
      <c r="L310" s="10" t="s">
        <v>2617</v>
      </c>
      <c r="M310" s="11"/>
      <c r="N310" s="11"/>
      <c r="O310" s="11"/>
      <c r="P310" s="11"/>
      <c r="Q310" s="10" t="s">
        <v>135</v>
      </c>
      <c r="R310" s="11"/>
      <c r="S310" s="10" t="s">
        <v>2618</v>
      </c>
      <c r="T310" s="10" t="s">
        <v>2619</v>
      </c>
      <c r="U310" s="10" t="s">
        <v>2620</v>
      </c>
      <c r="V310" s="11"/>
      <c r="W310" s="10" t="s">
        <v>2621</v>
      </c>
      <c r="X310" s="10" t="s">
        <v>80</v>
      </c>
      <c r="Y310" s="10" t="s">
        <v>80</v>
      </c>
      <c r="Z310" s="10" t="s">
        <v>2753</v>
      </c>
      <c r="AA310" s="10" t="s">
        <v>2754</v>
      </c>
      <c r="AB310" s="11"/>
      <c r="AC310" s="11"/>
      <c r="AD310" s="11"/>
      <c r="AE310" s="11"/>
      <c r="AF310" s="12">
        <v>450</v>
      </c>
      <c r="AG310" s="11"/>
      <c r="AH310" s="10" t="s">
        <v>433</v>
      </c>
      <c r="AI310" s="11"/>
      <c r="AJ310" s="11"/>
      <c r="AK310" s="10" t="s">
        <v>2755</v>
      </c>
      <c r="AL310" s="10" t="s">
        <v>2625</v>
      </c>
      <c r="AM310" s="11"/>
      <c r="AN310" s="11"/>
      <c r="AO310" s="11"/>
      <c r="AP310" s="11"/>
      <c r="AQ310" s="11"/>
      <c r="AR310" s="10" t="s">
        <v>2756</v>
      </c>
      <c r="AS310" s="10" t="s">
        <v>66</v>
      </c>
      <c r="AT310" s="10" t="s">
        <v>53</v>
      </c>
    </row>
    <row r="311" spans="1:46" ht="20" hidden="1" customHeight="1" x14ac:dyDescent="0.15">
      <c r="A311" s="8" t="s">
        <v>2757</v>
      </c>
      <c r="B311" s="9" t="s">
        <v>2758</v>
      </c>
      <c r="C311" s="10" t="s">
        <v>2759</v>
      </c>
      <c r="D311" s="10" t="s">
        <v>2760</v>
      </c>
      <c r="E311" s="10" t="s">
        <v>51</v>
      </c>
      <c r="F311" s="10" t="s">
        <v>52</v>
      </c>
      <c r="G311" s="11"/>
      <c r="H311" s="10" t="s">
        <v>91</v>
      </c>
      <c r="I311" s="10" t="s">
        <v>53</v>
      </c>
      <c r="J311" s="10" t="s">
        <v>54</v>
      </c>
      <c r="K311" s="11"/>
      <c r="L311" s="10" t="s">
        <v>2617</v>
      </c>
      <c r="M311" s="11"/>
      <c r="N311" s="11"/>
      <c r="O311" s="11"/>
      <c r="P311" s="11"/>
      <c r="Q311" s="10" t="s">
        <v>135</v>
      </c>
      <c r="R311" s="11"/>
      <c r="S311" s="10" t="s">
        <v>2618</v>
      </c>
      <c r="T311" s="10" t="s">
        <v>2619</v>
      </c>
      <c r="U311" s="10" t="s">
        <v>2620</v>
      </c>
      <c r="V311" s="11"/>
      <c r="W311" s="10" t="s">
        <v>2621</v>
      </c>
      <c r="X311" s="10" t="s">
        <v>80</v>
      </c>
      <c r="Y311" s="10" t="s">
        <v>80</v>
      </c>
      <c r="Z311" s="10" t="s">
        <v>2761</v>
      </c>
      <c r="AA311" s="10" t="s">
        <v>2762</v>
      </c>
      <c r="AB311" s="11"/>
      <c r="AC311" s="11"/>
      <c r="AD311" s="11"/>
      <c r="AE311" s="11"/>
      <c r="AF311" s="12">
        <v>8500</v>
      </c>
      <c r="AG311" s="11"/>
      <c r="AH311" s="10" t="s">
        <v>433</v>
      </c>
      <c r="AI311" s="11"/>
      <c r="AJ311" s="11"/>
      <c r="AK311" s="10" t="s">
        <v>2763</v>
      </c>
      <c r="AL311" s="10" t="s">
        <v>2625</v>
      </c>
      <c r="AM311" s="11"/>
      <c r="AN311" s="11"/>
      <c r="AO311" s="11"/>
      <c r="AP311" s="11"/>
      <c r="AQ311" s="11"/>
      <c r="AR311" s="10" t="s">
        <v>2764</v>
      </c>
      <c r="AS311" s="10" t="s">
        <v>66</v>
      </c>
      <c r="AT311" s="10" t="s">
        <v>53</v>
      </c>
    </row>
    <row r="312" spans="1:46" ht="20" hidden="1" customHeight="1" x14ac:dyDescent="0.15">
      <c r="A312" s="8" t="s">
        <v>2765</v>
      </c>
      <c r="B312" s="9" t="s">
        <v>2766</v>
      </c>
      <c r="C312" s="10" t="s">
        <v>2767</v>
      </c>
      <c r="D312" s="10" t="s">
        <v>2768</v>
      </c>
      <c r="E312" s="10" t="s">
        <v>51</v>
      </c>
      <c r="F312" s="10" t="s">
        <v>52</v>
      </c>
      <c r="G312" s="11"/>
      <c r="H312" s="10" t="s">
        <v>91</v>
      </c>
      <c r="I312" s="10" t="s">
        <v>53</v>
      </c>
      <c r="J312" s="10" t="s">
        <v>54</v>
      </c>
      <c r="K312" s="11"/>
      <c r="L312" s="10" t="s">
        <v>2617</v>
      </c>
      <c r="M312" s="11"/>
      <c r="N312" s="11"/>
      <c r="O312" s="11"/>
      <c r="P312" s="11"/>
      <c r="Q312" s="10" t="s">
        <v>135</v>
      </c>
      <c r="R312" s="11"/>
      <c r="S312" s="10" t="s">
        <v>2618</v>
      </c>
      <c r="T312" s="10" t="s">
        <v>2619</v>
      </c>
      <c r="U312" s="10" t="s">
        <v>2620</v>
      </c>
      <c r="V312" s="11"/>
      <c r="W312" s="10" t="s">
        <v>2621</v>
      </c>
      <c r="X312" s="10" t="s">
        <v>80</v>
      </c>
      <c r="Y312" s="10" t="s">
        <v>80</v>
      </c>
      <c r="Z312" s="10" t="s">
        <v>2769</v>
      </c>
      <c r="AA312" s="10" t="s">
        <v>2770</v>
      </c>
      <c r="AB312" s="11"/>
      <c r="AC312" s="11"/>
      <c r="AD312" s="11"/>
      <c r="AE312" s="11"/>
      <c r="AF312" s="12">
        <v>19000</v>
      </c>
      <c r="AG312" s="11"/>
      <c r="AH312" s="10" t="s">
        <v>433</v>
      </c>
      <c r="AI312" s="11"/>
      <c r="AJ312" s="11"/>
      <c r="AK312" s="10" t="s">
        <v>2771</v>
      </c>
      <c r="AL312" s="10" t="s">
        <v>2625</v>
      </c>
      <c r="AM312" s="11"/>
      <c r="AN312" s="11"/>
      <c r="AO312" s="11"/>
      <c r="AP312" s="11"/>
      <c r="AQ312" s="11"/>
      <c r="AR312" s="10" t="s">
        <v>2772</v>
      </c>
      <c r="AS312" s="10" t="s">
        <v>66</v>
      </c>
      <c r="AT312" s="10" t="s">
        <v>53</v>
      </c>
    </row>
    <row r="313" spans="1:46" ht="20" hidden="1" customHeight="1" x14ac:dyDescent="0.15">
      <c r="A313" s="8" t="s">
        <v>2773</v>
      </c>
      <c r="B313" s="9" t="s">
        <v>2774</v>
      </c>
      <c r="C313" s="10" t="s">
        <v>2775</v>
      </c>
      <c r="D313" s="10" t="s">
        <v>2776</v>
      </c>
      <c r="E313" s="10" t="s">
        <v>51</v>
      </c>
      <c r="F313" s="10" t="s">
        <v>52</v>
      </c>
      <c r="G313" s="11"/>
      <c r="H313" s="10" t="s">
        <v>91</v>
      </c>
      <c r="I313" s="10" t="s">
        <v>53</v>
      </c>
      <c r="J313" s="10" t="s">
        <v>54</v>
      </c>
      <c r="K313" s="11"/>
      <c r="L313" s="10" t="s">
        <v>2617</v>
      </c>
      <c r="M313" s="11"/>
      <c r="N313" s="11"/>
      <c r="O313" s="11"/>
      <c r="P313" s="11"/>
      <c r="Q313" s="10" t="s">
        <v>135</v>
      </c>
      <c r="R313" s="11"/>
      <c r="S313" s="10" t="s">
        <v>2618</v>
      </c>
      <c r="T313" s="10" t="s">
        <v>2619</v>
      </c>
      <c r="U313" s="10" t="s">
        <v>2620</v>
      </c>
      <c r="V313" s="11"/>
      <c r="W313" s="10" t="s">
        <v>2621</v>
      </c>
      <c r="X313" s="10" t="s">
        <v>80</v>
      </c>
      <c r="Y313" s="10" t="s">
        <v>80</v>
      </c>
      <c r="Z313" s="10" t="s">
        <v>2777</v>
      </c>
      <c r="AA313" s="10" t="s">
        <v>2778</v>
      </c>
      <c r="AB313" s="11"/>
      <c r="AC313" s="11"/>
      <c r="AD313" s="11"/>
      <c r="AE313" s="11"/>
      <c r="AF313" s="12">
        <v>1876</v>
      </c>
      <c r="AG313" s="11"/>
      <c r="AH313" s="10" t="s">
        <v>433</v>
      </c>
      <c r="AI313" s="11"/>
      <c r="AJ313" s="11"/>
      <c r="AK313" s="10" t="s">
        <v>2779</v>
      </c>
      <c r="AL313" s="10" t="s">
        <v>2625</v>
      </c>
      <c r="AM313" s="11"/>
      <c r="AN313" s="11"/>
      <c r="AO313" s="11"/>
      <c r="AP313" s="11"/>
      <c r="AQ313" s="11"/>
      <c r="AR313" s="10" t="s">
        <v>2780</v>
      </c>
      <c r="AS313" s="10" t="s">
        <v>66</v>
      </c>
      <c r="AT313" s="10" t="s">
        <v>53</v>
      </c>
    </row>
    <row r="314" spans="1:46" ht="20" hidden="1" customHeight="1" x14ac:dyDescent="0.15">
      <c r="A314" s="8" t="s">
        <v>2781</v>
      </c>
      <c r="B314" s="9" t="s">
        <v>2782</v>
      </c>
      <c r="C314" s="10" t="s">
        <v>2783</v>
      </c>
      <c r="D314" s="10" t="s">
        <v>2784</v>
      </c>
      <c r="E314" s="10" t="s">
        <v>51</v>
      </c>
      <c r="F314" s="10" t="s">
        <v>52</v>
      </c>
      <c r="G314" s="11"/>
      <c r="H314" s="10" t="s">
        <v>91</v>
      </c>
      <c r="I314" s="10" t="s">
        <v>53</v>
      </c>
      <c r="J314" s="10" t="s">
        <v>54</v>
      </c>
      <c r="K314" s="11"/>
      <c r="L314" s="10" t="s">
        <v>2617</v>
      </c>
      <c r="M314" s="11"/>
      <c r="N314" s="11"/>
      <c r="O314" s="11"/>
      <c r="P314" s="11"/>
      <c r="Q314" s="10" t="s">
        <v>135</v>
      </c>
      <c r="R314" s="11"/>
      <c r="S314" s="10" t="s">
        <v>2618</v>
      </c>
      <c r="T314" s="10" t="s">
        <v>2619</v>
      </c>
      <c r="U314" s="10" t="s">
        <v>2620</v>
      </c>
      <c r="V314" s="11"/>
      <c r="W314" s="10" t="s">
        <v>2621</v>
      </c>
      <c r="X314" s="10" t="s">
        <v>80</v>
      </c>
      <c r="Y314" s="10" t="s">
        <v>80</v>
      </c>
      <c r="Z314" s="10" t="s">
        <v>2785</v>
      </c>
      <c r="AA314" s="10" t="s">
        <v>2786</v>
      </c>
      <c r="AB314" s="11"/>
      <c r="AC314" s="11"/>
      <c r="AD314" s="11"/>
      <c r="AE314" s="11"/>
      <c r="AF314" s="12">
        <v>1000</v>
      </c>
      <c r="AG314" s="11"/>
      <c r="AH314" s="10" t="s">
        <v>2787</v>
      </c>
      <c r="AI314" s="11"/>
      <c r="AJ314" s="11"/>
      <c r="AK314" s="10" t="s">
        <v>2788</v>
      </c>
      <c r="AL314" s="10" t="s">
        <v>2625</v>
      </c>
      <c r="AM314" s="11"/>
      <c r="AN314" s="11"/>
      <c r="AO314" s="11"/>
      <c r="AP314" s="11"/>
      <c r="AQ314" s="11"/>
      <c r="AR314" s="10" t="s">
        <v>2789</v>
      </c>
      <c r="AS314" s="10" t="s">
        <v>66</v>
      </c>
      <c r="AT314" s="10" t="s">
        <v>53</v>
      </c>
    </row>
    <row r="315" spans="1:46" ht="20" hidden="1" customHeight="1" x14ac:dyDescent="0.15">
      <c r="A315" s="8" t="s">
        <v>2790</v>
      </c>
      <c r="B315" s="9" t="s">
        <v>2791</v>
      </c>
      <c r="C315" s="10" t="s">
        <v>2792</v>
      </c>
      <c r="D315" s="10" t="s">
        <v>2793</v>
      </c>
      <c r="E315" s="10" t="s">
        <v>51</v>
      </c>
      <c r="F315" s="10" t="s">
        <v>52</v>
      </c>
      <c r="G315" s="11"/>
      <c r="H315" s="10" t="s">
        <v>91</v>
      </c>
      <c r="I315" s="10" t="s">
        <v>53</v>
      </c>
      <c r="J315" s="10" t="s">
        <v>54</v>
      </c>
      <c r="K315" s="11"/>
      <c r="L315" s="10" t="s">
        <v>2617</v>
      </c>
      <c r="M315" s="11"/>
      <c r="N315" s="11"/>
      <c r="O315" s="11"/>
      <c r="P315" s="11"/>
      <c r="Q315" s="10" t="s">
        <v>135</v>
      </c>
      <c r="R315" s="11"/>
      <c r="S315" s="10" t="s">
        <v>2618</v>
      </c>
      <c r="T315" s="10" t="s">
        <v>2619</v>
      </c>
      <c r="U315" s="10" t="s">
        <v>2620</v>
      </c>
      <c r="V315" s="11"/>
      <c r="W315" s="10" t="s">
        <v>2621</v>
      </c>
      <c r="X315" s="10" t="s">
        <v>80</v>
      </c>
      <c r="Y315" s="10" t="s">
        <v>80</v>
      </c>
      <c r="Z315" s="10" t="s">
        <v>2794</v>
      </c>
      <c r="AA315" s="10" t="s">
        <v>2795</v>
      </c>
      <c r="AB315" s="11"/>
      <c r="AC315" s="11"/>
      <c r="AD315" s="11"/>
      <c r="AE315" s="11"/>
      <c r="AF315" s="12">
        <v>672</v>
      </c>
      <c r="AG315" s="11"/>
      <c r="AH315" s="10" t="s">
        <v>433</v>
      </c>
      <c r="AI315" s="11"/>
      <c r="AJ315" s="11"/>
      <c r="AK315" s="10" t="s">
        <v>2796</v>
      </c>
      <c r="AL315" s="10" t="s">
        <v>2625</v>
      </c>
      <c r="AM315" s="11"/>
      <c r="AN315" s="11"/>
      <c r="AO315" s="11"/>
      <c r="AP315" s="11"/>
      <c r="AQ315" s="11"/>
      <c r="AR315" s="10" t="s">
        <v>2797</v>
      </c>
      <c r="AS315" s="10" t="s">
        <v>66</v>
      </c>
      <c r="AT315" s="10" t="s">
        <v>53</v>
      </c>
    </row>
    <row r="316" spans="1:46" ht="20" hidden="1" customHeight="1" x14ac:dyDescent="0.15">
      <c r="A316" s="8" t="s">
        <v>2798</v>
      </c>
      <c r="B316" s="9" t="s">
        <v>2799</v>
      </c>
      <c r="C316" s="10" t="s">
        <v>2800</v>
      </c>
      <c r="D316" s="10" t="s">
        <v>2801</v>
      </c>
      <c r="E316" s="10" t="s">
        <v>51</v>
      </c>
      <c r="F316" s="10" t="s">
        <v>52</v>
      </c>
      <c r="G316" s="11"/>
      <c r="H316" s="10" t="s">
        <v>91</v>
      </c>
      <c r="I316" s="10" t="s">
        <v>53</v>
      </c>
      <c r="J316" s="10" t="s">
        <v>54</v>
      </c>
      <c r="K316" s="11"/>
      <c r="L316" s="10" t="s">
        <v>2617</v>
      </c>
      <c r="M316" s="11"/>
      <c r="N316" s="11"/>
      <c r="O316" s="11"/>
      <c r="P316" s="11"/>
      <c r="Q316" s="10" t="s">
        <v>135</v>
      </c>
      <c r="R316" s="11"/>
      <c r="S316" s="10" t="s">
        <v>2618</v>
      </c>
      <c r="T316" s="10" t="s">
        <v>2619</v>
      </c>
      <c r="U316" s="10" t="s">
        <v>2620</v>
      </c>
      <c r="V316" s="11"/>
      <c r="W316" s="10" t="s">
        <v>2621</v>
      </c>
      <c r="X316" s="10" t="s">
        <v>80</v>
      </c>
      <c r="Y316" s="10" t="s">
        <v>80</v>
      </c>
      <c r="Z316" s="10" t="s">
        <v>2802</v>
      </c>
      <c r="AA316" s="10" t="s">
        <v>2803</v>
      </c>
      <c r="AB316" s="11"/>
      <c r="AC316" s="11"/>
      <c r="AD316" s="11"/>
      <c r="AE316" s="11"/>
      <c r="AF316" s="12">
        <v>10000</v>
      </c>
      <c r="AG316" s="11"/>
      <c r="AH316" s="10" t="s">
        <v>433</v>
      </c>
      <c r="AI316" s="11"/>
      <c r="AJ316" s="11"/>
      <c r="AK316" s="11"/>
      <c r="AL316" s="10" t="s">
        <v>2625</v>
      </c>
      <c r="AM316" s="11"/>
      <c r="AN316" s="11"/>
      <c r="AO316" s="11"/>
      <c r="AP316" s="11"/>
      <c r="AQ316" s="11"/>
      <c r="AR316" s="10" t="s">
        <v>2804</v>
      </c>
      <c r="AS316" s="10" t="s">
        <v>66</v>
      </c>
      <c r="AT316" s="10" t="s">
        <v>53</v>
      </c>
    </row>
    <row r="317" spans="1:46" ht="20" hidden="1" customHeight="1" x14ac:dyDescent="0.15">
      <c r="A317" s="8" t="s">
        <v>2805</v>
      </c>
      <c r="B317" s="9" t="s">
        <v>2806</v>
      </c>
      <c r="C317" s="10" t="s">
        <v>2807</v>
      </c>
      <c r="D317" s="10" t="s">
        <v>2808</v>
      </c>
      <c r="E317" s="10" t="s">
        <v>51</v>
      </c>
      <c r="F317" s="10" t="s">
        <v>52</v>
      </c>
      <c r="G317" s="11"/>
      <c r="H317" s="10" t="s">
        <v>91</v>
      </c>
      <c r="I317" s="10" t="s">
        <v>53</v>
      </c>
      <c r="J317" s="10" t="s">
        <v>54</v>
      </c>
      <c r="K317" s="11"/>
      <c r="L317" s="10" t="s">
        <v>2617</v>
      </c>
      <c r="M317" s="11"/>
      <c r="N317" s="11"/>
      <c r="O317" s="11"/>
      <c r="P317" s="11"/>
      <c r="Q317" s="10" t="s">
        <v>135</v>
      </c>
      <c r="R317" s="11"/>
      <c r="S317" s="10" t="s">
        <v>2618</v>
      </c>
      <c r="T317" s="10" t="s">
        <v>2619</v>
      </c>
      <c r="U317" s="10" t="s">
        <v>2620</v>
      </c>
      <c r="V317" s="11"/>
      <c r="W317" s="10" t="s">
        <v>2621</v>
      </c>
      <c r="X317" s="10" t="s">
        <v>80</v>
      </c>
      <c r="Y317" s="10" t="s">
        <v>80</v>
      </c>
      <c r="Z317" s="10" t="s">
        <v>2809</v>
      </c>
      <c r="AA317" s="10" t="s">
        <v>2810</v>
      </c>
      <c r="AB317" s="11"/>
      <c r="AC317" s="11"/>
      <c r="AD317" s="11"/>
      <c r="AE317" s="11"/>
      <c r="AF317" s="12">
        <v>350</v>
      </c>
      <c r="AG317" s="11"/>
      <c r="AH317" s="10" t="s">
        <v>433</v>
      </c>
      <c r="AI317" s="11"/>
      <c r="AJ317" s="11"/>
      <c r="AK317" s="10" t="s">
        <v>2811</v>
      </c>
      <c r="AL317" s="11"/>
      <c r="AM317" s="11"/>
      <c r="AN317" s="11"/>
      <c r="AO317" s="11"/>
      <c r="AP317" s="11"/>
      <c r="AQ317" s="11"/>
      <c r="AR317" s="10" t="s">
        <v>2812</v>
      </c>
      <c r="AS317" s="10" t="s">
        <v>66</v>
      </c>
      <c r="AT317" s="10" t="s">
        <v>53</v>
      </c>
    </row>
    <row r="318" spans="1:46" ht="20" hidden="1" customHeight="1" x14ac:dyDescent="0.15">
      <c r="A318" s="8" t="s">
        <v>2813</v>
      </c>
      <c r="B318" s="9" t="s">
        <v>2814</v>
      </c>
      <c r="C318" s="10" t="s">
        <v>2815</v>
      </c>
      <c r="D318" s="10" t="s">
        <v>2816</v>
      </c>
      <c r="E318" s="10" t="s">
        <v>51</v>
      </c>
      <c r="F318" s="10" t="s">
        <v>52</v>
      </c>
      <c r="G318" s="11"/>
      <c r="H318" s="10" t="s">
        <v>91</v>
      </c>
      <c r="I318" s="10" t="s">
        <v>53</v>
      </c>
      <c r="J318" s="10" t="s">
        <v>54</v>
      </c>
      <c r="K318" s="11"/>
      <c r="L318" s="10" t="s">
        <v>2617</v>
      </c>
      <c r="M318" s="11"/>
      <c r="N318" s="11"/>
      <c r="O318" s="11"/>
      <c r="P318" s="11"/>
      <c r="Q318" s="10" t="s">
        <v>135</v>
      </c>
      <c r="R318" s="11"/>
      <c r="S318" s="10" t="s">
        <v>2618</v>
      </c>
      <c r="T318" s="10" t="s">
        <v>2619</v>
      </c>
      <c r="U318" s="10" t="s">
        <v>2620</v>
      </c>
      <c r="V318" s="11"/>
      <c r="W318" s="10" t="s">
        <v>2621</v>
      </c>
      <c r="X318" s="10" t="s">
        <v>80</v>
      </c>
      <c r="Y318" s="10" t="s">
        <v>80</v>
      </c>
      <c r="Z318" s="10" t="s">
        <v>2817</v>
      </c>
      <c r="AA318" s="10" t="s">
        <v>2818</v>
      </c>
      <c r="AB318" s="11"/>
      <c r="AC318" s="11"/>
      <c r="AD318" s="11"/>
      <c r="AE318" s="11"/>
      <c r="AF318" s="12">
        <v>750</v>
      </c>
      <c r="AG318" s="11"/>
      <c r="AH318" s="10" t="s">
        <v>433</v>
      </c>
      <c r="AI318" s="11"/>
      <c r="AJ318" s="11"/>
      <c r="AK318" s="10" t="s">
        <v>2819</v>
      </c>
      <c r="AL318" s="11"/>
      <c r="AM318" s="11"/>
      <c r="AN318" s="11"/>
      <c r="AO318" s="11"/>
      <c r="AP318" s="11"/>
      <c r="AQ318" s="11"/>
      <c r="AR318" s="10" t="s">
        <v>2820</v>
      </c>
      <c r="AS318" s="10" t="s">
        <v>66</v>
      </c>
      <c r="AT318" s="10" t="s">
        <v>53</v>
      </c>
    </row>
    <row r="319" spans="1:46" ht="20" hidden="1" customHeight="1" x14ac:dyDescent="0.15">
      <c r="A319" s="8" t="s">
        <v>2821</v>
      </c>
      <c r="B319" s="9" t="s">
        <v>2822</v>
      </c>
      <c r="C319" s="10" t="s">
        <v>2823</v>
      </c>
      <c r="D319" s="10" t="s">
        <v>2824</v>
      </c>
      <c r="E319" s="10" t="s">
        <v>51</v>
      </c>
      <c r="F319" s="10" t="s">
        <v>52</v>
      </c>
      <c r="G319" s="11"/>
      <c r="H319" s="10" t="s">
        <v>91</v>
      </c>
      <c r="I319" s="10" t="s">
        <v>53</v>
      </c>
      <c r="J319" s="10" t="s">
        <v>54</v>
      </c>
      <c r="K319" s="11"/>
      <c r="L319" s="10" t="s">
        <v>2617</v>
      </c>
      <c r="M319" s="11"/>
      <c r="N319" s="11"/>
      <c r="O319" s="11"/>
      <c r="P319" s="11"/>
      <c r="Q319" s="10" t="s">
        <v>135</v>
      </c>
      <c r="R319" s="11"/>
      <c r="S319" s="10" t="s">
        <v>2618</v>
      </c>
      <c r="T319" s="10" t="s">
        <v>2619</v>
      </c>
      <c r="U319" s="10" t="s">
        <v>2620</v>
      </c>
      <c r="V319" s="11"/>
      <c r="W319" s="10" t="s">
        <v>2621</v>
      </c>
      <c r="X319" s="10" t="s">
        <v>80</v>
      </c>
      <c r="Y319" s="10" t="s">
        <v>80</v>
      </c>
      <c r="Z319" s="10" t="s">
        <v>2825</v>
      </c>
      <c r="AA319" s="10" t="s">
        <v>2826</v>
      </c>
      <c r="AB319" s="11"/>
      <c r="AC319" s="11"/>
      <c r="AD319" s="11"/>
      <c r="AE319" s="11"/>
      <c r="AF319" s="12">
        <v>6500</v>
      </c>
      <c r="AG319" s="11"/>
      <c r="AH319" s="10" t="s">
        <v>232</v>
      </c>
      <c r="AI319" s="11"/>
      <c r="AJ319" s="11"/>
      <c r="AK319" s="11"/>
      <c r="AL319" s="11"/>
      <c r="AM319" s="11"/>
      <c r="AN319" s="11"/>
      <c r="AO319" s="11"/>
      <c r="AP319" s="11"/>
      <c r="AQ319" s="11"/>
      <c r="AR319" s="10" t="s">
        <v>2827</v>
      </c>
      <c r="AS319" s="10" t="s">
        <v>66</v>
      </c>
      <c r="AT319" s="10" t="s">
        <v>53</v>
      </c>
    </row>
    <row r="320" spans="1:46" ht="20" hidden="1" customHeight="1" x14ac:dyDescent="0.15">
      <c r="A320" s="8" t="s">
        <v>2828</v>
      </c>
      <c r="B320" s="9" t="s">
        <v>2829</v>
      </c>
      <c r="C320" s="10" t="s">
        <v>2830</v>
      </c>
      <c r="D320" s="10" t="s">
        <v>2831</v>
      </c>
      <c r="E320" s="10" t="s">
        <v>51</v>
      </c>
      <c r="F320" s="10" t="s">
        <v>52</v>
      </c>
      <c r="G320" s="11"/>
      <c r="H320" s="10" t="s">
        <v>91</v>
      </c>
      <c r="I320" s="10" t="s">
        <v>53</v>
      </c>
      <c r="J320" s="10" t="s">
        <v>54</v>
      </c>
      <c r="K320" s="11"/>
      <c r="L320" s="10" t="s">
        <v>2617</v>
      </c>
      <c r="M320" s="11"/>
      <c r="N320" s="11"/>
      <c r="O320" s="11"/>
      <c r="P320" s="11"/>
      <c r="Q320" s="10" t="s">
        <v>135</v>
      </c>
      <c r="R320" s="11"/>
      <c r="S320" s="10" t="s">
        <v>2618</v>
      </c>
      <c r="T320" s="10" t="s">
        <v>2619</v>
      </c>
      <c r="U320" s="10" t="s">
        <v>2620</v>
      </c>
      <c r="V320" s="11"/>
      <c r="W320" s="10" t="s">
        <v>2621</v>
      </c>
      <c r="X320" s="10" t="s">
        <v>80</v>
      </c>
      <c r="Y320" s="10" t="s">
        <v>80</v>
      </c>
      <c r="Z320" s="10" t="s">
        <v>2832</v>
      </c>
      <c r="AA320" s="10" t="s">
        <v>2833</v>
      </c>
      <c r="AB320" s="11"/>
      <c r="AC320" s="11"/>
      <c r="AD320" s="11"/>
      <c r="AE320" s="11"/>
      <c r="AF320" s="12">
        <v>1000</v>
      </c>
      <c r="AG320" s="11"/>
      <c r="AH320" s="10" t="s">
        <v>433</v>
      </c>
      <c r="AI320" s="11"/>
      <c r="AJ320" s="11"/>
      <c r="AK320" s="10" t="s">
        <v>2834</v>
      </c>
      <c r="AL320" s="10" t="s">
        <v>2625</v>
      </c>
      <c r="AM320" s="11"/>
      <c r="AN320" s="11"/>
      <c r="AO320" s="11"/>
      <c r="AP320" s="11"/>
      <c r="AQ320" s="11"/>
      <c r="AR320" s="10" t="s">
        <v>2735</v>
      </c>
      <c r="AS320" s="10" t="s">
        <v>66</v>
      </c>
      <c r="AT320" s="10" t="s">
        <v>53</v>
      </c>
    </row>
    <row r="321" spans="1:46" ht="20" hidden="1" customHeight="1" x14ac:dyDescent="0.15">
      <c r="A321" s="8" t="s">
        <v>2835</v>
      </c>
      <c r="B321" s="9" t="s">
        <v>2836</v>
      </c>
      <c r="C321" s="10" t="s">
        <v>2837</v>
      </c>
      <c r="D321" s="10" t="s">
        <v>2838</v>
      </c>
      <c r="E321" s="10" t="s">
        <v>51</v>
      </c>
      <c r="F321" s="10" t="s">
        <v>52</v>
      </c>
      <c r="G321" s="11"/>
      <c r="H321" s="10" t="s">
        <v>91</v>
      </c>
      <c r="I321" s="10" t="s">
        <v>53</v>
      </c>
      <c r="J321" s="10" t="s">
        <v>54</v>
      </c>
      <c r="K321" s="11"/>
      <c r="L321" s="10" t="s">
        <v>2617</v>
      </c>
      <c r="M321" s="11"/>
      <c r="N321" s="11"/>
      <c r="O321" s="11"/>
      <c r="P321" s="11"/>
      <c r="Q321" s="10" t="s">
        <v>135</v>
      </c>
      <c r="R321" s="11"/>
      <c r="S321" s="10" t="s">
        <v>2618</v>
      </c>
      <c r="T321" s="10" t="s">
        <v>2619</v>
      </c>
      <c r="U321" s="10" t="s">
        <v>2620</v>
      </c>
      <c r="V321" s="11"/>
      <c r="W321" s="10" t="s">
        <v>2621</v>
      </c>
      <c r="X321" s="10" t="s">
        <v>80</v>
      </c>
      <c r="Y321" s="10" t="s">
        <v>80</v>
      </c>
      <c r="Z321" s="10" t="s">
        <v>2839</v>
      </c>
      <c r="AA321" s="10" t="s">
        <v>2840</v>
      </c>
      <c r="AB321" s="11"/>
      <c r="AC321" s="11"/>
      <c r="AD321" s="11"/>
      <c r="AE321" s="11"/>
      <c r="AF321" s="12">
        <v>950</v>
      </c>
      <c r="AG321" s="11"/>
      <c r="AH321" s="10" t="s">
        <v>433</v>
      </c>
      <c r="AI321" s="11"/>
      <c r="AJ321" s="11"/>
      <c r="AK321" s="10" t="s">
        <v>2841</v>
      </c>
      <c r="AL321" s="10" t="s">
        <v>2625</v>
      </c>
      <c r="AM321" s="11"/>
      <c r="AN321" s="11"/>
      <c r="AO321" s="11"/>
      <c r="AP321" s="11"/>
      <c r="AQ321" s="11"/>
      <c r="AR321" s="10" t="s">
        <v>2842</v>
      </c>
      <c r="AS321" s="10" t="s">
        <v>66</v>
      </c>
      <c r="AT321" s="10" t="s">
        <v>53</v>
      </c>
    </row>
    <row r="322" spans="1:46" ht="20" hidden="1" customHeight="1" x14ac:dyDescent="0.15">
      <c r="A322" s="8" t="s">
        <v>2843</v>
      </c>
      <c r="B322" s="9" t="s">
        <v>2844</v>
      </c>
      <c r="C322" s="10" t="s">
        <v>2845</v>
      </c>
      <c r="D322" s="10" t="s">
        <v>2846</v>
      </c>
      <c r="E322" s="10" t="s">
        <v>51</v>
      </c>
      <c r="F322" s="10" t="s">
        <v>52</v>
      </c>
      <c r="G322" s="11"/>
      <c r="H322" s="10" t="s">
        <v>91</v>
      </c>
      <c r="I322" s="10" t="s">
        <v>53</v>
      </c>
      <c r="J322" s="10" t="s">
        <v>54</v>
      </c>
      <c r="K322" s="11"/>
      <c r="L322" s="10" t="s">
        <v>2617</v>
      </c>
      <c r="M322" s="11"/>
      <c r="N322" s="11"/>
      <c r="O322" s="11"/>
      <c r="P322" s="11"/>
      <c r="Q322" s="10" t="s">
        <v>135</v>
      </c>
      <c r="R322" s="11"/>
      <c r="S322" s="10" t="s">
        <v>2618</v>
      </c>
      <c r="T322" s="10" t="s">
        <v>2619</v>
      </c>
      <c r="U322" s="10" t="s">
        <v>2620</v>
      </c>
      <c r="V322" s="11"/>
      <c r="W322" s="10" t="s">
        <v>2621</v>
      </c>
      <c r="X322" s="10" t="s">
        <v>80</v>
      </c>
      <c r="Y322" s="10" t="s">
        <v>80</v>
      </c>
      <c r="Z322" s="10" t="s">
        <v>2847</v>
      </c>
      <c r="AA322" s="10" t="s">
        <v>2848</v>
      </c>
      <c r="AB322" s="11"/>
      <c r="AC322" s="11"/>
      <c r="AD322" s="11"/>
      <c r="AE322" s="11"/>
      <c r="AF322" s="12">
        <v>849</v>
      </c>
      <c r="AG322" s="11"/>
      <c r="AH322" s="10" t="s">
        <v>433</v>
      </c>
      <c r="AI322" s="11"/>
      <c r="AJ322" s="11"/>
      <c r="AK322" s="10" t="s">
        <v>2849</v>
      </c>
      <c r="AL322" s="10" t="s">
        <v>2625</v>
      </c>
      <c r="AM322" s="11"/>
      <c r="AN322" s="11"/>
      <c r="AO322" s="11"/>
      <c r="AP322" s="11"/>
      <c r="AQ322" s="11"/>
      <c r="AR322" s="10" t="s">
        <v>2850</v>
      </c>
      <c r="AS322" s="10" t="s">
        <v>66</v>
      </c>
      <c r="AT322" s="10" t="s">
        <v>53</v>
      </c>
    </row>
    <row r="323" spans="1:46" ht="20" customHeight="1" x14ac:dyDescent="0.15">
      <c r="A323" s="8" t="s">
        <v>2851</v>
      </c>
      <c r="B323" s="9" t="s">
        <v>2852</v>
      </c>
      <c r="C323" s="10" t="s">
        <v>2853</v>
      </c>
      <c r="D323" s="10" t="s">
        <v>2854</v>
      </c>
      <c r="E323" s="10" t="s">
        <v>51</v>
      </c>
      <c r="F323" s="10" t="s">
        <v>52</v>
      </c>
      <c r="G323" s="11"/>
      <c r="H323" s="10" t="s">
        <v>239</v>
      </c>
      <c r="I323" s="10" t="s">
        <v>53</v>
      </c>
      <c r="J323" s="10" t="s">
        <v>54</v>
      </c>
      <c r="K323" s="11"/>
      <c r="L323" s="10" t="s">
        <v>2855</v>
      </c>
      <c r="M323" s="11"/>
      <c r="N323" s="11"/>
      <c r="O323" s="11"/>
      <c r="P323" s="11"/>
      <c r="Q323" s="10" t="s">
        <v>75</v>
      </c>
      <c r="R323" s="11"/>
      <c r="S323" s="10" t="s">
        <v>2618</v>
      </c>
      <c r="T323" s="10" t="s">
        <v>2619</v>
      </c>
      <c r="U323" s="10" t="s">
        <v>2620</v>
      </c>
      <c r="V323" s="11"/>
      <c r="W323" s="10" t="s">
        <v>2621</v>
      </c>
      <c r="X323" s="10" t="s">
        <v>80</v>
      </c>
      <c r="Y323" s="10" t="s">
        <v>80</v>
      </c>
      <c r="Z323" s="10" t="s">
        <v>2856</v>
      </c>
      <c r="AA323" s="10" t="s">
        <v>2857</v>
      </c>
      <c r="AB323" s="11"/>
      <c r="AC323" s="11"/>
      <c r="AD323" s="11"/>
      <c r="AE323" s="11"/>
      <c r="AF323" s="12">
        <v>378</v>
      </c>
      <c r="AG323" s="11"/>
      <c r="AH323" s="10" t="s">
        <v>2858</v>
      </c>
      <c r="AI323" s="11"/>
      <c r="AJ323" s="11"/>
      <c r="AK323" s="10" t="s">
        <v>2859</v>
      </c>
      <c r="AL323" s="11"/>
      <c r="AM323" s="11"/>
      <c r="AN323" s="11"/>
      <c r="AO323" s="11"/>
      <c r="AP323" s="11"/>
      <c r="AQ323" s="11"/>
      <c r="AR323" s="10" t="s">
        <v>2860</v>
      </c>
      <c r="AS323" s="10" t="s">
        <v>66</v>
      </c>
      <c r="AT323" s="10" t="s">
        <v>53</v>
      </c>
    </row>
    <row r="324" spans="1:46" ht="20" customHeight="1" x14ac:dyDescent="0.15">
      <c r="A324" s="8" t="s">
        <v>2861</v>
      </c>
      <c r="B324" s="9" t="s">
        <v>2862</v>
      </c>
      <c r="C324" s="10" t="s">
        <v>2863</v>
      </c>
      <c r="D324" s="10" t="s">
        <v>2864</v>
      </c>
      <c r="E324" s="10" t="s">
        <v>51</v>
      </c>
      <c r="F324" s="10" t="s">
        <v>52</v>
      </c>
      <c r="G324" s="11"/>
      <c r="H324" s="10" t="s">
        <v>239</v>
      </c>
      <c r="I324" s="10" t="s">
        <v>53</v>
      </c>
      <c r="J324" s="10" t="s">
        <v>54</v>
      </c>
      <c r="K324" s="11"/>
      <c r="L324" s="10" t="s">
        <v>2855</v>
      </c>
      <c r="M324" s="11"/>
      <c r="N324" s="11"/>
      <c r="O324" s="11"/>
      <c r="P324" s="11"/>
      <c r="Q324" s="10" t="s">
        <v>75</v>
      </c>
      <c r="R324" s="11"/>
      <c r="S324" s="10" t="s">
        <v>2618</v>
      </c>
      <c r="T324" s="10" t="s">
        <v>2619</v>
      </c>
      <c r="U324" s="10" t="s">
        <v>2620</v>
      </c>
      <c r="V324" s="11"/>
      <c r="W324" s="10" t="s">
        <v>2621</v>
      </c>
      <c r="X324" s="10" t="s">
        <v>80</v>
      </c>
      <c r="Y324" s="10" t="s">
        <v>80</v>
      </c>
      <c r="Z324" s="10" t="s">
        <v>2865</v>
      </c>
      <c r="AA324" s="10" t="s">
        <v>2866</v>
      </c>
      <c r="AB324" s="11"/>
      <c r="AC324" s="11"/>
      <c r="AD324" s="11"/>
      <c r="AE324" s="11"/>
      <c r="AF324" s="12">
        <v>18</v>
      </c>
      <c r="AG324" s="11"/>
      <c r="AH324" s="10" t="s">
        <v>2867</v>
      </c>
      <c r="AI324" s="11"/>
      <c r="AJ324" s="11"/>
      <c r="AK324" s="10" t="s">
        <v>2868</v>
      </c>
      <c r="AL324" s="11"/>
      <c r="AM324" s="11"/>
      <c r="AN324" s="11"/>
      <c r="AO324" s="11"/>
      <c r="AP324" s="11"/>
      <c r="AQ324" s="11"/>
      <c r="AR324" s="10" t="s">
        <v>2869</v>
      </c>
      <c r="AS324" s="10" t="s">
        <v>66</v>
      </c>
      <c r="AT324" s="10" t="s">
        <v>53</v>
      </c>
    </row>
    <row r="325" spans="1:46" ht="20" customHeight="1" x14ac:dyDescent="0.15">
      <c r="A325" s="8" t="s">
        <v>2870</v>
      </c>
      <c r="B325" s="9" t="s">
        <v>2871</v>
      </c>
      <c r="C325" s="10" t="s">
        <v>2872</v>
      </c>
      <c r="D325" s="10" t="s">
        <v>2873</v>
      </c>
      <c r="E325" s="10" t="s">
        <v>51</v>
      </c>
      <c r="F325" s="10" t="s">
        <v>52</v>
      </c>
      <c r="G325" s="11"/>
      <c r="H325" s="10" t="s">
        <v>239</v>
      </c>
      <c r="I325" s="10" t="s">
        <v>53</v>
      </c>
      <c r="J325" s="10" t="s">
        <v>54</v>
      </c>
      <c r="K325" s="11"/>
      <c r="L325" s="10" t="s">
        <v>2855</v>
      </c>
      <c r="M325" s="11"/>
      <c r="N325" s="11"/>
      <c r="O325" s="11"/>
      <c r="P325" s="11"/>
      <c r="Q325" s="10" t="s">
        <v>75</v>
      </c>
      <c r="R325" s="11"/>
      <c r="S325" s="10" t="s">
        <v>2618</v>
      </c>
      <c r="T325" s="10" t="s">
        <v>2619</v>
      </c>
      <c r="U325" s="10" t="s">
        <v>2620</v>
      </c>
      <c r="V325" s="11"/>
      <c r="W325" s="10" t="s">
        <v>2621</v>
      </c>
      <c r="X325" s="10" t="s">
        <v>80</v>
      </c>
      <c r="Y325" s="10" t="s">
        <v>80</v>
      </c>
      <c r="Z325" s="10" t="s">
        <v>2874</v>
      </c>
      <c r="AA325" s="10" t="s">
        <v>2875</v>
      </c>
      <c r="AB325" s="11"/>
      <c r="AC325" s="11"/>
      <c r="AD325" s="11"/>
      <c r="AE325" s="11"/>
      <c r="AF325" s="12">
        <v>62</v>
      </c>
      <c r="AG325" s="11"/>
      <c r="AH325" s="11"/>
      <c r="AI325" s="11"/>
      <c r="AJ325" s="11"/>
      <c r="AK325" s="10" t="s">
        <v>2876</v>
      </c>
      <c r="AL325" s="11"/>
      <c r="AM325" s="11"/>
      <c r="AN325" s="11"/>
      <c r="AO325" s="11"/>
      <c r="AP325" s="11"/>
      <c r="AQ325" s="11"/>
      <c r="AR325" s="10" t="s">
        <v>2877</v>
      </c>
      <c r="AS325" s="10" t="s">
        <v>66</v>
      </c>
      <c r="AT325" s="10" t="s">
        <v>53</v>
      </c>
    </row>
    <row r="326" spans="1:46" ht="20" hidden="1" customHeight="1" x14ac:dyDescent="0.15">
      <c r="A326" s="8" t="s">
        <v>2878</v>
      </c>
      <c r="B326" s="9" t="s">
        <v>2879</v>
      </c>
      <c r="C326" s="10" t="s">
        <v>2880</v>
      </c>
      <c r="D326" s="10" t="s">
        <v>2881</v>
      </c>
      <c r="E326" s="10" t="s">
        <v>51</v>
      </c>
      <c r="F326" s="10" t="s">
        <v>52</v>
      </c>
      <c r="G326" s="11"/>
      <c r="H326" s="10" t="s">
        <v>91</v>
      </c>
      <c r="I326" s="10" t="s">
        <v>53</v>
      </c>
      <c r="J326" s="10" t="s">
        <v>54</v>
      </c>
      <c r="K326" s="11"/>
      <c r="L326" s="10" t="s">
        <v>2882</v>
      </c>
      <c r="M326" s="11"/>
      <c r="N326" s="11"/>
      <c r="O326" s="11"/>
      <c r="P326" s="11"/>
      <c r="Q326" s="10" t="s">
        <v>107</v>
      </c>
      <c r="R326" s="11"/>
      <c r="S326" s="10" t="s">
        <v>2618</v>
      </c>
      <c r="T326" s="10" t="s">
        <v>2619</v>
      </c>
      <c r="U326" s="10" t="s">
        <v>2620</v>
      </c>
      <c r="V326" s="11"/>
      <c r="W326" s="10" t="s">
        <v>2621</v>
      </c>
      <c r="X326" s="10" t="s">
        <v>80</v>
      </c>
      <c r="Y326" s="10" t="s">
        <v>80</v>
      </c>
      <c r="Z326" s="10" t="s">
        <v>2883</v>
      </c>
      <c r="AA326" s="10" t="s">
        <v>2884</v>
      </c>
      <c r="AB326" s="11"/>
      <c r="AC326" s="11"/>
      <c r="AD326" s="11"/>
      <c r="AE326" s="11"/>
      <c r="AF326" s="12">
        <v>100000</v>
      </c>
      <c r="AG326" s="11"/>
      <c r="AH326" s="10" t="s">
        <v>508</v>
      </c>
      <c r="AI326" s="11"/>
      <c r="AJ326" s="10" t="s">
        <v>2885</v>
      </c>
      <c r="AK326" s="11"/>
      <c r="AL326" s="11"/>
      <c r="AM326" s="11"/>
      <c r="AN326" s="11"/>
      <c r="AO326" s="11"/>
      <c r="AP326" s="11"/>
      <c r="AQ326" s="11"/>
      <c r="AR326" s="10" t="s">
        <v>1284</v>
      </c>
      <c r="AS326" s="10" t="s">
        <v>66</v>
      </c>
      <c r="AT326" s="10" t="s">
        <v>53</v>
      </c>
    </row>
    <row r="327" spans="1:46" ht="20" hidden="1" customHeight="1" x14ac:dyDescent="0.15">
      <c r="A327" s="8" t="s">
        <v>2886</v>
      </c>
      <c r="B327" s="9" t="s">
        <v>2887</v>
      </c>
      <c r="C327" s="10" t="s">
        <v>2888</v>
      </c>
      <c r="D327" s="10" t="s">
        <v>2889</v>
      </c>
      <c r="E327" s="10" t="s">
        <v>51</v>
      </c>
      <c r="F327" s="10" t="s">
        <v>52</v>
      </c>
      <c r="G327" s="11"/>
      <c r="H327" s="10" t="s">
        <v>91</v>
      </c>
      <c r="I327" s="10" t="s">
        <v>53</v>
      </c>
      <c r="J327" s="10" t="s">
        <v>54</v>
      </c>
      <c r="K327" s="11"/>
      <c r="L327" s="10" t="s">
        <v>2882</v>
      </c>
      <c r="M327" s="11"/>
      <c r="N327" s="11"/>
      <c r="O327" s="11"/>
      <c r="P327" s="11"/>
      <c r="Q327" s="10" t="s">
        <v>1929</v>
      </c>
      <c r="R327" s="11"/>
      <c r="S327" s="10" t="s">
        <v>2618</v>
      </c>
      <c r="T327" s="10" t="s">
        <v>2619</v>
      </c>
      <c r="U327" s="10" t="s">
        <v>2620</v>
      </c>
      <c r="V327" s="11"/>
      <c r="W327" s="10" t="s">
        <v>2621</v>
      </c>
      <c r="X327" s="10" t="s">
        <v>80</v>
      </c>
      <c r="Y327" s="10" t="s">
        <v>80</v>
      </c>
      <c r="Z327" s="10" t="s">
        <v>2890</v>
      </c>
      <c r="AA327" s="10" t="s">
        <v>2891</v>
      </c>
      <c r="AB327" s="11"/>
      <c r="AC327" s="11"/>
      <c r="AD327" s="11"/>
      <c r="AE327" s="11"/>
      <c r="AF327" s="12">
        <v>400</v>
      </c>
      <c r="AG327" s="11"/>
      <c r="AH327" s="10" t="s">
        <v>2892</v>
      </c>
      <c r="AI327" s="11"/>
      <c r="AJ327" s="10" t="s">
        <v>2893</v>
      </c>
      <c r="AK327" s="11"/>
      <c r="AL327" s="11"/>
      <c r="AM327" s="11"/>
      <c r="AN327" s="11"/>
      <c r="AO327" s="11"/>
      <c r="AP327" s="11"/>
      <c r="AQ327" s="11"/>
      <c r="AR327" s="10" t="s">
        <v>2894</v>
      </c>
      <c r="AS327" s="10" t="s">
        <v>66</v>
      </c>
      <c r="AT327" s="10" t="s">
        <v>53</v>
      </c>
    </row>
    <row r="328" spans="1:46" ht="20" hidden="1" customHeight="1" x14ac:dyDescent="0.15">
      <c r="A328" s="8" t="s">
        <v>2895</v>
      </c>
      <c r="B328" s="9" t="s">
        <v>2896</v>
      </c>
      <c r="C328" s="10" t="s">
        <v>2897</v>
      </c>
      <c r="D328" s="10" t="s">
        <v>2898</v>
      </c>
      <c r="E328" s="10" t="s">
        <v>51</v>
      </c>
      <c r="F328" s="10" t="s">
        <v>52</v>
      </c>
      <c r="G328" s="11"/>
      <c r="H328" s="10" t="s">
        <v>91</v>
      </c>
      <c r="I328" s="10" t="s">
        <v>53</v>
      </c>
      <c r="J328" s="10" t="s">
        <v>54</v>
      </c>
      <c r="K328" s="11"/>
      <c r="L328" s="10" t="s">
        <v>2882</v>
      </c>
      <c r="M328" s="11"/>
      <c r="N328" s="11"/>
      <c r="O328" s="11"/>
      <c r="P328" s="11"/>
      <c r="Q328" s="10" t="s">
        <v>128</v>
      </c>
      <c r="R328" s="11"/>
      <c r="S328" s="10" t="s">
        <v>2618</v>
      </c>
      <c r="T328" s="10" t="s">
        <v>2619</v>
      </c>
      <c r="U328" s="10" t="s">
        <v>2620</v>
      </c>
      <c r="V328" s="11"/>
      <c r="W328" s="10" t="s">
        <v>2621</v>
      </c>
      <c r="X328" s="10" t="s">
        <v>80</v>
      </c>
      <c r="Y328" s="10" t="s">
        <v>80</v>
      </c>
      <c r="Z328" s="10" t="s">
        <v>2899</v>
      </c>
      <c r="AA328" s="10" t="s">
        <v>2900</v>
      </c>
      <c r="AB328" s="11"/>
      <c r="AC328" s="11"/>
      <c r="AD328" s="11"/>
      <c r="AE328" s="11"/>
      <c r="AF328" s="12">
        <v>11500</v>
      </c>
      <c r="AG328" s="11"/>
      <c r="AH328" s="10" t="s">
        <v>2901</v>
      </c>
      <c r="AI328" s="11"/>
      <c r="AJ328" s="10" t="s">
        <v>2902</v>
      </c>
      <c r="AK328" s="11"/>
      <c r="AL328" s="11"/>
      <c r="AM328" s="11"/>
      <c r="AN328" s="11"/>
      <c r="AO328" s="11"/>
      <c r="AP328" s="11"/>
      <c r="AQ328" s="11"/>
      <c r="AR328" s="10" t="s">
        <v>2903</v>
      </c>
      <c r="AS328" s="10" t="s">
        <v>66</v>
      </c>
      <c r="AT328" s="10" t="s">
        <v>53</v>
      </c>
    </row>
    <row r="329" spans="1:46" ht="20" hidden="1" customHeight="1" x14ac:dyDescent="0.15">
      <c r="A329" s="8" t="s">
        <v>2904</v>
      </c>
      <c r="B329" s="9" t="s">
        <v>2905</v>
      </c>
      <c r="C329" s="10" t="s">
        <v>652</v>
      </c>
      <c r="D329" s="10" t="s">
        <v>2906</v>
      </c>
      <c r="E329" s="10" t="s">
        <v>51</v>
      </c>
      <c r="F329" s="10" t="s">
        <v>52</v>
      </c>
      <c r="G329" s="11"/>
      <c r="H329" s="10" t="s">
        <v>2907</v>
      </c>
      <c r="I329" s="10" t="s">
        <v>53</v>
      </c>
      <c r="J329" s="10" t="s">
        <v>54</v>
      </c>
      <c r="K329" s="11"/>
      <c r="L329" s="10" t="s">
        <v>2882</v>
      </c>
      <c r="M329" s="11"/>
      <c r="N329" s="11"/>
      <c r="O329" s="11"/>
      <c r="P329" s="11"/>
      <c r="Q329" s="10" t="s">
        <v>2908</v>
      </c>
      <c r="R329" s="11"/>
      <c r="S329" s="10" t="s">
        <v>2618</v>
      </c>
      <c r="T329" s="10" t="s">
        <v>2619</v>
      </c>
      <c r="U329" s="10" t="s">
        <v>2620</v>
      </c>
      <c r="V329" s="11"/>
      <c r="W329" s="10" t="s">
        <v>2621</v>
      </c>
      <c r="X329" s="10" t="s">
        <v>80</v>
      </c>
      <c r="Y329" s="10" t="s">
        <v>80</v>
      </c>
      <c r="Z329" s="10" t="s">
        <v>2909</v>
      </c>
      <c r="AA329" s="10" t="s">
        <v>2910</v>
      </c>
      <c r="AB329" s="11"/>
      <c r="AC329" s="11"/>
      <c r="AD329" s="11"/>
      <c r="AE329" s="11"/>
      <c r="AF329" s="12">
        <v>7800</v>
      </c>
      <c r="AG329" s="11"/>
      <c r="AH329" s="10" t="s">
        <v>149</v>
      </c>
      <c r="AI329" s="11"/>
      <c r="AJ329" s="10" t="s">
        <v>2911</v>
      </c>
      <c r="AK329" s="11"/>
      <c r="AL329" s="11"/>
      <c r="AM329" s="11"/>
      <c r="AN329" s="11"/>
      <c r="AO329" s="11"/>
      <c r="AP329" s="11"/>
      <c r="AQ329" s="11"/>
      <c r="AR329" s="10" t="s">
        <v>2912</v>
      </c>
      <c r="AS329" s="10" t="s">
        <v>66</v>
      </c>
      <c r="AT329" s="10" t="s">
        <v>53</v>
      </c>
    </row>
    <row r="330" spans="1:46" ht="20" hidden="1" customHeight="1" x14ac:dyDescent="0.15">
      <c r="A330" s="8" t="s">
        <v>2913</v>
      </c>
      <c r="B330" s="9" t="s">
        <v>2914</v>
      </c>
      <c r="C330" s="10" t="s">
        <v>2915</v>
      </c>
      <c r="D330" s="10" t="s">
        <v>2916</v>
      </c>
      <c r="E330" s="10" t="s">
        <v>51</v>
      </c>
      <c r="F330" s="10" t="s">
        <v>52</v>
      </c>
      <c r="G330" s="11"/>
      <c r="H330" s="10" t="s">
        <v>91</v>
      </c>
      <c r="I330" s="10" t="s">
        <v>53</v>
      </c>
      <c r="J330" s="10" t="s">
        <v>54</v>
      </c>
      <c r="K330" s="11"/>
      <c r="L330" s="10" t="s">
        <v>2882</v>
      </c>
      <c r="M330" s="11"/>
      <c r="N330" s="11"/>
      <c r="O330" s="11"/>
      <c r="P330" s="11"/>
      <c r="Q330" s="10" t="s">
        <v>2917</v>
      </c>
      <c r="R330" s="11"/>
      <c r="S330" s="10" t="s">
        <v>2618</v>
      </c>
      <c r="T330" s="10" t="s">
        <v>2619</v>
      </c>
      <c r="U330" s="10" t="s">
        <v>2620</v>
      </c>
      <c r="V330" s="11"/>
      <c r="W330" s="10" t="s">
        <v>2621</v>
      </c>
      <c r="X330" s="10" t="s">
        <v>80</v>
      </c>
      <c r="Y330" s="10" t="s">
        <v>80</v>
      </c>
      <c r="Z330" s="10" t="s">
        <v>2918</v>
      </c>
      <c r="AA330" s="10" t="s">
        <v>2919</v>
      </c>
      <c r="AB330" s="11"/>
      <c r="AC330" s="11"/>
      <c r="AD330" s="11"/>
      <c r="AE330" s="11"/>
      <c r="AF330" s="12">
        <v>500</v>
      </c>
      <c r="AG330" s="11"/>
      <c r="AH330" s="10" t="s">
        <v>2920</v>
      </c>
      <c r="AI330" s="11"/>
      <c r="AJ330" s="10" t="s">
        <v>2921</v>
      </c>
      <c r="AK330" s="11"/>
      <c r="AL330" s="11"/>
      <c r="AM330" s="11"/>
      <c r="AN330" s="11"/>
      <c r="AO330" s="11"/>
      <c r="AP330" s="11"/>
      <c r="AQ330" s="11"/>
      <c r="AR330" s="10" t="s">
        <v>2922</v>
      </c>
      <c r="AS330" s="10" t="s">
        <v>66</v>
      </c>
      <c r="AT330" s="10" t="s">
        <v>53</v>
      </c>
    </row>
    <row r="331" spans="1:46" ht="20" hidden="1" customHeight="1" x14ac:dyDescent="0.15">
      <c r="A331" s="8" t="s">
        <v>2923</v>
      </c>
      <c r="B331" s="9" t="s">
        <v>2924</v>
      </c>
      <c r="C331" s="10" t="s">
        <v>643</v>
      </c>
      <c r="D331" s="10" t="s">
        <v>2925</v>
      </c>
      <c r="E331" s="10" t="s">
        <v>51</v>
      </c>
      <c r="F331" s="10" t="s">
        <v>52</v>
      </c>
      <c r="G331" s="11"/>
      <c r="H331" s="10" t="s">
        <v>91</v>
      </c>
      <c r="I331" s="10" t="s">
        <v>53</v>
      </c>
      <c r="J331" s="10" t="s">
        <v>54</v>
      </c>
      <c r="K331" s="11"/>
      <c r="L331" s="10" t="s">
        <v>2882</v>
      </c>
      <c r="M331" s="11"/>
      <c r="N331" s="11"/>
      <c r="O331" s="11"/>
      <c r="P331" s="11"/>
      <c r="Q331" s="10" t="s">
        <v>2917</v>
      </c>
      <c r="R331" s="11"/>
      <c r="S331" s="10" t="s">
        <v>2618</v>
      </c>
      <c r="T331" s="10" t="s">
        <v>2619</v>
      </c>
      <c r="U331" s="10" t="s">
        <v>2620</v>
      </c>
      <c r="V331" s="11"/>
      <c r="W331" s="10" t="s">
        <v>2621</v>
      </c>
      <c r="X331" s="10" t="s">
        <v>80</v>
      </c>
      <c r="Y331" s="10" t="s">
        <v>80</v>
      </c>
      <c r="Z331" s="10" t="s">
        <v>2926</v>
      </c>
      <c r="AA331" s="10" t="s">
        <v>2927</v>
      </c>
      <c r="AB331" s="11"/>
      <c r="AC331" s="11"/>
      <c r="AD331" s="11"/>
      <c r="AE331" s="11"/>
      <c r="AF331" s="12">
        <v>200</v>
      </c>
      <c r="AG331" s="11"/>
      <c r="AH331" s="10" t="s">
        <v>141</v>
      </c>
      <c r="AI331" s="11"/>
      <c r="AJ331" s="10" t="s">
        <v>2928</v>
      </c>
      <c r="AK331" s="11"/>
      <c r="AL331" s="11"/>
      <c r="AM331" s="11"/>
      <c r="AN331" s="11"/>
      <c r="AO331" s="11"/>
      <c r="AP331" s="11"/>
      <c r="AQ331" s="11"/>
      <c r="AR331" s="10" t="s">
        <v>2929</v>
      </c>
      <c r="AS331" s="10" t="s">
        <v>66</v>
      </c>
      <c r="AT331" s="10" t="s">
        <v>53</v>
      </c>
    </row>
    <row r="332" spans="1:46" ht="20" hidden="1" customHeight="1" x14ac:dyDescent="0.15">
      <c r="A332" s="8" t="s">
        <v>2930</v>
      </c>
      <c r="B332" s="9" t="s">
        <v>2931</v>
      </c>
      <c r="C332" s="10" t="s">
        <v>660</v>
      </c>
      <c r="D332" s="10" t="s">
        <v>2932</v>
      </c>
      <c r="E332" s="10" t="s">
        <v>51</v>
      </c>
      <c r="F332" s="10" t="s">
        <v>52</v>
      </c>
      <c r="G332" s="11"/>
      <c r="H332" s="10" t="s">
        <v>91</v>
      </c>
      <c r="I332" s="10" t="s">
        <v>53</v>
      </c>
      <c r="J332" s="10" t="s">
        <v>54</v>
      </c>
      <c r="K332" s="11"/>
      <c r="L332" s="10" t="s">
        <v>2882</v>
      </c>
      <c r="M332" s="11"/>
      <c r="N332" s="11"/>
      <c r="O332" s="11"/>
      <c r="P332" s="11"/>
      <c r="Q332" s="10" t="s">
        <v>2917</v>
      </c>
      <c r="R332" s="11"/>
      <c r="S332" s="10" t="s">
        <v>2618</v>
      </c>
      <c r="T332" s="10" t="s">
        <v>2619</v>
      </c>
      <c r="U332" s="10" t="s">
        <v>2620</v>
      </c>
      <c r="V332" s="11"/>
      <c r="W332" s="10" t="s">
        <v>2621</v>
      </c>
      <c r="X332" s="10" t="s">
        <v>80</v>
      </c>
      <c r="Y332" s="10" t="s">
        <v>80</v>
      </c>
      <c r="Z332" s="10" t="s">
        <v>2933</v>
      </c>
      <c r="AA332" s="10" t="s">
        <v>2934</v>
      </c>
      <c r="AB332" s="11"/>
      <c r="AC332" s="11"/>
      <c r="AD332" s="11"/>
      <c r="AE332" s="11"/>
      <c r="AF332" s="12">
        <v>3000</v>
      </c>
      <c r="AG332" s="11"/>
      <c r="AH332" s="10" t="s">
        <v>156</v>
      </c>
      <c r="AI332" s="11"/>
      <c r="AJ332" s="10" t="s">
        <v>2935</v>
      </c>
      <c r="AK332" s="11"/>
      <c r="AL332" s="11"/>
      <c r="AM332" s="11"/>
      <c r="AN332" s="11"/>
      <c r="AO332" s="11"/>
      <c r="AP332" s="11"/>
      <c r="AQ332" s="11"/>
      <c r="AR332" s="10" t="s">
        <v>2936</v>
      </c>
      <c r="AS332" s="10" t="s">
        <v>66</v>
      </c>
      <c r="AT332" s="10" t="s">
        <v>53</v>
      </c>
    </row>
    <row r="333" spans="1:46" ht="20" hidden="1" customHeight="1" x14ac:dyDescent="0.15">
      <c r="A333" s="8" t="s">
        <v>2937</v>
      </c>
      <c r="B333" s="9" t="s">
        <v>2938</v>
      </c>
      <c r="C333" s="10" t="s">
        <v>2939</v>
      </c>
      <c r="D333" s="10" t="s">
        <v>2940</v>
      </c>
      <c r="E333" s="10" t="s">
        <v>51</v>
      </c>
      <c r="F333" s="10" t="s">
        <v>52</v>
      </c>
      <c r="G333" s="11"/>
      <c r="H333" s="10" t="s">
        <v>91</v>
      </c>
      <c r="I333" s="10" t="s">
        <v>53</v>
      </c>
      <c r="J333" s="10" t="s">
        <v>54</v>
      </c>
      <c r="K333" s="11"/>
      <c r="L333" s="10" t="s">
        <v>2882</v>
      </c>
      <c r="M333" s="11"/>
      <c r="N333" s="11"/>
      <c r="O333" s="11"/>
      <c r="P333" s="11"/>
      <c r="Q333" s="10" t="s">
        <v>2917</v>
      </c>
      <c r="R333" s="11"/>
      <c r="S333" s="10" t="s">
        <v>2618</v>
      </c>
      <c r="T333" s="10" t="s">
        <v>2619</v>
      </c>
      <c r="U333" s="10" t="s">
        <v>2620</v>
      </c>
      <c r="V333" s="11"/>
      <c r="W333" s="10" t="s">
        <v>2621</v>
      </c>
      <c r="X333" s="10" t="s">
        <v>80</v>
      </c>
      <c r="Y333" s="10" t="s">
        <v>80</v>
      </c>
      <c r="Z333" s="10" t="s">
        <v>2941</v>
      </c>
      <c r="AA333" s="10" t="s">
        <v>2942</v>
      </c>
      <c r="AB333" s="11"/>
      <c r="AC333" s="11"/>
      <c r="AD333" s="11"/>
      <c r="AE333" s="11"/>
      <c r="AF333" s="12">
        <v>700</v>
      </c>
      <c r="AG333" s="11"/>
      <c r="AH333" s="10" t="s">
        <v>170</v>
      </c>
      <c r="AI333" s="11"/>
      <c r="AJ333" s="10" t="s">
        <v>2943</v>
      </c>
      <c r="AK333" s="11"/>
      <c r="AL333" s="11"/>
      <c r="AM333" s="11"/>
      <c r="AN333" s="11"/>
      <c r="AO333" s="11"/>
      <c r="AP333" s="11"/>
      <c r="AQ333" s="11"/>
      <c r="AR333" s="10" t="s">
        <v>2944</v>
      </c>
      <c r="AS333" s="10" t="s">
        <v>66</v>
      </c>
      <c r="AT333" s="10" t="s">
        <v>53</v>
      </c>
    </row>
    <row r="334" spans="1:46" ht="20" customHeight="1" x14ac:dyDescent="0.15">
      <c r="A334" s="8" t="s">
        <v>2945</v>
      </c>
      <c r="B334" s="9" t="s">
        <v>2946</v>
      </c>
      <c r="C334" s="10" t="s">
        <v>2947</v>
      </c>
      <c r="D334" s="10" t="s">
        <v>2948</v>
      </c>
      <c r="E334" s="10" t="s">
        <v>51</v>
      </c>
      <c r="F334" s="10" t="s">
        <v>52</v>
      </c>
      <c r="G334" s="11"/>
      <c r="H334" s="10" t="s">
        <v>72</v>
      </c>
      <c r="I334" s="10" t="s">
        <v>53</v>
      </c>
      <c r="J334" s="10" t="s">
        <v>54</v>
      </c>
      <c r="K334" s="11"/>
      <c r="L334" s="10" t="s">
        <v>2855</v>
      </c>
      <c r="M334" s="11"/>
      <c r="N334" s="11"/>
      <c r="O334" s="11"/>
      <c r="P334" s="11"/>
      <c r="Q334" s="10" t="s">
        <v>75</v>
      </c>
      <c r="R334" s="11"/>
      <c r="S334" s="10" t="s">
        <v>2618</v>
      </c>
      <c r="T334" s="10" t="s">
        <v>2619</v>
      </c>
      <c r="U334" s="10" t="s">
        <v>2620</v>
      </c>
      <c r="V334" s="11"/>
      <c r="W334" s="10" t="s">
        <v>2621</v>
      </c>
      <c r="X334" s="10" t="s">
        <v>80</v>
      </c>
      <c r="Y334" s="10" t="s">
        <v>80</v>
      </c>
      <c r="Z334" s="10" t="s">
        <v>2949</v>
      </c>
      <c r="AA334" s="10" t="s">
        <v>2950</v>
      </c>
      <c r="AB334" s="11"/>
      <c r="AC334" s="11"/>
      <c r="AD334" s="11"/>
      <c r="AE334" s="11"/>
      <c r="AF334" s="12">
        <v>119</v>
      </c>
      <c r="AG334" s="11"/>
      <c r="AH334" s="10" t="s">
        <v>2951</v>
      </c>
      <c r="AI334" s="11"/>
      <c r="AJ334" s="11"/>
      <c r="AK334" s="11"/>
      <c r="AL334" s="11"/>
      <c r="AM334" s="11"/>
      <c r="AN334" s="11"/>
      <c r="AO334" s="11"/>
      <c r="AP334" s="11"/>
      <c r="AQ334" s="11"/>
      <c r="AR334" s="10" t="s">
        <v>2952</v>
      </c>
      <c r="AS334" s="10" t="s">
        <v>66</v>
      </c>
      <c r="AT334" s="10" t="s">
        <v>53</v>
      </c>
    </row>
    <row r="335" spans="1:46" ht="20" customHeight="1" x14ac:dyDescent="0.15">
      <c r="A335" s="8" t="s">
        <v>2953</v>
      </c>
      <c r="B335" s="9" t="s">
        <v>2954</v>
      </c>
      <c r="C335" s="10" t="s">
        <v>2955</v>
      </c>
      <c r="D335" s="10" t="s">
        <v>2956</v>
      </c>
      <c r="E335" s="10" t="s">
        <v>51</v>
      </c>
      <c r="F335" s="10" t="s">
        <v>52</v>
      </c>
      <c r="G335" s="11"/>
      <c r="H335" s="10" t="s">
        <v>72</v>
      </c>
      <c r="I335" s="10" t="s">
        <v>53</v>
      </c>
      <c r="J335" s="10" t="s">
        <v>54</v>
      </c>
      <c r="K335" s="11"/>
      <c r="L335" s="10" t="s">
        <v>2855</v>
      </c>
      <c r="M335" s="11"/>
      <c r="N335" s="11"/>
      <c r="O335" s="11"/>
      <c r="P335" s="11"/>
      <c r="Q335" s="10" t="s">
        <v>75</v>
      </c>
      <c r="R335" s="11"/>
      <c r="S335" s="10" t="s">
        <v>2618</v>
      </c>
      <c r="T335" s="10" t="s">
        <v>2619</v>
      </c>
      <c r="U335" s="10" t="s">
        <v>2620</v>
      </c>
      <c r="V335" s="11"/>
      <c r="W335" s="10" t="s">
        <v>2621</v>
      </c>
      <c r="X335" s="10" t="s">
        <v>80</v>
      </c>
      <c r="Y335" s="10" t="s">
        <v>80</v>
      </c>
      <c r="Z335" s="10" t="s">
        <v>2957</v>
      </c>
      <c r="AA335" s="10" t="s">
        <v>2958</v>
      </c>
      <c r="AB335" s="11"/>
      <c r="AC335" s="11"/>
      <c r="AD335" s="11"/>
      <c r="AE335" s="11"/>
      <c r="AF335" s="12">
        <v>12</v>
      </c>
      <c r="AG335" s="11"/>
      <c r="AH335" s="10" t="s">
        <v>2959</v>
      </c>
      <c r="AI335" s="11"/>
      <c r="AJ335" s="10" t="s">
        <v>2960</v>
      </c>
      <c r="AK335" s="11"/>
      <c r="AL335" s="11"/>
      <c r="AM335" s="11"/>
      <c r="AN335" s="11"/>
      <c r="AO335" s="11"/>
      <c r="AP335" s="11"/>
      <c r="AQ335" s="11"/>
      <c r="AR335" s="10" t="s">
        <v>2961</v>
      </c>
      <c r="AS335" s="10" t="s">
        <v>66</v>
      </c>
      <c r="AT335" s="10" t="s">
        <v>53</v>
      </c>
    </row>
    <row r="336" spans="1:46" ht="20" customHeight="1" x14ac:dyDescent="0.15">
      <c r="A336" s="8" t="s">
        <v>2962</v>
      </c>
      <c r="B336" s="9" t="s">
        <v>2963</v>
      </c>
      <c r="C336" s="10" t="s">
        <v>2964</v>
      </c>
      <c r="D336" s="10" t="s">
        <v>2965</v>
      </c>
      <c r="E336" s="10" t="s">
        <v>51</v>
      </c>
      <c r="F336" s="10" t="s">
        <v>52</v>
      </c>
      <c r="G336" s="11"/>
      <c r="H336" s="10" t="s">
        <v>72</v>
      </c>
      <c r="I336" s="10" t="s">
        <v>53</v>
      </c>
      <c r="J336" s="10" t="s">
        <v>54</v>
      </c>
      <c r="K336" s="11"/>
      <c r="L336" s="10" t="s">
        <v>2855</v>
      </c>
      <c r="M336" s="11"/>
      <c r="N336" s="11"/>
      <c r="O336" s="11"/>
      <c r="P336" s="11"/>
      <c r="Q336" s="10" t="s">
        <v>75</v>
      </c>
      <c r="R336" s="11"/>
      <c r="S336" s="10" t="s">
        <v>2618</v>
      </c>
      <c r="T336" s="10" t="s">
        <v>2619</v>
      </c>
      <c r="U336" s="10" t="s">
        <v>2620</v>
      </c>
      <c r="V336" s="11"/>
      <c r="W336" s="10" t="s">
        <v>2621</v>
      </c>
      <c r="X336" s="10" t="s">
        <v>80</v>
      </c>
      <c r="Y336" s="10" t="s">
        <v>80</v>
      </c>
      <c r="Z336" s="10" t="s">
        <v>2966</v>
      </c>
      <c r="AA336" s="10" t="s">
        <v>2967</v>
      </c>
      <c r="AB336" s="11"/>
      <c r="AC336" s="11"/>
      <c r="AD336" s="11"/>
      <c r="AE336" s="11"/>
      <c r="AF336" s="12">
        <v>170</v>
      </c>
      <c r="AG336" s="11"/>
      <c r="AH336" s="10" t="s">
        <v>2968</v>
      </c>
      <c r="AI336" s="11"/>
      <c r="AJ336" s="11"/>
      <c r="AK336" s="11"/>
      <c r="AL336" s="11"/>
      <c r="AM336" s="11"/>
      <c r="AN336" s="11"/>
      <c r="AO336" s="11"/>
      <c r="AP336" s="11"/>
      <c r="AQ336" s="11"/>
      <c r="AR336" s="10" t="s">
        <v>2969</v>
      </c>
      <c r="AS336" s="10" t="s">
        <v>66</v>
      </c>
      <c r="AT336" s="10" t="s">
        <v>53</v>
      </c>
    </row>
    <row r="337" spans="1:46" ht="20" customHeight="1" x14ac:dyDescent="0.15">
      <c r="A337" s="8" t="s">
        <v>2970</v>
      </c>
      <c r="B337" s="9" t="s">
        <v>2971</v>
      </c>
      <c r="C337" s="10" t="s">
        <v>2972</v>
      </c>
      <c r="D337" s="10" t="s">
        <v>2973</v>
      </c>
      <c r="E337" s="10" t="s">
        <v>51</v>
      </c>
      <c r="F337" s="10" t="s">
        <v>52</v>
      </c>
      <c r="G337" s="11"/>
      <c r="H337" s="10" t="s">
        <v>72</v>
      </c>
      <c r="I337" s="10" t="s">
        <v>53</v>
      </c>
      <c r="J337" s="10" t="s">
        <v>54</v>
      </c>
      <c r="K337" s="11"/>
      <c r="L337" s="10" t="s">
        <v>2855</v>
      </c>
      <c r="M337" s="11"/>
      <c r="N337" s="11"/>
      <c r="O337" s="11"/>
      <c r="P337" s="11"/>
      <c r="Q337" s="10" t="s">
        <v>75</v>
      </c>
      <c r="R337" s="11"/>
      <c r="S337" s="10" t="s">
        <v>2618</v>
      </c>
      <c r="T337" s="10" t="s">
        <v>2619</v>
      </c>
      <c r="U337" s="10" t="s">
        <v>2620</v>
      </c>
      <c r="V337" s="11"/>
      <c r="W337" s="10" t="s">
        <v>2621</v>
      </c>
      <c r="X337" s="10" t="s">
        <v>80</v>
      </c>
      <c r="Y337" s="10" t="s">
        <v>80</v>
      </c>
      <c r="Z337" s="10" t="s">
        <v>2974</v>
      </c>
      <c r="AA337" s="10" t="s">
        <v>2975</v>
      </c>
      <c r="AB337" s="11"/>
      <c r="AC337" s="11"/>
      <c r="AD337" s="11"/>
      <c r="AE337" s="11"/>
      <c r="AF337" s="12">
        <v>116</v>
      </c>
      <c r="AG337" s="11"/>
      <c r="AH337" s="11"/>
      <c r="AI337" s="11"/>
      <c r="AJ337" s="11"/>
      <c r="AK337" s="11"/>
      <c r="AL337" s="11"/>
      <c r="AM337" s="11"/>
      <c r="AN337" s="11"/>
      <c r="AO337" s="11"/>
      <c r="AP337" s="11"/>
      <c r="AQ337" s="11"/>
      <c r="AR337" s="10" t="s">
        <v>2976</v>
      </c>
      <c r="AS337" s="10" t="s">
        <v>66</v>
      </c>
      <c r="AT337" s="10" t="s">
        <v>53</v>
      </c>
    </row>
    <row r="338" spans="1:46" ht="20" customHeight="1" x14ac:dyDescent="0.15">
      <c r="A338" s="8" t="s">
        <v>2977</v>
      </c>
      <c r="B338" s="9" t="s">
        <v>2978</v>
      </c>
      <c r="C338" s="10" t="s">
        <v>2979</v>
      </c>
      <c r="D338" s="10" t="s">
        <v>2980</v>
      </c>
      <c r="E338" s="10" t="s">
        <v>51</v>
      </c>
      <c r="F338" s="10" t="s">
        <v>52</v>
      </c>
      <c r="G338" s="11"/>
      <c r="H338" s="10" t="s">
        <v>229</v>
      </c>
      <c r="I338" s="10" t="s">
        <v>53</v>
      </c>
      <c r="J338" s="10" t="s">
        <v>54</v>
      </c>
      <c r="K338" s="11"/>
      <c r="L338" s="10" t="s">
        <v>2855</v>
      </c>
      <c r="M338" s="11"/>
      <c r="N338" s="11"/>
      <c r="O338" s="11"/>
      <c r="P338" s="11"/>
      <c r="Q338" s="10" t="s">
        <v>75</v>
      </c>
      <c r="R338" s="11"/>
      <c r="S338" s="10" t="s">
        <v>2618</v>
      </c>
      <c r="T338" s="10" t="s">
        <v>2619</v>
      </c>
      <c r="U338" s="10" t="s">
        <v>2620</v>
      </c>
      <c r="V338" s="11"/>
      <c r="W338" s="10" t="s">
        <v>2621</v>
      </c>
      <c r="X338" s="10" t="s">
        <v>80</v>
      </c>
      <c r="Y338" s="10" t="s">
        <v>80</v>
      </c>
      <c r="Z338" s="10" t="s">
        <v>2981</v>
      </c>
      <c r="AA338" s="10" t="s">
        <v>2982</v>
      </c>
      <c r="AB338" s="11"/>
      <c r="AC338" s="11"/>
      <c r="AD338" s="11"/>
      <c r="AE338" s="11"/>
      <c r="AF338" s="12">
        <v>94</v>
      </c>
      <c r="AG338" s="11"/>
      <c r="AH338" s="10" t="s">
        <v>2983</v>
      </c>
      <c r="AI338" s="11"/>
      <c r="AJ338" s="10" t="s">
        <v>2984</v>
      </c>
      <c r="AK338" s="10" t="s">
        <v>2985</v>
      </c>
      <c r="AL338" s="11"/>
      <c r="AM338" s="11"/>
      <c r="AN338" s="11"/>
      <c r="AO338" s="11"/>
      <c r="AP338" s="11"/>
      <c r="AQ338" s="11"/>
      <c r="AR338" s="10" t="s">
        <v>2986</v>
      </c>
      <c r="AS338" s="10" t="s">
        <v>66</v>
      </c>
      <c r="AT338" s="10" t="s">
        <v>53</v>
      </c>
    </row>
    <row r="339" spans="1:46" ht="20" customHeight="1" x14ac:dyDescent="0.15">
      <c r="A339" s="8" t="s">
        <v>2987</v>
      </c>
      <c r="B339" s="9" t="s">
        <v>2988</v>
      </c>
      <c r="C339" s="10" t="s">
        <v>2989</v>
      </c>
      <c r="D339" s="10" t="s">
        <v>2990</v>
      </c>
      <c r="E339" s="10" t="s">
        <v>51</v>
      </c>
      <c r="F339" s="10" t="s">
        <v>52</v>
      </c>
      <c r="G339" s="11"/>
      <c r="H339" s="10" t="s">
        <v>229</v>
      </c>
      <c r="I339" s="10" t="s">
        <v>53</v>
      </c>
      <c r="J339" s="10" t="s">
        <v>54</v>
      </c>
      <c r="K339" s="11"/>
      <c r="L339" s="10" t="s">
        <v>2855</v>
      </c>
      <c r="M339" s="11"/>
      <c r="N339" s="11"/>
      <c r="O339" s="11"/>
      <c r="P339" s="11"/>
      <c r="Q339" s="10" t="s">
        <v>75</v>
      </c>
      <c r="R339" s="11"/>
      <c r="S339" s="10" t="s">
        <v>2618</v>
      </c>
      <c r="T339" s="10" t="s">
        <v>2619</v>
      </c>
      <c r="U339" s="10" t="s">
        <v>2620</v>
      </c>
      <c r="V339" s="11"/>
      <c r="W339" s="10" t="s">
        <v>2621</v>
      </c>
      <c r="X339" s="10" t="s">
        <v>80</v>
      </c>
      <c r="Y339" s="10" t="s">
        <v>80</v>
      </c>
      <c r="Z339" s="10" t="s">
        <v>2991</v>
      </c>
      <c r="AA339" s="10" t="s">
        <v>2992</v>
      </c>
      <c r="AB339" s="11"/>
      <c r="AC339" s="11"/>
      <c r="AD339" s="11"/>
      <c r="AE339" s="11"/>
      <c r="AF339" s="12">
        <v>1097</v>
      </c>
      <c r="AG339" s="11"/>
      <c r="AH339" s="10" t="s">
        <v>2993</v>
      </c>
      <c r="AI339" s="11"/>
      <c r="AJ339" s="11"/>
      <c r="AK339" s="11"/>
      <c r="AL339" s="11"/>
      <c r="AM339" s="11"/>
      <c r="AN339" s="11"/>
      <c r="AO339" s="11"/>
      <c r="AP339" s="11"/>
      <c r="AQ339" s="11"/>
      <c r="AR339" s="10" t="s">
        <v>2994</v>
      </c>
      <c r="AS339" s="10" t="s">
        <v>66</v>
      </c>
      <c r="AT339" s="10" t="s">
        <v>53</v>
      </c>
    </row>
    <row r="340" spans="1:46" ht="20" customHeight="1" x14ac:dyDescent="0.15">
      <c r="A340" s="8" t="s">
        <v>2995</v>
      </c>
      <c r="B340" s="9" t="s">
        <v>2996</v>
      </c>
      <c r="C340" s="10" t="s">
        <v>2997</v>
      </c>
      <c r="D340" s="10" t="s">
        <v>2998</v>
      </c>
      <c r="E340" s="10" t="s">
        <v>51</v>
      </c>
      <c r="F340" s="10" t="s">
        <v>52</v>
      </c>
      <c r="G340" s="11"/>
      <c r="H340" s="10" t="s">
        <v>229</v>
      </c>
      <c r="I340" s="10" t="s">
        <v>53</v>
      </c>
      <c r="J340" s="10" t="s">
        <v>54</v>
      </c>
      <c r="K340" s="11"/>
      <c r="L340" s="10" t="s">
        <v>2855</v>
      </c>
      <c r="M340" s="11"/>
      <c r="N340" s="11"/>
      <c r="O340" s="11"/>
      <c r="P340" s="11"/>
      <c r="Q340" s="10" t="s">
        <v>75</v>
      </c>
      <c r="R340" s="11"/>
      <c r="S340" s="10" t="s">
        <v>2618</v>
      </c>
      <c r="T340" s="10" t="s">
        <v>2619</v>
      </c>
      <c r="U340" s="10" t="s">
        <v>2620</v>
      </c>
      <c r="V340" s="11"/>
      <c r="W340" s="10" t="s">
        <v>2621</v>
      </c>
      <c r="X340" s="10" t="s">
        <v>80</v>
      </c>
      <c r="Y340" s="10" t="s">
        <v>80</v>
      </c>
      <c r="Z340" s="10" t="s">
        <v>2999</v>
      </c>
      <c r="AA340" s="10" t="s">
        <v>3000</v>
      </c>
      <c r="AB340" s="11"/>
      <c r="AC340" s="11"/>
      <c r="AD340" s="11"/>
      <c r="AE340" s="11"/>
      <c r="AF340" s="12">
        <v>21</v>
      </c>
      <c r="AG340" s="11"/>
      <c r="AH340" s="10" t="s">
        <v>3001</v>
      </c>
      <c r="AI340" s="11"/>
      <c r="AJ340" s="11"/>
      <c r="AK340" s="10" t="s">
        <v>3002</v>
      </c>
      <c r="AL340" s="11"/>
      <c r="AM340" s="11"/>
      <c r="AN340" s="11"/>
      <c r="AO340" s="11"/>
      <c r="AP340" s="11"/>
      <c r="AQ340" s="11"/>
      <c r="AR340" s="10" t="s">
        <v>3003</v>
      </c>
      <c r="AS340" s="10" t="s">
        <v>66</v>
      </c>
      <c r="AT340" s="10" t="s">
        <v>53</v>
      </c>
    </row>
    <row r="341" spans="1:46" ht="20" customHeight="1" x14ac:dyDescent="0.15">
      <c r="A341" s="8" t="s">
        <v>3004</v>
      </c>
      <c r="B341" s="9" t="s">
        <v>3005</v>
      </c>
      <c r="C341" s="10" t="s">
        <v>3006</v>
      </c>
      <c r="D341" s="10" t="s">
        <v>3007</v>
      </c>
      <c r="E341" s="10" t="s">
        <v>51</v>
      </c>
      <c r="F341" s="10" t="s">
        <v>52</v>
      </c>
      <c r="G341" s="11"/>
      <c r="H341" s="10" t="s">
        <v>552</v>
      </c>
      <c r="I341" s="10" t="s">
        <v>53</v>
      </c>
      <c r="J341" s="10" t="s">
        <v>54</v>
      </c>
      <c r="K341" s="11"/>
      <c r="L341" s="10" t="s">
        <v>2855</v>
      </c>
      <c r="M341" s="11"/>
      <c r="N341" s="11"/>
      <c r="O341" s="11"/>
      <c r="P341" s="11"/>
      <c r="Q341" s="10" t="s">
        <v>75</v>
      </c>
      <c r="R341" s="11"/>
      <c r="S341" s="10" t="s">
        <v>2618</v>
      </c>
      <c r="T341" s="10" t="s">
        <v>2619</v>
      </c>
      <c r="U341" s="10" t="s">
        <v>2620</v>
      </c>
      <c r="V341" s="11"/>
      <c r="W341" s="10" t="s">
        <v>2621</v>
      </c>
      <c r="X341" s="10" t="s">
        <v>80</v>
      </c>
      <c r="Y341" s="10" t="s">
        <v>80</v>
      </c>
      <c r="Z341" s="10" t="s">
        <v>3008</v>
      </c>
      <c r="AA341" s="10" t="s">
        <v>3009</v>
      </c>
      <c r="AB341" s="11"/>
      <c r="AC341" s="11"/>
      <c r="AD341" s="11"/>
      <c r="AE341" s="11"/>
      <c r="AF341" s="12">
        <v>28</v>
      </c>
      <c r="AG341" s="11"/>
      <c r="AH341" s="10" t="s">
        <v>3010</v>
      </c>
      <c r="AI341" s="11"/>
      <c r="AJ341" s="11"/>
      <c r="AK341" s="10" t="s">
        <v>3011</v>
      </c>
      <c r="AL341" s="11"/>
      <c r="AM341" s="11"/>
      <c r="AN341" s="11"/>
      <c r="AO341" s="11"/>
      <c r="AP341" s="11"/>
      <c r="AQ341" s="11"/>
      <c r="AR341" s="10" t="s">
        <v>3012</v>
      </c>
      <c r="AS341" s="10" t="s">
        <v>66</v>
      </c>
      <c r="AT341" s="10" t="s">
        <v>53</v>
      </c>
    </row>
    <row r="342" spans="1:46" ht="20" customHeight="1" x14ac:dyDescent="0.15">
      <c r="A342" s="8" t="s">
        <v>3013</v>
      </c>
      <c r="B342" s="9" t="s">
        <v>3014</v>
      </c>
      <c r="C342" s="10" t="s">
        <v>3015</v>
      </c>
      <c r="D342" s="10" t="s">
        <v>3016</v>
      </c>
      <c r="E342" s="10" t="s">
        <v>51</v>
      </c>
      <c r="F342" s="10" t="s">
        <v>52</v>
      </c>
      <c r="G342" s="11"/>
      <c r="H342" s="10" t="s">
        <v>552</v>
      </c>
      <c r="I342" s="10" t="s">
        <v>53</v>
      </c>
      <c r="J342" s="10" t="s">
        <v>54</v>
      </c>
      <c r="K342" s="11"/>
      <c r="L342" s="10" t="s">
        <v>2855</v>
      </c>
      <c r="M342" s="11"/>
      <c r="N342" s="11"/>
      <c r="O342" s="11"/>
      <c r="P342" s="11"/>
      <c r="Q342" s="10" t="s">
        <v>75</v>
      </c>
      <c r="R342" s="11"/>
      <c r="S342" s="10" t="s">
        <v>2618</v>
      </c>
      <c r="T342" s="10" t="s">
        <v>2619</v>
      </c>
      <c r="U342" s="10" t="s">
        <v>2620</v>
      </c>
      <c r="V342" s="11"/>
      <c r="W342" s="10" t="s">
        <v>2621</v>
      </c>
      <c r="X342" s="10" t="s">
        <v>80</v>
      </c>
      <c r="Y342" s="10" t="s">
        <v>80</v>
      </c>
      <c r="Z342" s="10" t="s">
        <v>3017</v>
      </c>
      <c r="AA342" s="10" t="s">
        <v>3018</v>
      </c>
      <c r="AB342" s="11"/>
      <c r="AC342" s="11"/>
      <c r="AD342" s="11"/>
      <c r="AE342" s="11"/>
      <c r="AF342" s="12">
        <v>774</v>
      </c>
      <c r="AG342" s="11"/>
      <c r="AH342" s="10" t="s">
        <v>3019</v>
      </c>
      <c r="AI342" s="11"/>
      <c r="AJ342" s="11"/>
      <c r="AK342" s="11"/>
      <c r="AL342" s="11"/>
      <c r="AM342" s="11"/>
      <c r="AN342" s="11"/>
      <c r="AO342" s="11"/>
      <c r="AP342" s="11"/>
      <c r="AQ342" s="11"/>
      <c r="AR342" s="10" t="s">
        <v>3020</v>
      </c>
      <c r="AS342" s="10" t="s">
        <v>66</v>
      </c>
      <c r="AT342" s="10" t="s">
        <v>53</v>
      </c>
    </row>
    <row r="343" spans="1:46" ht="20" customHeight="1" x14ac:dyDescent="0.15">
      <c r="A343" s="8" t="s">
        <v>3021</v>
      </c>
      <c r="B343" s="9" t="s">
        <v>3022</v>
      </c>
      <c r="C343" s="10" t="s">
        <v>3023</v>
      </c>
      <c r="D343" s="10" t="s">
        <v>3024</v>
      </c>
      <c r="E343" s="10" t="s">
        <v>51</v>
      </c>
      <c r="F343" s="10" t="s">
        <v>52</v>
      </c>
      <c r="G343" s="11"/>
      <c r="H343" s="10" t="s">
        <v>239</v>
      </c>
      <c r="I343" s="10" t="s">
        <v>53</v>
      </c>
      <c r="J343" s="10" t="s">
        <v>54</v>
      </c>
      <c r="K343" s="11"/>
      <c r="L343" s="10" t="s">
        <v>2855</v>
      </c>
      <c r="M343" s="11"/>
      <c r="N343" s="11"/>
      <c r="O343" s="11"/>
      <c r="P343" s="11"/>
      <c r="Q343" s="10" t="s">
        <v>75</v>
      </c>
      <c r="R343" s="11"/>
      <c r="S343" s="10" t="s">
        <v>2618</v>
      </c>
      <c r="T343" s="10" t="s">
        <v>2619</v>
      </c>
      <c r="U343" s="10" t="s">
        <v>2620</v>
      </c>
      <c r="V343" s="11"/>
      <c r="W343" s="10" t="s">
        <v>2621</v>
      </c>
      <c r="X343" s="10" t="s">
        <v>80</v>
      </c>
      <c r="Y343" s="10" t="s">
        <v>80</v>
      </c>
      <c r="Z343" s="10" t="s">
        <v>3025</v>
      </c>
      <c r="AA343" s="10" t="s">
        <v>3026</v>
      </c>
      <c r="AB343" s="11"/>
      <c r="AC343" s="11"/>
      <c r="AD343" s="11"/>
      <c r="AE343" s="11"/>
      <c r="AF343" s="12">
        <v>64</v>
      </c>
      <c r="AG343" s="11"/>
      <c r="AH343" s="11"/>
      <c r="AI343" s="11"/>
      <c r="AJ343" s="11"/>
      <c r="AK343" s="11"/>
      <c r="AL343" s="11"/>
      <c r="AM343" s="11"/>
      <c r="AN343" s="11"/>
      <c r="AO343" s="11"/>
      <c r="AP343" s="11"/>
      <c r="AQ343" s="11"/>
      <c r="AR343" s="10" t="s">
        <v>3027</v>
      </c>
      <c r="AS343" s="10" t="s">
        <v>66</v>
      </c>
      <c r="AT343" s="10" t="s">
        <v>53</v>
      </c>
    </row>
    <row r="344" spans="1:46" ht="20" customHeight="1" x14ac:dyDescent="0.15">
      <c r="A344" s="8" t="s">
        <v>3028</v>
      </c>
      <c r="B344" s="9" t="s">
        <v>3029</v>
      </c>
      <c r="C344" s="10" t="s">
        <v>3030</v>
      </c>
      <c r="D344" s="10" t="s">
        <v>3031</v>
      </c>
      <c r="E344" s="10" t="s">
        <v>51</v>
      </c>
      <c r="F344" s="10" t="s">
        <v>52</v>
      </c>
      <c r="G344" s="11"/>
      <c r="H344" s="10" t="s">
        <v>239</v>
      </c>
      <c r="I344" s="10" t="s">
        <v>53</v>
      </c>
      <c r="J344" s="10" t="s">
        <v>54</v>
      </c>
      <c r="K344" s="11"/>
      <c r="L344" s="10" t="s">
        <v>2855</v>
      </c>
      <c r="M344" s="11"/>
      <c r="N344" s="11"/>
      <c r="O344" s="11"/>
      <c r="P344" s="11"/>
      <c r="Q344" s="10" t="s">
        <v>75</v>
      </c>
      <c r="R344" s="11"/>
      <c r="S344" s="10" t="s">
        <v>2618</v>
      </c>
      <c r="T344" s="10" t="s">
        <v>2619</v>
      </c>
      <c r="U344" s="10" t="s">
        <v>2620</v>
      </c>
      <c r="V344" s="11"/>
      <c r="W344" s="10" t="s">
        <v>2621</v>
      </c>
      <c r="X344" s="10" t="s">
        <v>80</v>
      </c>
      <c r="Y344" s="10" t="s">
        <v>80</v>
      </c>
      <c r="Z344" s="10" t="s">
        <v>3032</v>
      </c>
      <c r="AA344" s="10" t="s">
        <v>3033</v>
      </c>
      <c r="AB344" s="11"/>
      <c r="AC344" s="11"/>
      <c r="AD344" s="11"/>
      <c r="AE344" s="11"/>
      <c r="AF344" s="12">
        <v>377</v>
      </c>
      <c r="AG344" s="11"/>
      <c r="AH344" s="10" t="s">
        <v>3034</v>
      </c>
      <c r="AI344" s="11"/>
      <c r="AJ344" s="11"/>
      <c r="AK344" s="10" t="s">
        <v>3035</v>
      </c>
      <c r="AL344" s="11"/>
      <c r="AM344" s="11"/>
      <c r="AN344" s="11"/>
      <c r="AO344" s="11"/>
      <c r="AP344" s="11"/>
      <c r="AQ344" s="11"/>
      <c r="AR344" s="10" t="s">
        <v>3036</v>
      </c>
      <c r="AS344" s="10" t="s">
        <v>66</v>
      </c>
      <c r="AT344" s="10" t="s">
        <v>53</v>
      </c>
    </row>
    <row r="345" spans="1:46" ht="20" customHeight="1" x14ac:dyDescent="0.15">
      <c r="A345" s="8" t="s">
        <v>3037</v>
      </c>
      <c r="B345" s="9" t="s">
        <v>3038</v>
      </c>
      <c r="C345" s="10" t="s">
        <v>3039</v>
      </c>
      <c r="D345" s="10" t="s">
        <v>3040</v>
      </c>
      <c r="E345" s="10" t="s">
        <v>51</v>
      </c>
      <c r="F345" s="10" t="s">
        <v>52</v>
      </c>
      <c r="G345" s="11"/>
      <c r="H345" s="10" t="s">
        <v>1683</v>
      </c>
      <c r="I345" s="10" t="s">
        <v>53</v>
      </c>
      <c r="J345" s="10" t="s">
        <v>54</v>
      </c>
      <c r="K345" s="11"/>
      <c r="L345" s="10" t="s">
        <v>2855</v>
      </c>
      <c r="M345" s="11"/>
      <c r="N345" s="11"/>
      <c r="O345" s="11"/>
      <c r="P345" s="11"/>
      <c r="Q345" s="10" t="s">
        <v>75</v>
      </c>
      <c r="R345" s="11"/>
      <c r="S345" s="10" t="s">
        <v>2618</v>
      </c>
      <c r="T345" s="10" t="s">
        <v>2619</v>
      </c>
      <c r="U345" s="10" t="s">
        <v>2620</v>
      </c>
      <c r="V345" s="11"/>
      <c r="W345" s="10" t="s">
        <v>2621</v>
      </c>
      <c r="X345" s="10" t="s">
        <v>80</v>
      </c>
      <c r="Y345" s="10" t="s">
        <v>80</v>
      </c>
      <c r="Z345" s="10" t="s">
        <v>3041</v>
      </c>
      <c r="AA345" s="10" t="s">
        <v>3042</v>
      </c>
      <c r="AB345" s="11"/>
      <c r="AC345" s="11"/>
      <c r="AD345" s="11"/>
      <c r="AE345" s="11"/>
      <c r="AF345" s="12">
        <v>99</v>
      </c>
      <c r="AG345" s="11"/>
      <c r="AH345" s="11"/>
      <c r="AI345" s="11"/>
      <c r="AJ345" s="10" t="s">
        <v>3043</v>
      </c>
      <c r="AK345" s="10" t="s">
        <v>3044</v>
      </c>
      <c r="AL345" s="11"/>
      <c r="AM345" s="11"/>
      <c r="AN345" s="11"/>
      <c r="AO345" s="11"/>
      <c r="AP345" s="11"/>
      <c r="AQ345" s="11"/>
      <c r="AR345" s="10" t="s">
        <v>3045</v>
      </c>
      <c r="AS345" s="10" t="s">
        <v>66</v>
      </c>
      <c r="AT345" s="10" t="s">
        <v>53</v>
      </c>
    </row>
    <row r="346" spans="1:46" ht="20" customHeight="1" x14ac:dyDescent="0.15">
      <c r="A346" s="8" t="s">
        <v>3046</v>
      </c>
      <c r="B346" s="9" t="s">
        <v>3047</v>
      </c>
      <c r="C346" s="10" t="s">
        <v>3048</v>
      </c>
      <c r="D346" s="10" t="s">
        <v>3049</v>
      </c>
      <c r="E346" s="10" t="s">
        <v>51</v>
      </c>
      <c r="F346" s="10" t="s">
        <v>52</v>
      </c>
      <c r="G346" s="11"/>
      <c r="H346" s="10" t="s">
        <v>1683</v>
      </c>
      <c r="I346" s="10" t="s">
        <v>53</v>
      </c>
      <c r="J346" s="10" t="s">
        <v>54</v>
      </c>
      <c r="K346" s="11"/>
      <c r="L346" s="10" t="s">
        <v>2855</v>
      </c>
      <c r="M346" s="11"/>
      <c r="N346" s="11"/>
      <c r="O346" s="11"/>
      <c r="P346" s="11"/>
      <c r="Q346" s="10" t="s">
        <v>75</v>
      </c>
      <c r="R346" s="11"/>
      <c r="S346" s="10" t="s">
        <v>2618</v>
      </c>
      <c r="T346" s="10" t="s">
        <v>2619</v>
      </c>
      <c r="U346" s="10" t="s">
        <v>2620</v>
      </c>
      <c r="V346" s="11"/>
      <c r="W346" s="10" t="s">
        <v>2621</v>
      </c>
      <c r="X346" s="10" t="s">
        <v>80</v>
      </c>
      <c r="Y346" s="10" t="s">
        <v>80</v>
      </c>
      <c r="Z346" s="10" t="s">
        <v>3050</v>
      </c>
      <c r="AA346" s="10" t="s">
        <v>3051</v>
      </c>
      <c r="AB346" s="11"/>
      <c r="AC346" s="11"/>
      <c r="AD346" s="11"/>
      <c r="AE346" s="11"/>
      <c r="AF346" s="12">
        <v>7362</v>
      </c>
      <c r="AG346" s="11"/>
      <c r="AH346" s="11"/>
      <c r="AI346" s="11"/>
      <c r="AJ346" s="10" t="s">
        <v>3052</v>
      </c>
      <c r="AK346" s="11"/>
      <c r="AL346" s="11"/>
      <c r="AM346" s="11"/>
      <c r="AN346" s="11"/>
      <c r="AO346" s="11"/>
      <c r="AP346" s="11"/>
      <c r="AQ346" s="11"/>
      <c r="AR346" s="10" t="s">
        <v>3053</v>
      </c>
      <c r="AS346" s="10" t="s">
        <v>66</v>
      </c>
      <c r="AT346" s="10" t="s">
        <v>53</v>
      </c>
    </row>
    <row r="347" spans="1:46" ht="20" customHeight="1" x14ac:dyDescent="0.15">
      <c r="A347" s="8" t="s">
        <v>3054</v>
      </c>
      <c r="B347" s="9" t="s">
        <v>3055</v>
      </c>
      <c r="C347" s="10" t="s">
        <v>3056</v>
      </c>
      <c r="D347" s="10" t="s">
        <v>3057</v>
      </c>
      <c r="E347" s="10" t="s">
        <v>51</v>
      </c>
      <c r="F347" s="10" t="s">
        <v>52</v>
      </c>
      <c r="G347" s="11"/>
      <c r="H347" s="10" t="s">
        <v>561</v>
      </c>
      <c r="I347" s="10" t="s">
        <v>53</v>
      </c>
      <c r="J347" s="10" t="s">
        <v>54</v>
      </c>
      <c r="K347" s="11"/>
      <c r="L347" s="10" t="s">
        <v>2855</v>
      </c>
      <c r="M347" s="11"/>
      <c r="N347" s="11"/>
      <c r="O347" s="11"/>
      <c r="P347" s="11"/>
      <c r="Q347" s="10" t="s">
        <v>75</v>
      </c>
      <c r="R347" s="11"/>
      <c r="S347" s="10" t="s">
        <v>2618</v>
      </c>
      <c r="T347" s="10" t="s">
        <v>2619</v>
      </c>
      <c r="U347" s="10" t="s">
        <v>2620</v>
      </c>
      <c r="V347" s="11"/>
      <c r="W347" s="10" t="s">
        <v>2621</v>
      </c>
      <c r="X347" s="10" t="s">
        <v>80</v>
      </c>
      <c r="Y347" s="10" t="s">
        <v>80</v>
      </c>
      <c r="Z347" s="10" t="s">
        <v>3058</v>
      </c>
      <c r="AA347" s="10" t="s">
        <v>3059</v>
      </c>
      <c r="AB347" s="11"/>
      <c r="AC347" s="11"/>
      <c r="AD347" s="11"/>
      <c r="AE347" s="11"/>
      <c r="AF347" s="12">
        <v>108</v>
      </c>
      <c r="AG347" s="11"/>
      <c r="AH347" s="11"/>
      <c r="AI347" s="11"/>
      <c r="AJ347" s="11"/>
      <c r="AK347" s="10" t="s">
        <v>3060</v>
      </c>
      <c r="AL347" s="11"/>
      <c r="AM347" s="11"/>
      <c r="AN347" s="11"/>
      <c r="AO347" s="11"/>
      <c r="AP347" s="11"/>
      <c r="AQ347" s="11"/>
      <c r="AR347" s="10" t="s">
        <v>3061</v>
      </c>
      <c r="AS347" s="10" t="s">
        <v>66</v>
      </c>
      <c r="AT347" s="10" t="s">
        <v>53</v>
      </c>
    </row>
    <row r="348" spans="1:46" ht="20" customHeight="1" x14ac:dyDescent="0.15">
      <c r="A348" s="8" t="s">
        <v>3062</v>
      </c>
      <c r="B348" s="9" t="s">
        <v>3063</v>
      </c>
      <c r="C348" s="10" t="s">
        <v>3064</v>
      </c>
      <c r="D348" s="10" t="s">
        <v>3065</v>
      </c>
      <c r="E348" s="10" t="s">
        <v>51</v>
      </c>
      <c r="F348" s="10" t="s">
        <v>52</v>
      </c>
      <c r="G348" s="11"/>
      <c r="H348" s="10" t="s">
        <v>561</v>
      </c>
      <c r="I348" s="10" t="s">
        <v>53</v>
      </c>
      <c r="J348" s="10" t="s">
        <v>54</v>
      </c>
      <c r="K348" s="11"/>
      <c r="L348" s="10" t="s">
        <v>2855</v>
      </c>
      <c r="M348" s="11"/>
      <c r="N348" s="11"/>
      <c r="O348" s="11"/>
      <c r="P348" s="11"/>
      <c r="Q348" s="10" t="s">
        <v>75</v>
      </c>
      <c r="R348" s="11"/>
      <c r="S348" s="10" t="s">
        <v>2618</v>
      </c>
      <c r="T348" s="10" t="s">
        <v>2619</v>
      </c>
      <c r="U348" s="10" t="s">
        <v>2620</v>
      </c>
      <c r="V348" s="11"/>
      <c r="W348" s="10" t="s">
        <v>2621</v>
      </c>
      <c r="X348" s="10" t="s">
        <v>80</v>
      </c>
      <c r="Y348" s="10" t="s">
        <v>80</v>
      </c>
      <c r="Z348" s="10" t="s">
        <v>3066</v>
      </c>
      <c r="AA348" s="10" t="s">
        <v>3067</v>
      </c>
      <c r="AB348" s="11"/>
      <c r="AC348" s="11"/>
      <c r="AD348" s="11"/>
      <c r="AE348" s="11"/>
      <c r="AF348" s="12">
        <v>1107</v>
      </c>
      <c r="AG348" s="11"/>
      <c r="AH348" s="11"/>
      <c r="AI348" s="11"/>
      <c r="AJ348" s="11"/>
      <c r="AK348" s="11"/>
      <c r="AL348" s="11"/>
      <c r="AM348" s="11"/>
      <c r="AN348" s="11"/>
      <c r="AO348" s="11"/>
      <c r="AP348" s="11"/>
      <c r="AQ348" s="11"/>
      <c r="AR348" s="10" t="s">
        <v>3068</v>
      </c>
      <c r="AS348" s="10" t="s">
        <v>66</v>
      </c>
      <c r="AT348" s="10" t="s">
        <v>53</v>
      </c>
    </row>
    <row r="349" spans="1:46" ht="20" customHeight="1" x14ac:dyDescent="0.15">
      <c r="A349" s="8" t="s">
        <v>3069</v>
      </c>
      <c r="B349" s="9" t="s">
        <v>3070</v>
      </c>
      <c r="C349" s="10" t="s">
        <v>3071</v>
      </c>
      <c r="D349" s="10" t="s">
        <v>3072</v>
      </c>
      <c r="E349" s="10" t="s">
        <v>51</v>
      </c>
      <c r="F349" s="10" t="s">
        <v>52</v>
      </c>
      <c r="G349" s="11"/>
      <c r="H349" s="10" t="s">
        <v>1683</v>
      </c>
      <c r="I349" s="10" t="s">
        <v>53</v>
      </c>
      <c r="J349" s="10" t="s">
        <v>54</v>
      </c>
      <c r="K349" s="11"/>
      <c r="L349" s="10" t="s">
        <v>2855</v>
      </c>
      <c r="M349" s="11"/>
      <c r="N349" s="11"/>
      <c r="O349" s="11"/>
      <c r="P349" s="11"/>
      <c r="Q349" s="10" t="s">
        <v>75</v>
      </c>
      <c r="R349" s="11"/>
      <c r="S349" s="10" t="s">
        <v>2618</v>
      </c>
      <c r="T349" s="10" t="s">
        <v>2619</v>
      </c>
      <c r="U349" s="10" t="s">
        <v>2620</v>
      </c>
      <c r="V349" s="11"/>
      <c r="W349" s="10" t="s">
        <v>2621</v>
      </c>
      <c r="X349" s="10" t="s">
        <v>80</v>
      </c>
      <c r="Y349" s="10" t="s">
        <v>80</v>
      </c>
      <c r="Z349" s="10" t="s">
        <v>3073</v>
      </c>
      <c r="AA349" s="10" t="s">
        <v>3074</v>
      </c>
      <c r="AB349" s="11"/>
      <c r="AC349" s="11"/>
      <c r="AD349" s="11"/>
      <c r="AE349" s="11"/>
      <c r="AF349" s="12">
        <v>624</v>
      </c>
      <c r="AG349" s="11"/>
      <c r="AH349" s="11"/>
      <c r="AI349" s="11"/>
      <c r="AJ349" s="10" t="s">
        <v>3075</v>
      </c>
      <c r="AK349" s="10" t="s">
        <v>3076</v>
      </c>
      <c r="AL349" s="11"/>
      <c r="AM349" s="11"/>
      <c r="AN349" s="11"/>
      <c r="AO349" s="11"/>
      <c r="AP349" s="11"/>
      <c r="AQ349" s="11"/>
      <c r="AR349" s="10" t="s">
        <v>556</v>
      </c>
      <c r="AS349" s="10" t="s">
        <v>66</v>
      </c>
      <c r="AT349" s="10" t="s">
        <v>53</v>
      </c>
    </row>
    <row r="350" spans="1:46" ht="20" customHeight="1" x14ac:dyDescent="0.15">
      <c r="A350" s="8" t="s">
        <v>3077</v>
      </c>
      <c r="B350" s="9" t="s">
        <v>3078</v>
      </c>
      <c r="C350" s="10" t="s">
        <v>3079</v>
      </c>
      <c r="D350" s="10" t="s">
        <v>3080</v>
      </c>
      <c r="E350" s="10" t="s">
        <v>51</v>
      </c>
      <c r="F350" s="10" t="s">
        <v>52</v>
      </c>
      <c r="G350" s="11"/>
      <c r="H350" s="10" t="s">
        <v>1683</v>
      </c>
      <c r="I350" s="10" t="s">
        <v>53</v>
      </c>
      <c r="J350" s="10" t="s">
        <v>54</v>
      </c>
      <c r="K350" s="11"/>
      <c r="L350" s="10" t="s">
        <v>2855</v>
      </c>
      <c r="M350" s="11"/>
      <c r="N350" s="11"/>
      <c r="O350" s="11"/>
      <c r="P350" s="11"/>
      <c r="Q350" s="10" t="s">
        <v>75</v>
      </c>
      <c r="R350" s="11"/>
      <c r="S350" s="10" t="s">
        <v>2618</v>
      </c>
      <c r="T350" s="10" t="s">
        <v>2619</v>
      </c>
      <c r="U350" s="10" t="s">
        <v>2620</v>
      </c>
      <c r="V350" s="11"/>
      <c r="W350" s="10" t="s">
        <v>2621</v>
      </c>
      <c r="X350" s="10" t="s">
        <v>80</v>
      </c>
      <c r="Y350" s="10" t="s">
        <v>80</v>
      </c>
      <c r="Z350" s="10" t="s">
        <v>3081</v>
      </c>
      <c r="AA350" s="10" t="s">
        <v>3082</v>
      </c>
      <c r="AB350" s="11"/>
      <c r="AC350" s="11"/>
      <c r="AD350" s="11"/>
      <c r="AE350" s="11"/>
      <c r="AF350" s="12">
        <v>1628</v>
      </c>
      <c r="AG350" s="11"/>
      <c r="AH350" s="11"/>
      <c r="AI350" s="11"/>
      <c r="AJ350" s="10" t="s">
        <v>3083</v>
      </c>
      <c r="AK350" s="10" t="s">
        <v>3084</v>
      </c>
      <c r="AL350" s="11"/>
      <c r="AM350" s="11"/>
      <c r="AN350" s="11"/>
      <c r="AO350" s="11"/>
      <c r="AP350" s="11"/>
      <c r="AQ350" s="11"/>
      <c r="AR350" s="10" t="s">
        <v>3085</v>
      </c>
      <c r="AS350" s="10" t="s">
        <v>66</v>
      </c>
      <c r="AT350" s="10" t="s">
        <v>53</v>
      </c>
    </row>
    <row r="351" spans="1:46" ht="20" customHeight="1" x14ac:dyDescent="0.15">
      <c r="A351" s="8" t="s">
        <v>3086</v>
      </c>
      <c r="B351" s="9" t="s">
        <v>3087</v>
      </c>
      <c r="C351" s="10" t="s">
        <v>3088</v>
      </c>
      <c r="D351" s="10" t="s">
        <v>3089</v>
      </c>
      <c r="E351" s="10" t="s">
        <v>51</v>
      </c>
      <c r="F351" s="10" t="s">
        <v>52</v>
      </c>
      <c r="G351" s="11"/>
      <c r="H351" s="10" t="s">
        <v>1683</v>
      </c>
      <c r="I351" s="10" t="s">
        <v>53</v>
      </c>
      <c r="J351" s="10" t="s">
        <v>54</v>
      </c>
      <c r="K351" s="11"/>
      <c r="L351" s="10" t="s">
        <v>2855</v>
      </c>
      <c r="M351" s="11"/>
      <c r="N351" s="11"/>
      <c r="O351" s="11"/>
      <c r="P351" s="11"/>
      <c r="Q351" s="10" t="s">
        <v>75</v>
      </c>
      <c r="R351" s="11"/>
      <c r="S351" s="10" t="s">
        <v>2618</v>
      </c>
      <c r="T351" s="10" t="s">
        <v>2619</v>
      </c>
      <c r="U351" s="10" t="s">
        <v>2620</v>
      </c>
      <c r="V351" s="11"/>
      <c r="W351" s="10" t="s">
        <v>2621</v>
      </c>
      <c r="X351" s="10" t="s">
        <v>80</v>
      </c>
      <c r="Y351" s="10" t="s">
        <v>80</v>
      </c>
      <c r="Z351" s="10" t="s">
        <v>3090</v>
      </c>
      <c r="AA351" s="10" t="s">
        <v>3091</v>
      </c>
      <c r="AB351" s="11"/>
      <c r="AC351" s="11"/>
      <c r="AD351" s="11"/>
      <c r="AE351" s="11"/>
      <c r="AF351" s="12">
        <v>2957</v>
      </c>
      <c r="AG351" s="11"/>
      <c r="AH351" s="11"/>
      <c r="AI351" s="11"/>
      <c r="AJ351" s="11"/>
      <c r="AK351" s="10" t="s">
        <v>3092</v>
      </c>
      <c r="AL351" s="11"/>
      <c r="AM351" s="11"/>
      <c r="AN351" s="11"/>
      <c r="AO351" s="11"/>
      <c r="AP351" s="11"/>
      <c r="AQ351" s="11"/>
      <c r="AR351" s="10" t="s">
        <v>3093</v>
      </c>
      <c r="AS351" s="10" t="s">
        <v>66</v>
      </c>
      <c r="AT351" s="10" t="s">
        <v>53</v>
      </c>
    </row>
    <row r="352" spans="1:46" ht="20" customHeight="1" x14ac:dyDescent="0.15">
      <c r="A352" s="8" t="s">
        <v>3094</v>
      </c>
      <c r="B352" s="9" t="s">
        <v>3095</v>
      </c>
      <c r="C352" s="10" t="s">
        <v>3096</v>
      </c>
      <c r="D352" s="10" t="s">
        <v>3097</v>
      </c>
      <c r="E352" s="10" t="s">
        <v>51</v>
      </c>
      <c r="F352" s="10" t="s">
        <v>52</v>
      </c>
      <c r="G352" s="11"/>
      <c r="H352" s="10" t="s">
        <v>568</v>
      </c>
      <c r="I352" s="10" t="s">
        <v>53</v>
      </c>
      <c r="J352" s="10" t="s">
        <v>54</v>
      </c>
      <c r="K352" s="11"/>
      <c r="L352" s="10" t="s">
        <v>2855</v>
      </c>
      <c r="M352" s="11"/>
      <c r="N352" s="11"/>
      <c r="O352" s="11"/>
      <c r="P352" s="11"/>
      <c r="Q352" s="10" t="s">
        <v>75</v>
      </c>
      <c r="R352" s="11"/>
      <c r="S352" s="10" t="s">
        <v>2618</v>
      </c>
      <c r="T352" s="10" t="s">
        <v>2619</v>
      </c>
      <c r="U352" s="10" t="s">
        <v>2620</v>
      </c>
      <c r="V352" s="11"/>
      <c r="W352" s="10" t="s">
        <v>2621</v>
      </c>
      <c r="X352" s="10" t="s">
        <v>80</v>
      </c>
      <c r="Y352" s="10" t="s">
        <v>80</v>
      </c>
      <c r="Z352" s="10" t="s">
        <v>3098</v>
      </c>
      <c r="AA352" s="10" t="s">
        <v>3099</v>
      </c>
      <c r="AB352" s="11"/>
      <c r="AC352" s="11"/>
      <c r="AD352" s="11"/>
      <c r="AE352" s="11"/>
      <c r="AF352" s="12">
        <v>1421</v>
      </c>
      <c r="AG352" s="11"/>
      <c r="AH352" s="11"/>
      <c r="AI352" s="11"/>
      <c r="AJ352" s="11"/>
      <c r="AK352" s="10" t="s">
        <v>3100</v>
      </c>
      <c r="AL352" s="11"/>
      <c r="AM352" s="11"/>
      <c r="AN352" s="11"/>
      <c r="AO352" s="11"/>
      <c r="AP352" s="11"/>
      <c r="AQ352" s="11"/>
      <c r="AR352" s="10" t="s">
        <v>3101</v>
      </c>
      <c r="AS352" s="10" t="s">
        <v>66</v>
      </c>
      <c r="AT352" s="10" t="s">
        <v>53</v>
      </c>
    </row>
    <row r="353" spans="1:46" ht="20" customHeight="1" x14ac:dyDescent="0.15">
      <c r="A353" s="8" t="s">
        <v>3102</v>
      </c>
      <c r="B353" s="9" t="s">
        <v>3103</v>
      </c>
      <c r="C353" s="10" t="s">
        <v>3104</v>
      </c>
      <c r="D353" s="10" t="s">
        <v>3105</v>
      </c>
      <c r="E353" s="10" t="s">
        <v>51</v>
      </c>
      <c r="F353" s="10" t="s">
        <v>52</v>
      </c>
      <c r="G353" s="11"/>
      <c r="H353" s="10" t="s">
        <v>568</v>
      </c>
      <c r="I353" s="10" t="s">
        <v>53</v>
      </c>
      <c r="J353" s="10" t="s">
        <v>54</v>
      </c>
      <c r="K353" s="11"/>
      <c r="L353" s="10" t="s">
        <v>2855</v>
      </c>
      <c r="M353" s="11"/>
      <c r="N353" s="11"/>
      <c r="O353" s="11"/>
      <c r="P353" s="11"/>
      <c r="Q353" s="10" t="s">
        <v>75</v>
      </c>
      <c r="R353" s="11"/>
      <c r="S353" s="10" t="s">
        <v>2618</v>
      </c>
      <c r="T353" s="10" t="s">
        <v>2619</v>
      </c>
      <c r="U353" s="10" t="s">
        <v>2620</v>
      </c>
      <c r="V353" s="11"/>
      <c r="W353" s="10" t="s">
        <v>2621</v>
      </c>
      <c r="X353" s="10" t="s">
        <v>80</v>
      </c>
      <c r="Y353" s="10" t="s">
        <v>80</v>
      </c>
      <c r="Z353" s="10" t="s">
        <v>3106</v>
      </c>
      <c r="AA353" s="10" t="s">
        <v>3107</v>
      </c>
      <c r="AB353" s="11"/>
      <c r="AC353" s="11"/>
      <c r="AD353" s="11"/>
      <c r="AE353" s="11"/>
      <c r="AF353" s="12">
        <v>114</v>
      </c>
      <c r="AG353" s="11"/>
      <c r="AH353" s="11"/>
      <c r="AI353" s="11"/>
      <c r="AJ353" s="11"/>
      <c r="AK353" s="10" t="s">
        <v>3108</v>
      </c>
      <c r="AL353" s="11"/>
      <c r="AM353" s="11"/>
      <c r="AN353" s="11"/>
      <c r="AO353" s="11"/>
      <c r="AP353" s="11"/>
      <c r="AQ353" s="11"/>
      <c r="AR353" s="10" t="s">
        <v>556</v>
      </c>
      <c r="AS353" s="10" t="s">
        <v>66</v>
      </c>
      <c r="AT353" s="10" t="s">
        <v>53</v>
      </c>
    </row>
    <row r="354" spans="1:46" ht="20" customHeight="1" x14ac:dyDescent="0.15">
      <c r="A354" s="8" t="s">
        <v>3109</v>
      </c>
      <c r="B354" s="9" t="s">
        <v>3110</v>
      </c>
      <c r="C354" s="10" t="s">
        <v>3111</v>
      </c>
      <c r="D354" s="10" t="s">
        <v>3112</v>
      </c>
      <c r="E354" s="10" t="s">
        <v>51</v>
      </c>
      <c r="F354" s="10" t="s">
        <v>52</v>
      </c>
      <c r="G354" s="11"/>
      <c r="H354" s="10" t="s">
        <v>568</v>
      </c>
      <c r="I354" s="10" t="s">
        <v>53</v>
      </c>
      <c r="J354" s="10" t="s">
        <v>54</v>
      </c>
      <c r="K354" s="11"/>
      <c r="L354" s="10" t="s">
        <v>2855</v>
      </c>
      <c r="M354" s="11"/>
      <c r="N354" s="11"/>
      <c r="O354" s="11"/>
      <c r="P354" s="11"/>
      <c r="Q354" s="10" t="s">
        <v>75</v>
      </c>
      <c r="R354" s="11"/>
      <c r="S354" s="10" t="s">
        <v>2618</v>
      </c>
      <c r="T354" s="10" t="s">
        <v>2619</v>
      </c>
      <c r="U354" s="10" t="s">
        <v>2620</v>
      </c>
      <c r="V354" s="11"/>
      <c r="W354" s="10" t="s">
        <v>2621</v>
      </c>
      <c r="X354" s="10" t="s">
        <v>80</v>
      </c>
      <c r="Y354" s="10" t="s">
        <v>80</v>
      </c>
      <c r="Z354" s="10" t="s">
        <v>3113</v>
      </c>
      <c r="AA354" s="10" t="s">
        <v>3114</v>
      </c>
      <c r="AB354" s="11"/>
      <c r="AC354" s="11"/>
      <c r="AD354" s="11"/>
      <c r="AE354" s="11"/>
      <c r="AF354" s="12">
        <v>216</v>
      </c>
      <c r="AG354" s="11"/>
      <c r="AH354" s="11"/>
      <c r="AI354" s="11"/>
      <c r="AJ354" s="11"/>
      <c r="AK354" s="11"/>
      <c r="AL354" s="11"/>
      <c r="AM354" s="11"/>
      <c r="AN354" s="11"/>
      <c r="AO354" s="11"/>
      <c r="AP354" s="11"/>
      <c r="AQ354" s="11"/>
      <c r="AR354" s="10" t="s">
        <v>3115</v>
      </c>
      <c r="AS354" s="10" t="s">
        <v>66</v>
      </c>
      <c r="AT354" s="10" t="s">
        <v>53</v>
      </c>
    </row>
    <row r="355" spans="1:46" ht="20" customHeight="1" x14ac:dyDescent="0.15">
      <c r="A355" s="8" t="s">
        <v>3116</v>
      </c>
      <c r="B355" s="9" t="s">
        <v>3117</v>
      </c>
      <c r="C355" s="10" t="s">
        <v>3118</v>
      </c>
      <c r="D355" s="10" t="s">
        <v>3119</v>
      </c>
      <c r="E355" s="10" t="s">
        <v>51</v>
      </c>
      <c r="F355" s="10" t="s">
        <v>52</v>
      </c>
      <c r="G355" s="11"/>
      <c r="H355" s="10" t="s">
        <v>568</v>
      </c>
      <c r="I355" s="10" t="s">
        <v>53</v>
      </c>
      <c r="J355" s="10" t="s">
        <v>54</v>
      </c>
      <c r="K355" s="11"/>
      <c r="L355" s="10" t="s">
        <v>2855</v>
      </c>
      <c r="M355" s="11"/>
      <c r="N355" s="11"/>
      <c r="O355" s="11"/>
      <c r="P355" s="11"/>
      <c r="Q355" s="10" t="s">
        <v>75</v>
      </c>
      <c r="R355" s="11"/>
      <c r="S355" s="10" t="s">
        <v>2618</v>
      </c>
      <c r="T355" s="10" t="s">
        <v>2619</v>
      </c>
      <c r="U355" s="10" t="s">
        <v>2620</v>
      </c>
      <c r="V355" s="11"/>
      <c r="W355" s="10" t="s">
        <v>2621</v>
      </c>
      <c r="X355" s="10" t="s">
        <v>80</v>
      </c>
      <c r="Y355" s="10" t="s">
        <v>80</v>
      </c>
      <c r="Z355" s="10" t="s">
        <v>3120</v>
      </c>
      <c r="AA355" s="10" t="s">
        <v>3121</v>
      </c>
      <c r="AB355" s="11"/>
      <c r="AC355" s="11"/>
      <c r="AD355" s="11"/>
      <c r="AE355" s="11"/>
      <c r="AF355" s="12">
        <v>404</v>
      </c>
      <c r="AG355" s="11"/>
      <c r="AH355" s="11"/>
      <c r="AI355" s="11"/>
      <c r="AJ355" s="11"/>
      <c r="AK355" s="10" t="s">
        <v>3122</v>
      </c>
      <c r="AL355" s="11"/>
      <c r="AM355" s="11"/>
      <c r="AN355" s="11"/>
      <c r="AO355" s="11"/>
      <c r="AP355" s="11"/>
      <c r="AQ355" s="11"/>
      <c r="AR355" s="10" t="s">
        <v>556</v>
      </c>
      <c r="AS355" s="10" t="s">
        <v>66</v>
      </c>
      <c r="AT355" s="10" t="s">
        <v>53</v>
      </c>
    </row>
    <row r="356" spans="1:46" ht="20" customHeight="1" x14ac:dyDescent="0.15">
      <c r="A356" s="8" t="s">
        <v>3123</v>
      </c>
      <c r="B356" s="9" t="s">
        <v>3124</v>
      </c>
      <c r="C356" s="10" t="s">
        <v>1747</v>
      </c>
      <c r="D356" s="10" t="s">
        <v>3125</v>
      </c>
      <c r="E356" s="10" t="s">
        <v>51</v>
      </c>
      <c r="F356" s="10" t="s">
        <v>52</v>
      </c>
      <c r="G356" s="11"/>
      <c r="H356" s="10" t="s">
        <v>1749</v>
      </c>
      <c r="I356" s="10" t="s">
        <v>53</v>
      </c>
      <c r="J356" s="10" t="s">
        <v>54</v>
      </c>
      <c r="K356" s="11"/>
      <c r="L356" s="10" t="s">
        <v>2855</v>
      </c>
      <c r="M356" s="11"/>
      <c r="N356" s="11"/>
      <c r="O356" s="11"/>
      <c r="P356" s="11"/>
      <c r="Q356" s="10" t="s">
        <v>75</v>
      </c>
      <c r="R356" s="11"/>
      <c r="S356" s="10" t="s">
        <v>2618</v>
      </c>
      <c r="T356" s="10" t="s">
        <v>2619</v>
      </c>
      <c r="U356" s="10" t="s">
        <v>2620</v>
      </c>
      <c r="V356" s="11"/>
      <c r="W356" s="10" t="s">
        <v>2621</v>
      </c>
      <c r="X356" s="10" t="s">
        <v>80</v>
      </c>
      <c r="Y356" s="10" t="s">
        <v>80</v>
      </c>
      <c r="Z356" s="10" t="s">
        <v>3126</v>
      </c>
      <c r="AA356" s="10" t="s">
        <v>3127</v>
      </c>
      <c r="AB356" s="11"/>
      <c r="AC356" s="11"/>
      <c r="AD356" s="11"/>
      <c r="AE356" s="11"/>
      <c r="AF356" s="12">
        <v>107</v>
      </c>
      <c r="AG356" s="11"/>
      <c r="AH356" s="11"/>
      <c r="AI356" s="11"/>
      <c r="AJ356" s="11"/>
      <c r="AK356" s="11"/>
      <c r="AL356" s="11"/>
      <c r="AM356" s="11"/>
      <c r="AN356" s="11"/>
      <c r="AO356" s="11"/>
      <c r="AP356" s="11"/>
      <c r="AQ356" s="11"/>
      <c r="AR356" s="10" t="s">
        <v>3128</v>
      </c>
      <c r="AS356" s="10" t="s">
        <v>66</v>
      </c>
      <c r="AT356" s="10" t="s">
        <v>53</v>
      </c>
    </row>
    <row r="357" spans="1:46" ht="20" hidden="1" customHeight="1" x14ac:dyDescent="0.15">
      <c r="A357" s="8" t="s">
        <v>3129</v>
      </c>
      <c r="B357" s="9" t="s">
        <v>3130</v>
      </c>
      <c r="C357" s="10" t="s">
        <v>3131</v>
      </c>
      <c r="D357" s="10" t="s">
        <v>3132</v>
      </c>
      <c r="E357" s="10" t="s">
        <v>51</v>
      </c>
      <c r="F357" s="10" t="s">
        <v>71</v>
      </c>
      <c r="G357" s="11"/>
      <c r="H357" s="10" t="s">
        <v>3133</v>
      </c>
      <c r="I357" s="10" t="s">
        <v>53</v>
      </c>
      <c r="J357" s="10" t="s">
        <v>54</v>
      </c>
      <c r="K357" s="11"/>
      <c r="L357" s="10" t="s">
        <v>3134</v>
      </c>
      <c r="M357" s="11"/>
      <c r="N357" s="10" t="s">
        <v>3135</v>
      </c>
      <c r="O357" s="11"/>
      <c r="P357" s="11"/>
      <c r="Q357" s="10" t="s">
        <v>75</v>
      </c>
      <c r="R357" s="11"/>
      <c r="S357" s="10" t="s">
        <v>1775</v>
      </c>
      <c r="T357" s="10" t="s">
        <v>1776</v>
      </c>
      <c r="U357" s="10" t="s">
        <v>1777</v>
      </c>
      <c r="V357" s="11"/>
      <c r="W357" s="10" t="s">
        <v>1778</v>
      </c>
      <c r="X357" s="10" t="s">
        <v>80</v>
      </c>
      <c r="Y357" s="10" t="s">
        <v>80</v>
      </c>
      <c r="Z357" s="10" t="s">
        <v>3136</v>
      </c>
      <c r="AA357" s="10" t="s">
        <v>3137</v>
      </c>
      <c r="AB357" s="11"/>
      <c r="AC357" s="11"/>
      <c r="AD357" s="11"/>
      <c r="AE357" s="11"/>
      <c r="AF357" s="12">
        <v>2050</v>
      </c>
      <c r="AG357" s="11"/>
      <c r="AH357" s="10" t="s">
        <v>3138</v>
      </c>
      <c r="AI357" s="11"/>
      <c r="AJ357" s="11"/>
      <c r="AK357" s="11"/>
      <c r="AL357" s="11"/>
      <c r="AM357" s="11"/>
      <c r="AN357" s="11"/>
      <c r="AO357" s="11"/>
      <c r="AP357" s="11"/>
      <c r="AQ357" s="11"/>
      <c r="AR357" s="10" t="s">
        <v>3139</v>
      </c>
      <c r="AS357" s="10" t="s">
        <v>66</v>
      </c>
      <c r="AT357" s="10" t="s">
        <v>53</v>
      </c>
    </row>
    <row r="358" spans="1:46" ht="20" customHeight="1" x14ac:dyDescent="0.15">
      <c r="A358" s="8" t="s">
        <v>3140</v>
      </c>
      <c r="B358" s="9" t="s">
        <v>3141</v>
      </c>
      <c r="C358" s="10" t="s">
        <v>3142</v>
      </c>
      <c r="D358" s="10" t="s">
        <v>3143</v>
      </c>
      <c r="E358" s="10" t="s">
        <v>51</v>
      </c>
      <c r="F358" s="10" t="s">
        <v>71</v>
      </c>
      <c r="G358" s="11"/>
      <c r="H358" s="10" t="s">
        <v>3144</v>
      </c>
      <c r="I358" s="10" t="s">
        <v>53</v>
      </c>
      <c r="J358" s="10" t="s">
        <v>54</v>
      </c>
      <c r="K358" s="11"/>
      <c r="L358" s="10" t="s">
        <v>3134</v>
      </c>
      <c r="M358" s="11"/>
      <c r="N358" s="10" t="s">
        <v>3135</v>
      </c>
      <c r="O358" s="11"/>
      <c r="P358" s="11"/>
      <c r="Q358" s="10" t="s">
        <v>75</v>
      </c>
      <c r="R358" s="11"/>
      <c r="S358" s="10" t="s">
        <v>1775</v>
      </c>
      <c r="T358" s="10" t="s">
        <v>1776</v>
      </c>
      <c r="U358" s="10" t="s">
        <v>1777</v>
      </c>
      <c r="V358" s="11"/>
      <c r="W358" s="10" t="s">
        <v>1778</v>
      </c>
      <c r="X358" s="10" t="s">
        <v>80</v>
      </c>
      <c r="Y358" s="10" t="s">
        <v>80</v>
      </c>
      <c r="Z358" s="10" t="s">
        <v>3145</v>
      </c>
      <c r="AA358" s="10" t="s">
        <v>3146</v>
      </c>
      <c r="AB358" s="11"/>
      <c r="AC358" s="11"/>
      <c r="AD358" s="11"/>
      <c r="AE358" s="11"/>
      <c r="AF358" s="12">
        <v>6000</v>
      </c>
      <c r="AG358" s="11"/>
      <c r="AH358" s="10" t="s">
        <v>3147</v>
      </c>
      <c r="AI358" s="11"/>
      <c r="AJ358" s="11"/>
      <c r="AK358" s="11"/>
      <c r="AL358" s="11"/>
      <c r="AM358" s="11"/>
      <c r="AN358" s="11"/>
      <c r="AO358" s="11"/>
      <c r="AP358" s="11"/>
      <c r="AQ358" s="11"/>
      <c r="AR358" s="10" t="s">
        <v>3148</v>
      </c>
      <c r="AS358" s="10" t="s">
        <v>66</v>
      </c>
      <c r="AT358" s="10" t="s">
        <v>53</v>
      </c>
    </row>
    <row r="359" spans="1:46" ht="20" customHeight="1" x14ac:dyDescent="0.15">
      <c r="A359" s="8" t="s">
        <v>3149</v>
      </c>
      <c r="B359" s="9" t="s">
        <v>3150</v>
      </c>
      <c r="C359" s="10" t="s">
        <v>3151</v>
      </c>
      <c r="D359" s="10" t="s">
        <v>3152</v>
      </c>
      <c r="E359" s="10" t="s">
        <v>51</v>
      </c>
      <c r="F359" s="10" t="s">
        <v>1816</v>
      </c>
      <c r="G359" s="11"/>
      <c r="H359" s="10" t="s">
        <v>3153</v>
      </c>
      <c r="I359" s="10" t="s">
        <v>53</v>
      </c>
      <c r="J359" s="10" t="s">
        <v>54</v>
      </c>
      <c r="K359" s="11"/>
      <c r="L359" s="10" t="s">
        <v>1759</v>
      </c>
      <c r="M359" s="11"/>
      <c r="N359" s="11"/>
      <c r="O359" s="11"/>
      <c r="P359" s="11"/>
      <c r="Q359" s="10" t="s">
        <v>75</v>
      </c>
      <c r="R359" s="11"/>
      <c r="S359" s="10" t="s">
        <v>1817</v>
      </c>
      <c r="T359" s="10" t="s">
        <v>1818</v>
      </c>
      <c r="U359" s="10" t="s">
        <v>1819</v>
      </c>
      <c r="V359" s="11"/>
      <c r="W359" s="10" t="s">
        <v>1821</v>
      </c>
      <c r="X359" s="10" t="s">
        <v>80</v>
      </c>
      <c r="Y359" s="10" t="s">
        <v>80</v>
      </c>
      <c r="Z359" s="10" t="s">
        <v>3154</v>
      </c>
      <c r="AA359" s="10" t="s">
        <v>3155</v>
      </c>
      <c r="AB359" s="11"/>
      <c r="AC359" s="11"/>
      <c r="AD359" s="11"/>
      <c r="AE359" s="11"/>
      <c r="AF359" s="12">
        <v>902</v>
      </c>
      <c r="AG359" s="11"/>
      <c r="AH359" s="10" t="s">
        <v>3156</v>
      </c>
      <c r="AI359" s="11"/>
      <c r="AJ359" s="10" t="s">
        <v>3157</v>
      </c>
      <c r="AK359" s="10" t="s">
        <v>3158</v>
      </c>
      <c r="AL359" s="11"/>
      <c r="AM359" s="11"/>
      <c r="AN359" s="11"/>
      <c r="AO359" s="11"/>
      <c r="AP359" s="11"/>
      <c r="AQ359" s="11"/>
      <c r="AR359" s="10" t="s">
        <v>3159</v>
      </c>
      <c r="AS359" s="10" t="s">
        <v>66</v>
      </c>
      <c r="AT359" s="10" t="s">
        <v>53</v>
      </c>
    </row>
    <row r="360" spans="1:46" ht="20" hidden="1" customHeight="1" x14ac:dyDescent="0.15">
      <c r="A360" s="8" t="s">
        <v>3160</v>
      </c>
      <c r="B360" s="9" t="s">
        <v>3161</v>
      </c>
      <c r="C360" s="10" t="s">
        <v>3162</v>
      </c>
      <c r="D360" s="10" t="s">
        <v>3163</v>
      </c>
      <c r="E360" s="10" t="s">
        <v>51</v>
      </c>
      <c r="F360" s="10" t="s">
        <v>1928</v>
      </c>
      <c r="G360" s="11"/>
      <c r="H360" s="10" t="s">
        <v>91</v>
      </c>
      <c r="I360" s="10" t="s">
        <v>53</v>
      </c>
      <c r="J360" s="10" t="s">
        <v>54</v>
      </c>
      <c r="K360" s="11"/>
      <c r="L360" s="11"/>
      <c r="M360" s="10" t="s">
        <v>3164</v>
      </c>
      <c r="N360" s="11"/>
      <c r="O360" s="11"/>
      <c r="P360" s="11"/>
      <c r="Q360" s="10" t="s">
        <v>135</v>
      </c>
      <c r="R360" s="11"/>
      <c r="S360" s="10" t="s">
        <v>1930</v>
      </c>
      <c r="T360" s="10" t="s">
        <v>1931</v>
      </c>
      <c r="U360" s="10" t="s">
        <v>1932</v>
      </c>
      <c r="V360" s="11"/>
      <c r="W360" s="10" t="s">
        <v>1933</v>
      </c>
      <c r="X360" s="10" t="s">
        <v>80</v>
      </c>
      <c r="Y360" s="10" t="s">
        <v>80</v>
      </c>
      <c r="Z360" s="10" t="s">
        <v>3165</v>
      </c>
      <c r="AA360" s="10" t="s">
        <v>3166</v>
      </c>
      <c r="AB360" s="11"/>
      <c r="AC360" s="11"/>
      <c r="AD360" s="10" t="s">
        <v>3167</v>
      </c>
      <c r="AE360" s="10" t="s">
        <v>1936</v>
      </c>
      <c r="AF360" s="12">
        <v>5000</v>
      </c>
      <c r="AG360" s="11"/>
      <c r="AH360" s="10" t="s">
        <v>1967</v>
      </c>
      <c r="AI360" s="10" t="s">
        <v>3168</v>
      </c>
      <c r="AJ360" s="10" t="s">
        <v>3169</v>
      </c>
      <c r="AK360" s="10" t="s">
        <v>3170</v>
      </c>
      <c r="AL360" s="10" t="s">
        <v>3171</v>
      </c>
      <c r="AM360" s="11"/>
      <c r="AN360" s="11"/>
      <c r="AO360" s="11"/>
      <c r="AP360" s="11"/>
      <c r="AQ360" s="11"/>
      <c r="AR360" s="10" t="s">
        <v>983</v>
      </c>
      <c r="AS360" s="10" t="s">
        <v>66</v>
      </c>
      <c r="AT360" s="10" t="s">
        <v>53</v>
      </c>
    </row>
    <row r="361" spans="1:46" ht="20" customHeight="1" x14ac:dyDescent="0.15">
      <c r="A361" s="8" t="s">
        <v>3172</v>
      </c>
      <c r="B361" s="9" t="s">
        <v>3173</v>
      </c>
      <c r="C361" s="10" t="s">
        <v>3174</v>
      </c>
      <c r="D361" s="10" t="s">
        <v>3175</v>
      </c>
      <c r="E361" s="10" t="s">
        <v>51</v>
      </c>
      <c r="F361" s="10" t="s">
        <v>3176</v>
      </c>
      <c r="G361" s="11"/>
      <c r="H361" s="10" t="s">
        <v>229</v>
      </c>
      <c r="I361" s="10" t="s">
        <v>53</v>
      </c>
      <c r="J361" s="10" t="s">
        <v>54</v>
      </c>
      <c r="K361" s="11"/>
      <c r="L361" s="10" t="s">
        <v>3177</v>
      </c>
      <c r="M361" s="11"/>
      <c r="N361" s="11"/>
      <c r="O361" s="11"/>
      <c r="P361" s="11"/>
      <c r="Q361" s="10" t="s">
        <v>361</v>
      </c>
      <c r="R361" s="11"/>
      <c r="S361" s="10" t="s">
        <v>3178</v>
      </c>
      <c r="T361" s="10" t="s">
        <v>3179</v>
      </c>
      <c r="U361" s="10" t="s">
        <v>3180</v>
      </c>
      <c r="V361" s="11"/>
      <c r="W361" s="10" t="s">
        <v>3181</v>
      </c>
      <c r="X361" s="10" t="s">
        <v>80</v>
      </c>
      <c r="Y361" s="10" t="s">
        <v>80</v>
      </c>
      <c r="Z361" s="10" t="s">
        <v>3182</v>
      </c>
      <c r="AA361" s="10" t="s">
        <v>3183</v>
      </c>
      <c r="AB361" s="11"/>
      <c r="AC361" s="11"/>
      <c r="AD361" s="11"/>
      <c r="AE361" s="10" t="s">
        <v>3184</v>
      </c>
      <c r="AF361" s="12">
        <v>1</v>
      </c>
      <c r="AG361" s="11"/>
      <c r="AH361" s="11"/>
      <c r="AI361" s="11"/>
      <c r="AJ361" s="11"/>
      <c r="AK361" s="11"/>
      <c r="AL361" s="11"/>
      <c r="AM361" s="11"/>
      <c r="AN361" s="11"/>
      <c r="AO361" s="11"/>
      <c r="AP361" s="11"/>
      <c r="AQ361" s="11"/>
      <c r="AR361" s="10" t="s">
        <v>325</v>
      </c>
      <c r="AS361" s="10" t="s">
        <v>66</v>
      </c>
      <c r="AT361" s="10" t="s">
        <v>53</v>
      </c>
    </row>
    <row r="362" spans="1:46" ht="20" hidden="1" customHeight="1" x14ac:dyDescent="0.15">
      <c r="A362" s="8" t="s">
        <v>3185</v>
      </c>
      <c r="B362" s="9" t="s">
        <v>3186</v>
      </c>
      <c r="C362" s="10" t="s">
        <v>3187</v>
      </c>
      <c r="D362" s="10" t="s">
        <v>3175</v>
      </c>
      <c r="E362" s="10" t="s">
        <v>51</v>
      </c>
      <c r="F362" s="10" t="s">
        <v>3176</v>
      </c>
      <c r="G362" s="11"/>
      <c r="H362" s="10" t="s">
        <v>91</v>
      </c>
      <c r="I362" s="10" t="s">
        <v>53</v>
      </c>
      <c r="J362" s="10" t="s">
        <v>54</v>
      </c>
      <c r="K362" s="11"/>
      <c r="L362" s="10" t="s">
        <v>3177</v>
      </c>
      <c r="M362" s="11"/>
      <c r="N362" s="11"/>
      <c r="O362" s="11"/>
      <c r="P362" s="11"/>
      <c r="Q362" s="10" t="s">
        <v>135</v>
      </c>
      <c r="R362" s="11"/>
      <c r="S362" s="10" t="s">
        <v>3178</v>
      </c>
      <c r="T362" s="10" t="s">
        <v>3179</v>
      </c>
      <c r="U362" s="10" t="s">
        <v>3180</v>
      </c>
      <c r="V362" s="11"/>
      <c r="W362" s="10" t="s">
        <v>3181</v>
      </c>
      <c r="X362" s="10" t="s">
        <v>80</v>
      </c>
      <c r="Y362" s="10" t="s">
        <v>80</v>
      </c>
      <c r="Z362" s="10" t="s">
        <v>3188</v>
      </c>
      <c r="AA362" s="10" t="s">
        <v>3189</v>
      </c>
      <c r="AB362" s="11"/>
      <c r="AC362" s="11"/>
      <c r="AD362" s="11"/>
      <c r="AE362" s="10" t="s">
        <v>3190</v>
      </c>
      <c r="AF362" s="12">
        <v>1</v>
      </c>
      <c r="AG362" s="11"/>
      <c r="AH362" s="10" t="s">
        <v>3191</v>
      </c>
      <c r="AI362" s="11"/>
      <c r="AJ362" s="10" t="s">
        <v>3192</v>
      </c>
      <c r="AK362" s="11"/>
      <c r="AL362" s="11"/>
      <c r="AM362" s="11"/>
      <c r="AN362" s="11"/>
      <c r="AO362" s="11"/>
      <c r="AP362" s="11"/>
      <c r="AQ362" s="11"/>
      <c r="AR362" s="10" t="s">
        <v>325</v>
      </c>
      <c r="AS362" s="10" t="s">
        <v>66</v>
      </c>
      <c r="AT362" s="10" t="s">
        <v>53</v>
      </c>
    </row>
    <row r="363" spans="1:46" ht="20" hidden="1" customHeight="1" x14ac:dyDescent="0.15">
      <c r="A363" s="8" t="s">
        <v>3193</v>
      </c>
      <c r="B363" s="9" t="s">
        <v>3194</v>
      </c>
      <c r="C363" s="10" t="s">
        <v>3195</v>
      </c>
      <c r="D363" s="10" t="s">
        <v>3196</v>
      </c>
      <c r="E363" s="10" t="s">
        <v>51</v>
      </c>
      <c r="F363" s="10" t="s">
        <v>3176</v>
      </c>
      <c r="G363" s="11"/>
      <c r="H363" s="10" t="s">
        <v>91</v>
      </c>
      <c r="I363" s="10" t="s">
        <v>53</v>
      </c>
      <c r="J363" s="10" t="s">
        <v>54</v>
      </c>
      <c r="K363" s="11"/>
      <c r="L363" s="10" t="s">
        <v>3177</v>
      </c>
      <c r="M363" s="11"/>
      <c r="N363" s="11"/>
      <c r="O363" s="11"/>
      <c r="P363" s="11"/>
      <c r="Q363" s="10" t="s">
        <v>361</v>
      </c>
      <c r="R363" s="11"/>
      <c r="S363" s="10" t="s">
        <v>3178</v>
      </c>
      <c r="T363" s="10" t="s">
        <v>3179</v>
      </c>
      <c r="U363" s="10" t="s">
        <v>3180</v>
      </c>
      <c r="V363" s="11"/>
      <c r="W363" s="10" t="s">
        <v>3181</v>
      </c>
      <c r="X363" s="10" t="s">
        <v>80</v>
      </c>
      <c r="Y363" s="10" t="s">
        <v>80</v>
      </c>
      <c r="Z363" s="10" t="s">
        <v>3197</v>
      </c>
      <c r="AA363" s="10" t="s">
        <v>3198</v>
      </c>
      <c r="AB363" s="11"/>
      <c r="AC363" s="11"/>
      <c r="AD363" s="11"/>
      <c r="AE363" s="10" t="s">
        <v>3190</v>
      </c>
      <c r="AF363" s="12">
        <v>1</v>
      </c>
      <c r="AG363" s="11"/>
      <c r="AH363" s="11"/>
      <c r="AI363" s="11"/>
      <c r="AJ363" s="11"/>
      <c r="AK363" s="11"/>
      <c r="AL363" s="11"/>
      <c r="AM363" s="11"/>
      <c r="AN363" s="11"/>
      <c r="AO363" s="11"/>
      <c r="AP363" s="11"/>
      <c r="AQ363" s="11"/>
      <c r="AR363" s="10" t="s">
        <v>325</v>
      </c>
      <c r="AS363" s="10" t="s">
        <v>66</v>
      </c>
      <c r="AT363" s="10" t="s">
        <v>53</v>
      </c>
    </row>
    <row r="364" spans="1:46" ht="20" hidden="1" customHeight="1" x14ac:dyDescent="0.15">
      <c r="A364" s="8" t="s">
        <v>3199</v>
      </c>
      <c r="B364" s="9" t="s">
        <v>3200</v>
      </c>
      <c r="C364" s="10" t="s">
        <v>3201</v>
      </c>
      <c r="D364" s="10" t="s">
        <v>3202</v>
      </c>
      <c r="E364" s="10" t="s">
        <v>51</v>
      </c>
      <c r="F364" s="10" t="s">
        <v>3176</v>
      </c>
      <c r="G364" s="11"/>
      <c r="H364" s="10" t="s">
        <v>91</v>
      </c>
      <c r="I364" s="10" t="s">
        <v>53</v>
      </c>
      <c r="J364" s="10" t="s">
        <v>54</v>
      </c>
      <c r="K364" s="11"/>
      <c r="L364" s="10" t="s">
        <v>3177</v>
      </c>
      <c r="M364" s="10" t="s">
        <v>3203</v>
      </c>
      <c r="N364" s="10" t="s">
        <v>3204</v>
      </c>
      <c r="O364" s="11"/>
      <c r="P364" s="11"/>
      <c r="Q364" s="10" t="s">
        <v>379</v>
      </c>
      <c r="R364" s="11"/>
      <c r="S364" s="10" t="s">
        <v>3178</v>
      </c>
      <c r="T364" s="10" t="s">
        <v>3179</v>
      </c>
      <c r="U364" s="10" t="s">
        <v>3180</v>
      </c>
      <c r="V364" s="11"/>
      <c r="W364" s="10" t="s">
        <v>3181</v>
      </c>
      <c r="X364" s="10" t="s">
        <v>80</v>
      </c>
      <c r="Y364" s="10" t="s">
        <v>80</v>
      </c>
      <c r="Z364" s="10" t="s">
        <v>3205</v>
      </c>
      <c r="AA364" s="10" t="s">
        <v>3206</v>
      </c>
      <c r="AB364" s="11"/>
      <c r="AC364" s="11"/>
      <c r="AD364" s="10" t="s">
        <v>3207</v>
      </c>
      <c r="AE364" s="10" t="s">
        <v>3184</v>
      </c>
      <c r="AF364" s="12">
        <v>500000</v>
      </c>
      <c r="AG364" s="11"/>
      <c r="AH364" s="10" t="s">
        <v>3208</v>
      </c>
      <c r="AI364" s="10" t="s">
        <v>3209</v>
      </c>
      <c r="AJ364" s="10" t="s">
        <v>3210</v>
      </c>
      <c r="AK364" s="10" t="s">
        <v>3211</v>
      </c>
      <c r="AL364" s="10" t="s">
        <v>3179</v>
      </c>
      <c r="AM364" s="11"/>
      <c r="AN364" s="11"/>
      <c r="AO364" s="11"/>
      <c r="AP364" s="11"/>
      <c r="AQ364" s="11"/>
      <c r="AR364" s="10" t="s">
        <v>325</v>
      </c>
      <c r="AS364" s="10" t="s">
        <v>66</v>
      </c>
      <c r="AT364" s="10" t="s">
        <v>53</v>
      </c>
    </row>
    <row r="365" spans="1:46" ht="20" hidden="1" customHeight="1" x14ac:dyDescent="0.15">
      <c r="A365" s="8" t="s">
        <v>3212</v>
      </c>
      <c r="B365" s="9" t="s">
        <v>3213</v>
      </c>
      <c r="C365" s="10" t="s">
        <v>89</v>
      </c>
      <c r="D365" s="10" t="s">
        <v>3214</v>
      </c>
      <c r="E365" s="10" t="s">
        <v>51</v>
      </c>
      <c r="F365" s="10" t="s">
        <v>3176</v>
      </c>
      <c r="G365" s="11"/>
      <c r="H365" s="10" t="s">
        <v>91</v>
      </c>
      <c r="I365" s="10" t="s">
        <v>53</v>
      </c>
      <c r="J365" s="10" t="s">
        <v>54</v>
      </c>
      <c r="K365" s="11"/>
      <c r="L365" s="10" t="s">
        <v>3177</v>
      </c>
      <c r="M365" s="11"/>
      <c r="N365" s="11"/>
      <c r="O365" s="11"/>
      <c r="P365" s="11"/>
      <c r="Q365" s="10" t="s">
        <v>94</v>
      </c>
      <c r="R365" s="11"/>
      <c r="S365" s="10" t="s">
        <v>3178</v>
      </c>
      <c r="T365" s="10" t="s">
        <v>3179</v>
      </c>
      <c r="U365" s="10" t="s">
        <v>3180</v>
      </c>
      <c r="V365" s="11"/>
      <c r="W365" s="10" t="s">
        <v>3181</v>
      </c>
      <c r="X365" s="10" t="s">
        <v>80</v>
      </c>
      <c r="Y365" s="10" t="s">
        <v>80</v>
      </c>
      <c r="Z365" s="10" t="s">
        <v>3215</v>
      </c>
      <c r="AA365" s="10" t="s">
        <v>3216</v>
      </c>
      <c r="AB365" s="11"/>
      <c r="AC365" s="11"/>
      <c r="AD365" s="11"/>
      <c r="AE365" s="10" t="s">
        <v>3190</v>
      </c>
      <c r="AF365" s="12">
        <v>1500</v>
      </c>
      <c r="AG365" s="11"/>
      <c r="AH365" s="10" t="s">
        <v>3191</v>
      </c>
      <c r="AI365" s="11"/>
      <c r="AJ365" s="10" t="s">
        <v>3217</v>
      </c>
      <c r="AK365" s="11"/>
      <c r="AL365" s="11"/>
      <c r="AM365" s="11"/>
      <c r="AN365" s="11"/>
      <c r="AO365" s="11"/>
      <c r="AP365" s="11"/>
      <c r="AQ365" s="11"/>
      <c r="AR365" s="10" t="s">
        <v>325</v>
      </c>
      <c r="AS365" s="10" t="s">
        <v>66</v>
      </c>
      <c r="AT365" s="10" t="s">
        <v>53</v>
      </c>
    </row>
    <row r="366" spans="1:46" ht="20" hidden="1" customHeight="1" x14ac:dyDescent="0.15">
      <c r="A366" s="8" t="s">
        <v>3218</v>
      </c>
      <c r="B366" s="9" t="s">
        <v>3219</v>
      </c>
      <c r="C366" s="10" t="s">
        <v>3220</v>
      </c>
      <c r="D366" s="10" t="s">
        <v>3221</v>
      </c>
      <c r="E366" s="10" t="s">
        <v>51</v>
      </c>
      <c r="F366" s="10" t="s">
        <v>616</v>
      </c>
      <c r="G366" s="11"/>
      <c r="H366" s="10" t="s">
        <v>3222</v>
      </c>
      <c r="I366" s="10" t="s">
        <v>53</v>
      </c>
      <c r="J366" s="10" t="s">
        <v>54</v>
      </c>
      <c r="K366" s="11"/>
      <c r="L366" s="10" t="s">
        <v>618</v>
      </c>
      <c r="M366" s="11"/>
      <c r="N366" s="10" t="s">
        <v>461</v>
      </c>
      <c r="O366" s="11"/>
      <c r="P366" s="11"/>
      <c r="Q366" s="10" t="s">
        <v>619</v>
      </c>
      <c r="R366" s="11"/>
      <c r="S366" s="10" t="s">
        <v>620</v>
      </c>
      <c r="T366" s="10" t="s">
        <v>621</v>
      </c>
      <c r="U366" s="10" t="s">
        <v>622</v>
      </c>
      <c r="V366" s="11"/>
      <c r="W366" s="10" t="s">
        <v>623</v>
      </c>
      <c r="X366" s="10" t="s">
        <v>80</v>
      </c>
      <c r="Y366" s="10" t="s">
        <v>80</v>
      </c>
      <c r="Z366" s="10" t="s">
        <v>3223</v>
      </c>
      <c r="AA366" s="10" t="s">
        <v>3224</v>
      </c>
      <c r="AB366" s="11"/>
      <c r="AC366" s="11"/>
      <c r="AD366" s="11"/>
      <c r="AE366" s="10" t="s">
        <v>3225</v>
      </c>
      <c r="AF366" s="12">
        <v>35000</v>
      </c>
      <c r="AG366" s="11"/>
      <c r="AH366" s="10" t="s">
        <v>138</v>
      </c>
      <c r="AI366" s="10" t="s">
        <v>3226</v>
      </c>
      <c r="AJ366" s="11"/>
      <c r="AK366" s="10" t="s">
        <v>3227</v>
      </c>
      <c r="AL366" s="11"/>
      <c r="AM366" s="11"/>
      <c r="AN366" s="11"/>
      <c r="AO366" s="11"/>
      <c r="AP366" s="11"/>
      <c r="AQ366" s="11"/>
      <c r="AR366" s="10" t="s">
        <v>626</v>
      </c>
      <c r="AS366" s="10" t="s">
        <v>66</v>
      </c>
      <c r="AT366" s="10" t="s">
        <v>53</v>
      </c>
    </row>
    <row r="367" spans="1:46" ht="20" hidden="1" customHeight="1" x14ac:dyDescent="0.15">
      <c r="A367" s="8" t="s">
        <v>3228</v>
      </c>
      <c r="B367" s="9" t="s">
        <v>3229</v>
      </c>
      <c r="C367" s="10" t="s">
        <v>3230</v>
      </c>
      <c r="D367" s="10" t="s">
        <v>3231</v>
      </c>
      <c r="E367" s="10" t="s">
        <v>51</v>
      </c>
      <c r="F367" s="10" t="s">
        <v>616</v>
      </c>
      <c r="G367" s="11"/>
      <c r="H367" s="10" t="s">
        <v>3232</v>
      </c>
      <c r="I367" s="10" t="s">
        <v>53</v>
      </c>
      <c r="J367" s="10" t="s">
        <v>54</v>
      </c>
      <c r="K367" s="11"/>
      <c r="L367" s="10" t="s">
        <v>3233</v>
      </c>
      <c r="M367" s="11"/>
      <c r="N367" s="10" t="s">
        <v>461</v>
      </c>
      <c r="O367" s="11"/>
      <c r="P367" s="11"/>
      <c r="Q367" s="10" t="s">
        <v>1300</v>
      </c>
      <c r="R367" s="11"/>
      <c r="S367" s="10" t="s">
        <v>620</v>
      </c>
      <c r="T367" s="10" t="s">
        <v>621</v>
      </c>
      <c r="U367" s="10" t="s">
        <v>622</v>
      </c>
      <c r="V367" s="11"/>
      <c r="W367" s="10" t="s">
        <v>1693</v>
      </c>
      <c r="X367" s="10" t="s">
        <v>80</v>
      </c>
      <c r="Y367" s="10" t="s">
        <v>61</v>
      </c>
      <c r="Z367" s="10" t="s">
        <v>3234</v>
      </c>
      <c r="AA367" s="10" t="s">
        <v>3235</v>
      </c>
      <c r="AB367" s="11"/>
      <c r="AC367" s="11"/>
      <c r="AD367" s="10" t="s">
        <v>3236</v>
      </c>
      <c r="AE367" s="10" t="s">
        <v>3237</v>
      </c>
      <c r="AF367" s="12">
        <v>521600</v>
      </c>
      <c r="AG367" s="11"/>
      <c r="AH367" s="10" t="s">
        <v>3238</v>
      </c>
      <c r="AI367" s="10" t="s">
        <v>1274</v>
      </c>
      <c r="AJ367" s="11"/>
      <c r="AK367" s="10" t="s">
        <v>3239</v>
      </c>
      <c r="AL367" s="10" t="s">
        <v>3229</v>
      </c>
      <c r="AM367" s="11"/>
      <c r="AN367" s="11"/>
      <c r="AO367" s="11"/>
      <c r="AP367" s="11"/>
      <c r="AQ367" s="11"/>
      <c r="AR367" s="10" t="s">
        <v>649</v>
      </c>
      <c r="AS367" s="10" t="s">
        <v>66</v>
      </c>
      <c r="AT367" s="10" t="s">
        <v>53</v>
      </c>
    </row>
    <row r="368" spans="1:46" ht="20" hidden="1" customHeight="1" x14ac:dyDescent="0.15">
      <c r="A368" s="8" t="s">
        <v>3240</v>
      </c>
      <c r="B368" s="9" t="s">
        <v>3241</v>
      </c>
      <c r="C368" s="10" t="s">
        <v>3242</v>
      </c>
      <c r="D368" s="10" t="s">
        <v>3243</v>
      </c>
      <c r="E368" s="10" t="s">
        <v>51</v>
      </c>
      <c r="F368" s="10" t="s">
        <v>616</v>
      </c>
      <c r="G368" s="11"/>
      <c r="H368" s="10" t="s">
        <v>2122</v>
      </c>
      <c r="I368" s="10" t="s">
        <v>53</v>
      </c>
      <c r="J368" s="10" t="s">
        <v>54</v>
      </c>
      <c r="K368" s="11"/>
      <c r="L368" s="10" t="s">
        <v>618</v>
      </c>
      <c r="M368" s="11"/>
      <c r="N368" s="10" t="s">
        <v>461</v>
      </c>
      <c r="O368" s="11"/>
      <c r="P368" s="11"/>
      <c r="Q368" s="10" t="s">
        <v>75</v>
      </c>
      <c r="R368" s="11"/>
      <c r="S368" s="10" t="s">
        <v>620</v>
      </c>
      <c r="T368" s="10" t="s">
        <v>621</v>
      </c>
      <c r="U368" s="10" t="s">
        <v>622</v>
      </c>
      <c r="V368" s="11"/>
      <c r="W368" s="10" t="s">
        <v>623</v>
      </c>
      <c r="X368" s="10" t="s">
        <v>80</v>
      </c>
      <c r="Y368" s="10" t="s">
        <v>80</v>
      </c>
      <c r="Z368" s="10" t="s">
        <v>3244</v>
      </c>
      <c r="AA368" s="10" t="s">
        <v>3245</v>
      </c>
      <c r="AB368" s="11"/>
      <c r="AC368" s="11"/>
      <c r="AD368" s="11"/>
      <c r="AE368" s="10" t="s">
        <v>3225</v>
      </c>
      <c r="AF368" s="12">
        <v>1500</v>
      </c>
      <c r="AG368" s="11"/>
      <c r="AH368" s="10" t="s">
        <v>2554</v>
      </c>
      <c r="AI368" s="10" t="s">
        <v>3246</v>
      </c>
      <c r="AJ368" s="11"/>
      <c r="AK368" s="10" t="s">
        <v>3247</v>
      </c>
      <c r="AL368" s="11"/>
      <c r="AM368" s="11"/>
      <c r="AN368" s="11"/>
      <c r="AO368" s="11"/>
      <c r="AP368" s="11"/>
      <c r="AQ368" s="11"/>
      <c r="AR368" s="10" t="s">
        <v>626</v>
      </c>
      <c r="AS368" s="10" t="s">
        <v>66</v>
      </c>
      <c r="AT368" s="10" t="s">
        <v>53</v>
      </c>
    </row>
    <row r="369" spans="1:46" ht="20" hidden="1" customHeight="1" x14ac:dyDescent="0.15">
      <c r="A369" s="8" t="s">
        <v>3248</v>
      </c>
      <c r="B369" s="9" t="s">
        <v>3249</v>
      </c>
      <c r="C369" s="10" t="s">
        <v>3250</v>
      </c>
      <c r="D369" s="10" t="s">
        <v>3251</v>
      </c>
      <c r="E369" s="10" t="s">
        <v>51</v>
      </c>
      <c r="F369" s="10" t="s">
        <v>3176</v>
      </c>
      <c r="G369" s="11"/>
      <c r="H369" s="10" t="s">
        <v>91</v>
      </c>
      <c r="I369" s="10" t="s">
        <v>53</v>
      </c>
      <c r="J369" s="10" t="s">
        <v>54</v>
      </c>
      <c r="K369" s="11"/>
      <c r="L369" s="10" t="s">
        <v>3252</v>
      </c>
      <c r="M369" s="11"/>
      <c r="N369" s="11"/>
      <c r="O369" s="11"/>
      <c r="P369" s="11"/>
      <c r="Q369" s="10" t="s">
        <v>94</v>
      </c>
      <c r="R369" s="11"/>
      <c r="S369" s="10" t="s">
        <v>3253</v>
      </c>
      <c r="T369" s="10" t="s">
        <v>3254</v>
      </c>
      <c r="U369" s="10" t="s">
        <v>3255</v>
      </c>
      <c r="V369" s="11"/>
      <c r="W369" s="10" t="s">
        <v>3256</v>
      </c>
      <c r="X369" s="10" t="s">
        <v>80</v>
      </c>
      <c r="Y369" s="10" t="s">
        <v>80</v>
      </c>
      <c r="Z369" s="10" t="s">
        <v>3257</v>
      </c>
      <c r="AA369" s="10" t="s">
        <v>3258</v>
      </c>
      <c r="AB369" s="11"/>
      <c r="AC369" s="11"/>
      <c r="AD369" s="11"/>
      <c r="AE369" s="10" t="s">
        <v>3259</v>
      </c>
      <c r="AF369" s="12">
        <v>145253</v>
      </c>
      <c r="AG369" s="11"/>
      <c r="AH369" s="10" t="s">
        <v>1526</v>
      </c>
      <c r="AI369" s="10" t="s">
        <v>3260</v>
      </c>
      <c r="AJ369" s="11"/>
      <c r="AK369" s="11"/>
      <c r="AL369" s="11"/>
      <c r="AM369" s="11"/>
      <c r="AN369" s="11"/>
      <c r="AO369" s="11"/>
      <c r="AP369" s="11"/>
      <c r="AQ369" s="11"/>
      <c r="AR369" s="10" t="s">
        <v>1001</v>
      </c>
      <c r="AS369" s="10" t="s">
        <v>66</v>
      </c>
      <c r="AT369" s="10" t="s">
        <v>53</v>
      </c>
    </row>
    <row r="370" spans="1:46" ht="20" hidden="1" customHeight="1" x14ac:dyDescent="0.15">
      <c r="A370" s="8" t="s">
        <v>3261</v>
      </c>
      <c r="B370" s="9" t="s">
        <v>3262</v>
      </c>
      <c r="C370" s="10" t="s">
        <v>599</v>
      </c>
      <c r="D370" s="10" t="s">
        <v>3263</v>
      </c>
      <c r="E370" s="10" t="s">
        <v>51</v>
      </c>
      <c r="F370" s="10" t="s">
        <v>3176</v>
      </c>
      <c r="G370" s="11"/>
      <c r="H370" s="10" t="s">
        <v>91</v>
      </c>
      <c r="I370" s="10" t="s">
        <v>53</v>
      </c>
      <c r="J370" s="10" t="s">
        <v>54</v>
      </c>
      <c r="K370" s="11"/>
      <c r="L370" s="10" t="s">
        <v>3264</v>
      </c>
      <c r="M370" s="11"/>
      <c r="N370" s="11"/>
      <c r="O370" s="11"/>
      <c r="P370" s="11"/>
      <c r="Q370" s="10" t="s">
        <v>135</v>
      </c>
      <c r="R370" s="11"/>
      <c r="S370" s="10" t="s">
        <v>3253</v>
      </c>
      <c r="T370" s="10" t="s">
        <v>3254</v>
      </c>
      <c r="U370" s="10" t="s">
        <v>3255</v>
      </c>
      <c r="V370" s="11"/>
      <c r="W370" s="10" t="s">
        <v>3256</v>
      </c>
      <c r="X370" s="10" t="s">
        <v>80</v>
      </c>
      <c r="Y370" s="10" t="s">
        <v>80</v>
      </c>
      <c r="Z370" s="10" t="s">
        <v>3265</v>
      </c>
      <c r="AA370" s="10" t="s">
        <v>3266</v>
      </c>
      <c r="AB370" s="11"/>
      <c r="AC370" s="11"/>
      <c r="AD370" s="11"/>
      <c r="AE370" s="10" t="s">
        <v>3267</v>
      </c>
      <c r="AF370" s="12">
        <v>2380000</v>
      </c>
      <c r="AG370" s="11"/>
      <c r="AH370" s="10" t="s">
        <v>508</v>
      </c>
      <c r="AI370" s="10" t="s">
        <v>3260</v>
      </c>
      <c r="AJ370" s="11"/>
      <c r="AK370" s="11"/>
      <c r="AL370" s="11"/>
      <c r="AM370" s="11"/>
      <c r="AN370" s="11"/>
      <c r="AO370" s="11"/>
      <c r="AP370" s="11"/>
      <c r="AQ370" s="11"/>
      <c r="AR370" s="10" t="s">
        <v>3268</v>
      </c>
      <c r="AS370" s="10" t="s">
        <v>66</v>
      </c>
      <c r="AT370" s="10" t="s">
        <v>53</v>
      </c>
    </row>
    <row r="371" spans="1:46" ht="20" hidden="1" customHeight="1" x14ac:dyDescent="0.15">
      <c r="A371" s="8" t="s">
        <v>3269</v>
      </c>
      <c r="B371" s="9" t="s">
        <v>3270</v>
      </c>
      <c r="C371" s="10" t="s">
        <v>997</v>
      </c>
      <c r="D371" s="10" t="s">
        <v>3271</v>
      </c>
      <c r="E371" s="10" t="s">
        <v>51</v>
      </c>
      <c r="F371" s="10" t="s">
        <v>3176</v>
      </c>
      <c r="G371" s="11"/>
      <c r="H371" s="10" t="s">
        <v>91</v>
      </c>
      <c r="I371" s="10" t="s">
        <v>53</v>
      </c>
      <c r="J371" s="10" t="s">
        <v>54</v>
      </c>
      <c r="K371" s="11"/>
      <c r="L371" s="10" t="s">
        <v>3272</v>
      </c>
      <c r="M371" s="11"/>
      <c r="N371" s="11"/>
      <c r="O371" s="11"/>
      <c r="P371" s="11"/>
      <c r="Q371" s="10" t="s">
        <v>603</v>
      </c>
      <c r="R371" s="11"/>
      <c r="S371" s="10" t="s">
        <v>3253</v>
      </c>
      <c r="T371" s="10" t="s">
        <v>3254</v>
      </c>
      <c r="U371" s="10" t="s">
        <v>3255</v>
      </c>
      <c r="V371" s="11"/>
      <c r="W371" s="10" t="s">
        <v>3256</v>
      </c>
      <c r="X371" s="10" t="s">
        <v>80</v>
      </c>
      <c r="Y371" s="10" t="s">
        <v>80</v>
      </c>
      <c r="Z371" s="10" t="s">
        <v>3273</v>
      </c>
      <c r="AA371" s="10" t="s">
        <v>3274</v>
      </c>
      <c r="AB371" s="11"/>
      <c r="AC371" s="11"/>
      <c r="AD371" s="11"/>
      <c r="AE371" s="10" t="s">
        <v>3275</v>
      </c>
      <c r="AF371" s="12">
        <v>95800</v>
      </c>
      <c r="AG371" s="11"/>
      <c r="AH371" s="10" t="s">
        <v>538</v>
      </c>
      <c r="AI371" s="10" t="s">
        <v>1190</v>
      </c>
      <c r="AJ371" s="11"/>
      <c r="AK371" s="11"/>
      <c r="AL371" s="11"/>
      <c r="AM371" s="11"/>
      <c r="AN371" s="11"/>
      <c r="AO371" s="11"/>
      <c r="AP371" s="11"/>
      <c r="AQ371" s="11"/>
      <c r="AR371" s="10" t="s">
        <v>3276</v>
      </c>
      <c r="AS371" s="10" t="s">
        <v>66</v>
      </c>
      <c r="AT371" s="10" t="s">
        <v>53</v>
      </c>
    </row>
    <row r="372" spans="1:46" ht="20" customHeight="1" x14ac:dyDescent="0.15">
      <c r="A372" s="8" t="s">
        <v>3277</v>
      </c>
      <c r="B372" s="9" t="s">
        <v>3278</v>
      </c>
      <c r="C372" s="10" t="s">
        <v>1672</v>
      </c>
      <c r="D372" s="10" t="s">
        <v>3279</v>
      </c>
      <c r="E372" s="10" t="s">
        <v>51</v>
      </c>
      <c r="F372" s="10" t="s">
        <v>3176</v>
      </c>
      <c r="G372" s="11"/>
      <c r="H372" s="10" t="s">
        <v>552</v>
      </c>
      <c r="I372" s="10" t="s">
        <v>53</v>
      </c>
      <c r="J372" s="10" t="s">
        <v>54</v>
      </c>
      <c r="K372" s="11"/>
      <c r="L372" s="10" t="s">
        <v>3280</v>
      </c>
      <c r="M372" s="11"/>
      <c r="N372" s="11"/>
      <c r="O372" s="11"/>
      <c r="P372" s="11"/>
      <c r="Q372" s="10" t="s">
        <v>603</v>
      </c>
      <c r="R372" s="11"/>
      <c r="S372" s="10" t="s">
        <v>3253</v>
      </c>
      <c r="T372" s="10" t="s">
        <v>3254</v>
      </c>
      <c r="U372" s="10" t="s">
        <v>3255</v>
      </c>
      <c r="V372" s="11"/>
      <c r="W372" s="10" t="s">
        <v>3256</v>
      </c>
      <c r="X372" s="10" t="s">
        <v>80</v>
      </c>
      <c r="Y372" s="10" t="s">
        <v>80</v>
      </c>
      <c r="Z372" s="10" t="s">
        <v>3281</v>
      </c>
      <c r="AA372" s="10" t="s">
        <v>3282</v>
      </c>
      <c r="AB372" s="11"/>
      <c r="AC372" s="11"/>
      <c r="AD372" s="11"/>
      <c r="AE372" s="10" t="s">
        <v>3283</v>
      </c>
      <c r="AF372" s="12">
        <v>450000</v>
      </c>
      <c r="AG372" s="11"/>
      <c r="AH372" s="10" t="s">
        <v>1677</v>
      </c>
      <c r="AI372" s="10" t="s">
        <v>3284</v>
      </c>
      <c r="AJ372" s="11"/>
      <c r="AK372" s="11"/>
      <c r="AL372" s="11"/>
      <c r="AM372" s="11"/>
      <c r="AN372" s="11"/>
      <c r="AO372" s="11"/>
      <c r="AP372" s="11"/>
      <c r="AQ372" s="11"/>
      <c r="AR372" s="10" t="s">
        <v>1678</v>
      </c>
      <c r="AS372" s="10" t="s">
        <v>66</v>
      </c>
      <c r="AT372" s="10" t="s">
        <v>53</v>
      </c>
    </row>
    <row r="373" spans="1:46" ht="20" customHeight="1" x14ac:dyDescent="0.15">
      <c r="A373" s="8" t="s">
        <v>3285</v>
      </c>
      <c r="B373" s="9" t="s">
        <v>3286</v>
      </c>
      <c r="C373" s="10" t="s">
        <v>3287</v>
      </c>
      <c r="D373" s="10" t="s">
        <v>3288</v>
      </c>
      <c r="E373" s="10" t="s">
        <v>51</v>
      </c>
      <c r="F373" s="10" t="s">
        <v>3176</v>
      </c>
      <c r="G373" s="11"/>
      <c r="H373" s="10" t="s">
        <v>1683</v>
      </c>
      <c r="I373" s="10" t="s">
        <v>53</v>
      </c>
      <c r="J373" s="10" t="s">
        <v>54</v>
      </c>
      <c r="K373" s="11"/>
      <c r="L373" s="10" t="s">
        <v>3289</v>
      </c>
      <c r="M373" s="11"/>
      <c r="N373" s="11"/>
      <c r="O373" s="11"/>
      <c r="P373" s="11"/>
      <c r="Q373" s="10" t="s">
        <v>603</v>
      </c>
      <c r="R373" s="11"/>
      <c r="S373" s="10" t="s">
        <v>3253</v>
      </c>
      <c r="T373" s="10" t="s">
        <v>3254</v>
      </c>
      <c r="U373" s="10" t="s">
        <v>3255</v>
      </c>
      <c r="V373" s="11"/>
      <c r="W373" s="10" t="s">
        <v>3256</v>
      </c>
      <c r="X373" s="10" t="s">
        <v>80</v>
      </c>
      <c r="Y373" s="10" t="s">
        <v>80</v>
      </c>
      <c r="Z373" s="10" t="s">
        <v>3290</v>
      </c>
      <c r="AA373" s="10" t="s">
        <v>3291</v>
      </c>
      <c r="AB373" s="11"/>
      <c r="AC373" s="11"/>
      <c r="AD373" s="11"/>
      <c r="AE373" s="10" t="s">
        <v>3292</v>
      </c>
      <c r="AF373" s="12">
        <v>62000</v>
      </c>
      <c r="AG373" s="11"/>
      <c r="AH373" s="11"/>
      <c r="AI373" s="10" t="s">
        <v>1319</v>
      </c>
      <c r="AJ373" s="11"/>
      <c r="AK373" s="11"/>
      <c r="AL373" s="11"/>
      <c r="AM373" s="11"/>
      <c r="AN373" s="11"/>
      <c r="AO373" s="11"/>
      <c r="AP373" s="11"/>
      <c r="AQ373" s="11"/>
      <c r="AR373" s="10" t="s">
        <v>3293</v>
      </c>
      <c r="AS373" s="10" t="s">
        <v>66</v>
      </c>
      <c r="AT373" s="10" t="s">
        <v>53</v>
      </c>
    </row>
    <row r="374" spans="1:46" ht="20" hidden="1" customHeight="1" x14ac:dyDescent="0.15">
      <c r="A374" s="8" t="s">
        <v>3294</v>
      </c>
      <c r="B374" s="9" t="s">
        <v>3295</v>
      </c>
      <c r="C374" s="10" t="s">
        <v>3296</v>
      </c>
      <c r="D374" s="10" t="s">
        <v>3297</v>
      </c>
      <c r="E374" s="10" t="s">
        <v>51</v>
      </c>
      <c r="F374" s="10" t="s">
        <v>3298</v>
      </c>
      <c r="G374" s="11"/>
      <c r="H374" s="10" t="s">
        <v>91</v>
      </c>
      <c r="I374" s="10" t="s">
        <v>53</v>
      </c>
      <c r="J374" s="10" t="s">
        <v>54</v>
      </c>
      <c r="K374" s="11"/>
      <c r="L374" s="10" t="s">
        <v>3299</v>
      </c>
      <c r="M374" s="11"/>
      <c r="N374" s="11"/>
      <c r="O374" s="11"/>
      <c r="P374" s="11"/>
      <c r="Q374" s="10" t="s">
        <v>361</v>
      </c>
      <c r="R374" s="11"/>
      <c r="S374" s="10" t="s">
        <v>3300</v>
      </c>
      <c r="T374" s="10" t="s">
        <v>3301</v>
      </c>
      <c r="U374" s="10" t="s">
        <v>3302</v>
      </c>
      <c r="V374" s="11"/>
      <c r="W374" s="10" t="s">
        <v>3303</v>
      </c>
      <c r="X374" s="10" t="s">
        <v>80</v>
      </c>
      <c r="Y374" s="10" t="s">
        <v>80</v>
      </c>
      <c r="Z374" s="10" t="s">
        <v>3304</v>
      </c>
      <c r="AA374" s="10" t="s">
        <v>3305</v>
      </c>
      <c r="AB374" s="11"/>
      <c r="AC374" s="11"/>
      <c r="AD374" s="11"/>
      <c r="AE374" s="10" t="s">
        <v>3306</v>
      </c>
      <c r="AF374" s="12">
        <v>80000</v>
      </c>
      <c r="AG374" s="11"/>
      <c r="AH374" s="10" t="s">
        <v>3307</v>
      </c>
      <c r="AI374" s="10" t="s">
        <v>3308</v>
      </c>
      <c r="AJ374" s="10" t="s">
        <v>3309</v>
      </c>
      <c r="AK374" s="10" t="s">
        <v>3310</v>
      </c>
      <c r="AL374" s="11"/>
      <c r="AM374" s="11"/>
      <c r="AN374" s="11"/>
      <c r="AO374" s="11"/>
      <c r="AP374" s="11"/>
      <c r="AQ374" s="11"/>
      <c r="AR374" s="10" t="s">
        <v>677</v>
      </c>
      <c r="AS374" s="10" t="s">
        <v>66</v>
      </c>
      <c r="AT374" s="10" t="s">
        <v>53</v>
      </c>
    </row>
    <row r="375" spans="1:46" ht="20" hidden="1" customHeight="1" x14ac:dyDescent="0.15">
      <c r="A375" s="8" t="s">
        <v>3311</v>
      </c>
      <c r="B375" s="9" t="s">
        <v>3312</v>
      </c>
      <c r="C375" s="10" t="s">
        <v>3313</v>
      </c>
      <c r="D375" s="10" t="s">
        <v>3314</v>
      </c>
      <c r="E375" s="10" t="s">
        <v>51</v>
      </c>
      <c r="F375" s="10" t="s">
        <v>3298</v>
      </c>
      <c r="G375" s="11"/>
      <c r="H375" s="10" t="s">
        <v>91</v>
      </c>
      <c r="I375" s="10" t="s">
        <v>53</v>
      </c>
      <c r="J375" s="10" t="s">
        <v>54</v>
      </c>
      <c r="K375" s="11"/>
      <c r="L375" s="10" t="s">
        <v>3299</v>
      </c>
      <c r="M375" s="11"/>
      <c r="N375" s="11"/>
      <c r="O375" s="11"/>
      <c r="P375" s="11"/>
      <c r="Q375" s="10" t="s">
        <v>361</v>
      </c>
      <c r="R375" s="11"/>
      <c r="S375" s="10" t="s">
        <v>3300</v>
      </c>
      <c r="T375" s="10" t="s">
        <v>3301</v>
      </c>
      <c r="U375" s="10" t="s">
        <v>3302</v>
      </c>
      <c r="V375" s="11"/>
      <c r="W375" s="10" t="s">
        <v>3303</v>
      </c>
      <c r="X375" s="10" t="s">
        <v>80</v>
      </c>
      <c r="Y375" s="10" t="s">
        <v>80</v>
      </c>
      <c r="Z375" s="10" t="s">
        <v>3315</v>
      </c>
      <c r="AA375" s="10" t="s">
        <v>3316</v>
      </c>
      <c r="AB375" s="11"/>
      <c r="AC375" s="11"/>
      <c r="AD375" s="11"/>
      <c r="AE375" s="10" t="s">
        <v>3306</v>
      </c>
      <c r="AF375" s="12">
        <v>5000</v>
      </c>
      <c r="AG375" s="11"/>
      <c r="AH375" s="10" t="s">
        <v>3317</v>
      </c>
      <c r="AI375" s="10" t="s">
        <v>1190</v>
      </c>
      <c r="AJ375" s="10" t="s">
        <v>3318</v>
      </c>
      <c r="AK375" s="10" t="s">
        <v>3319</v>
      </c>
      <c r="AL375" s="11"/>
      <c r="AM375" s="11"/>
      <c r="AN375" s="11"/>
      <c r="AO375" s="11"/>
      <c r="AP375" s="11"/>
      <c r="AQ375" s="11"/>
      <c r="AR375" s="10" t="s">
        <v>3320</v>
      </c>
      <c r="AS375" s="10" t="s">
        <v>66</v>
      </c>
      <c r="AT375" s="10" t="s">
        <v>53</v>
      </c>
    </row>
    <row r="376" spans="1:46" ht="20" hidden="1" customHeight="1" x14ac:dyDescent="0.15">
      <c r="A376" s="8" t="s">
        <v>3321</v>
      </c>
      <c r="B376" s="9" t="s">
        <v>3322</v>
      </c>
      <c r="C376" s="10" t="s">
        <v>3323</v>
      </c>
      <c r="D376" s="10" t="s">
        <v>3324</v>
      </c>
      <c r="E376" s="10" t="s">
        <v>51</v>
      </c>
      <c r="F376" s="10" t="s">
        <v>3298</v>
      </c>
      <c r="G376" s="11"/>
      <c r="H376" s="10" t="s">
        <v>91</v>
      </c>
      <c r="I376" s="10" t="s">
        <v>53</v>
      </c>
      <c r="J376" s="10" t="s">
        <v>54</v>
      </c>
      <c r="K376" s="11"/>
      <c r="L376" s="10" t="s">
        <v>3299</v>
      </c>
      <c r="M376" s="11"/>
      <c r="N376" s="11"/>
      <c r="O376" s="11"/>
      <c r="P376" s="11"/>
      <c r="Q376" s="10" t="s">
        <v>361</v>
      </c>
      <c r="R376" s="11"/>
      <c r="S376" s="10" t="s">
        <v>3300</v>
      </c>
      <c r="T376" s="10" t="s">
        <v>3301</v>
      </c>
      <c r="U376" s="10" t="s">
        <v>3302</v>
      </c>
      <c r="V376" s="11"/>
      <c r="W376" s="10" t="s">
        <v>3303</v>
      </c>
      <c r="X376" s="10" t="s">
        <v>80</v>
      </c>
      <c r="Y376" s="10" t="s">
        <v>80</v>
      </c>
      <c r="Z376" s="10" t="s">
        <v>3325</v>
      </c>
      <c r="AA376" s="10" t="s">
        <v>3326</v>
      </c>
      <c r="AB376" s="11"/>
      <c r="AC376" s="11"/>
      <c r="AD376" s="11"/>
      <c r="AE376" s="10" t="s">
        <v>3306</v>
      </c>
      <c r="AF376" s="12">
        <v>3899</v>
      </c>
      <c r="AG376" s="11"/>
      <c r="AH376" s="10" t="s">
        <v>3327</v>
      </c>
      <c r="AI376" s="10" t="s">
        <v>3328</v>
      </c>
      <c r="AJ376" s="10" t="s">
        <v>3329</v>
      </c>
      <c r="AK376" s="10" t="s">
        <v>3330</v>
      </c>
      <c r="AL376" s="11"/>
      <c r="AM376" s="11"/>
      <c r="AN376" s="11"/>
      <c r="AO376" s="11"/>
      <c r="AP376" s="11"/>
      <c r="AQ376" s="11"/>
      <c r="AR376" s="10" t="s">
        <v>3331</v>
      </c>
      <c r="AS376" s="10" t="s">
        <v>66</v>
      </c>
      <c r="AT376" s="10" t="s">
        <v>53</v>
      </c>
    </row>
    <row r="377" spans="1:46" ht="20" customHeight="1" x14ac:dyDescent="0.15">
      <c r="A377" s="8" t="s">
        <v>3332</v>
      </c>
      <c r="B377" s="9" t="s">
        <v>3333</v>
      </c>
      <c r="C377" s="10" t="s">
        <v>3334</v>
      </c>
      <c r="D377" s="10" t="s">
        <v>3335</v>
      </c>
      <c r="E377" s="10" t="s">
        <v>51</v>
      </c>
      <c r="F377" s="10" t="s">
        <v>3298</v>
      </c>
      <c r="G377" s="11"/>
      <c r="H377" s="10" t="s">
        <v>3336</v>
      </c>
      <c r="I377" s="10" t="s">
        <v>53</v>
      </c>
      <c r="J377" s="10" t="s">
        <v>54</v>
      </c>
      <c r="K377" s="11"/>
      <c r="L377" s="10" t="s">
        <v>3337</v>
      </c>
      <c r="M377" s="11"/>
      <c r="N377" s="11"/>
      <c r="O377" s="11"/>
      <c r="P377" s="11"/>
      <c r="Q377" s="10" t="s">
        <v>361</v>
      </c>
      <c r="R377" s="11"/>
      <c r="S377" s="10" t="s">
        <v>3300</v>
      </c>
      <c r="T377" s="10" t="s">
        <v>3301</v>
      </c>
      <c r="U377" s="10" t="s">
        <v>3302</v>
      </c>
      <c r="V377" s="11"/>
      <c r="W377" s="10" t="s">
        <v>3303</v>
      </c>
      <c r="X377" s="10" t="s">
        <v>80</v>
      </c>
      <c r="Y377" s="10" t="s">
        <v>80</v>
      </c>
      <c r="Z377" s="10" t="s">
        <v>3338</v>
      </c>
      <c r="AA377" s="10" t="s">
        <v>3339</v>
      </c>
      <c r="AB377" s="11"/>
      <c r="AC377" s="11"/>
      <c r="AD377" s="11"/>
      <c r="AE377" s="10" t="s">
        <v>3340</v>
      </c>
      <c r="AF377" s="12">
        <v>2350</v>
      </c>
      <c r="AG377" s="11"/>
      <c r="AH377" s="10" t="s">
        <v>3341</v>
      </c>
      <c r="AI377" s="10" t="s">
        <v>3342</v>
      </c>
      <c r="AJ377" s="10" t="s">
        <v>3343</v>
      </c>
      <c r="AK377" s="10" t="s">
        <v>3344</v>
      </c>
      <c r="AL377" s="11"/>
      <c r="AM377" s="11"/>
      <c r="AN377" s="11"/>
      <c r="AO377" s="11"/>
      <c r="AP377" s="11"/>
      <c r="AQ377" s="11"/>
      <c r="AR377" s="10" t="s">
        <v>2606</v>
      </c>
      <c r="AS377" s="10" t="s">
        <v>66</v>
      </c>
      <c r="AT377" s="10" t="s">
        <v>53</v>
      </c>
    </row>
    <row r="378" spans="1:46" ht="20" customHeight="1" x14ac:dyDescent="0.15">
      <c r="A378" s="8" t="s">
        <v>3345</v>
      </c>
      <c r="B378" s="9" t="s">
        <v>3346</v>
      </c>
      <c r="C378" s="10" t="s">
        <v>3347</v>
      </c>
      <c r="D378" s="10" t="s">
        <v>3348</v>
      </c>
      <c r="E378" s="10" t="s">
        <v>51</v>
      </c>
      <c r="F378" s="10" t="s">
        <v>3298</v>
      </c>
      <c r="G378" s="11"/>
      <c r="H378" s="10" t="s">
        <v>561</v>
      </c>
      <c r="I378" s="10" t="s">
        <v>53</v>
      </c>
      <c r="J378" s="10" t="s">
        <v>54</v>
      </c>
      <c r="K378" s="11"/>
      <c r="L378" s="10" t="s">
        <v>3337</v>
      </c>
      <c r="M378" s="11"/>
      <c r="N378" s="11"/>
      <c r="O378" s="11"/>
      <c r="P378" s="11"/>
      <c r="Q378" s="10" t="s">
        <v>361</v>
      </c>
      <c r="R378" s="11"/>
      <c r="S378" s="10" t="s">
        <v>3300</v>
      </c>
      <c r="T378" s="10" t="s">
        <v>3301</v>
      </c>
      <c r="U378" s="10" t="s">
        <v>3302</v>
      </c>
      <c r="V378" s="11"/>
      <c r="W378" s="10" t="s">
        <v>3303</v>
      </c>
      <c r="X378" s="10" t="s">
        <v>80</v>
      </c>
      <c r="Y378" s="10" t="s">
        <v>80</v>
      </c>
      <c r="Z378" s="10" t="s">
        <v>3349</v>
      </c>
      <c r="AA378" s="10" t="s">
        <v>3350</v>
      </c>
      <c r="AB378" s="11"/>
      <c r="AC378" s="11"/>
      <c r="AD378" s="11"/>
      <c r="AE378" s="10" t="s">
        <v>3340</v>
      </c>
      <c r="AF378" s="11"/>
      <c r="AG378" s="11"/>
      <c r="AH378" s="10" t="s">
        <v>3341</v>
      </c>
      <c r="AI378" s="10" t="s">
        <v>1335</v>
      </c>
      <c r="AJ378" s="10" t="s">
        <v>3343</v>
      </c>
      <c r="AK378" s="10" t="s">
        <v>3351</v>
      </c>
      <c r="AL378" s="11"/>
      <c r="AM378" s="11"/>
      <c r="AN378" s="11"/>
      <c r="AO378" s="11"/>
      <c r="AP378" s="11"/>
      <c r="AQ378" s="11"/>
      <c r="AR378" s="10" t="s">
        <v>556</v>
      </c>
      <c r="AS378" s="10" t="s">
        <v>66</v>
      </c>
      <c r="AT378" s="10" t="s">
        <v>53</v>
      </c>
    </row>
    <row r="379" spans="1:46" ht="20" hidden="1" customHeight="1" x14ac:dyDescent="0.15">
      <c r="A379" s="8" t="s">
        <v>3352</v>
      </c>
      <c r="B379" s="9" t="s">
        <v>3353</v>
      </c>
      <c r="C379" s="10" t="s">
        <v>3354</v>
      </c>
      <c r="D379" s="10" t="s">
        <v>3355</v>
      </c>
      <c r="E379" s="10" t="s">
        <v>51</v>
      </c>
      <c r="F379" s="10" t="s">
        <v>3356</v>
      </c>
      <c r="G379" s="11"/>
      <c r="H379" s="10" t="s">
        <v>91</v>
      </c>
      <c r="I379" s="10" t="s">
        <v>53</v>
      </c>
      <c r="J379" s="10" t="s">
        <v>54</v>
      </c>
      <c r="K379" s="11"/>
      <c r="L379" s="10" t="s">
        <v>3357</v>
      </c>
      <c r="M379" s="11"/>
      <c r="N379" s="11"/>
      <c r="O379" s="11"/>
      <c r="P379" s="11"/>
      <c r="Q379" s="10" t="s">
        <v>135</v>
      </c>
      <c r="R379" s="11"/>
      <c r="S379" s="10" t="s">
        <v>3358</v>
      </c>
      <c r="T379" s="10" t="s">
        <v>3359</v>
      </c>
      <c r="U379" s="10" t="s">
        <v>3360</v>
      </c>
      <c r="V379" s="11"/>
      <c r="W379" s="10" t="s">
        <v>3361</v>
      </c>
      <c r="X379" s="10" t="s">
        <v>80</v>
      </c>
      <c r="Y379" s="10" t="s">
        <v>80</v>
      </c>
      <c r="Z379" s="10" t="s">
        <v>3362</v>
      </c>
      <c r="AA379" s="10" t="s">
        <v>3363</v>
      </c>
      <c r="AB379" s="11"/>
      <c r="AC379" s="11"/>
      <c r="AD379" s="11"/>
      <c r="AE379" s="10" t="s">
        <v>3364</v>
      </c>
      <c r="AF379" s="12">
        <v>1200</v>
      </c>
      <c r="AG379" s="11"/>
      <c r="AH379" s="10" t="s">
        <v>3341</v>
      </c>
      <c r="AI379" s="10" t="s">
        <v>3365</v>
      </c>
      <c r="AJ379" s="10" t="s">
        <v>3343</v>
      </c>
      <c r="AK379" s="10" t="s">
        <v>3366</v>
      </c>
      <c r="AL379" s="11"/>
      <c r="AM379" s="11"/>
      <c r="AN379" s="11"/>
      <c r="AO379" s="11"/>
      <c r="AP379" s="11"/>
      <c r="AQ379" s="11"/>
      <c r="AR379" s="10" t="s">
        <v>3367</v>
      </c>
      <c r="AS379" s="10" t="s">
        <v>66</v>
      </c>
      <c r="AT379" s="10" t="s">
        <v>53</v>
      </c>
    </row>
    <row r="380" spans="1:46" ht="20" hidden="1" customHeight="1" x14ac:dyDescent="0.15">
      <c r="A380" s="8" t="s">
        <v>3368</v>
      </c>
      <c r="B380" s="9" t="s">
        <v>3369</v>
      </c>
      <c r="C380" s="10" t="s">
        <v>3370</v>
      </c>
      <c r="D380" s="10" t="s">
        <v>3371</v>
      </c>
      <c r="E380" s="10" t="s">
        <v>51</v>
      </c>
      <c r="F380" s="10" t="s">
        <v>3356</v>
      </c>
      <c r="G380" s="11"/>
      <c r="H380" s="10" t="s">
        <v>3372</v>
      </c>
      <c r="I380" s="10" t="s">
        <v>53</v>
      </c>
      <c r="J380" s="10" t="s">
        <v>54</v>
      </c>
      <c r="K380" s="11"/>
      <c r="L380" s="10" t="s">
        <v>3357</v>
      </c>
      <c r="M380" s="11"/>
      <c r="N380" s="11"/>
      <c r="O380" s="11"/>
      <c r="P380" s="11"/>
      <c r="Q380" s="10" t="s">
        <v>1958</v>
      </c>
      <c r="R380" s="11"/>
      <c r="S380" s="10" t="s">
        <v>3358</v>
      </c>
      <c r="T380" s="10" t="s">
        <v>3359</v>
      </c>
      <c r="U380" s="10" t="s">
        <v>3360</v>
      </c>
      <c r="V380" s="11"/>
      <c r="W380" s="10" t="s">
        <v>3361</v>
      </c>
      <c r="X380" s="10" t="s">
        <v>80</v>
      </c>
      <c r="Y380" s="10" t="s">
        <v>80</v>
      </c>
      <c r="Z380" s="10" t="s">
        <v>3373</v>
      </c>
      <c r="AA380" s="10" t="s">
        <v>3374</v>
      </c>
      <c r="AB380" s="11"/>
      <c r="AC380" s="11"/>
      <c r="AD380" s="11"/>
      <c r="AE380" s="10" t="s">
        <v>3364</v>
      </c>
      <c r="AF380" s="12">
        <v>27000</v>
      </c>
      <c r="AG380" s="11"/>
      <c r="AH380" s="10" t="s">
        <v>433</v>
      </c>
      <c r="AI380" s="10" t="s">
        <v>3375</v>
      </c>
      <c r="AJ380" s="10" t="s">
        <v>3376</v>
      </c>
      <c r="AK380" s="10" t="s">
        <v>3377</v>
      </c>
      <c r="AL380" s="11"/>
      <c r="AM380" s="11"/>
      <c r="AN380" s="11"/>
      <c r="AO380" s="11"/>
      <c r="AP380" s="11"/>
      <c r="AQ380" s="11"/>
      <c r="AR380" s="10" t="s">
        <v>3378</v>
      </c>
      <c r="AS380" s="10" t="s">
        <v>66</v>
      </c>
      <c r="AT380" s="10" t="s">
        <v>53</v>
      </c>
    </row>
    <row r="381" spans="1:46" ht="20" hidden="1" customHeight="1" x14ac:dyDescent="0.15">
      <c r="A381" s="8" t="s">
        <v>3379</v>
      </c>
      <c r="B381" s="9" t="s">
        <v>3380</v>
      </c>
      <c r="C381" s="10" t="s">
        <v>302</v>
      </c>
      <c r="D381" s="10" t="s">
        <v>3381</v>
      </c>
      <c r="E381" s="10" t="s">
        <v>51</v>
      </c>
      <c r="F381" s="10" t="s">
        <v>3356</v>
      </c>
      <c r="G381" s="11"/>
      <c r="H381" s="10" t="s">
        <v>91</v>
      </c>
      <c r="I381" s="10" t="s">
        <v>53</v>
      </c>
      <c r="J381" s="10" t="s">
        <v>54</v>
      </c>
      <c r="K381" s="11"/>
      <c r="L381" s="10" t="s">
        <v>3357</v>
      </c>
      <c r="M381" s="11"/>
      <c r="N381" s="11"/>
      <c r="O381" s="11"/>
      <c r="P381" s="11"/>
      <c r="Q381" s="10" t="s">
        <v>107</v>
      </c>
      <c r="R381" s="11"/>
      <c r="S381" s="10" t="s">
        <v>3358</v>
      </c>
      <c r="T381" s="10" t="s">
        <v>3359</v>
      </c>
      <c r="U381" s="10" t="s">
        <v>3360</v>
      </c>
      <c r="V381" s="11"/>
      <c r="W381" s="10" t="s">
        <v>3361</v>
      </c>
      <c r="X381" s="10" t="s">
        <v>80</v>
      </c>
      <c r="Y381" s="10" t="s">
        <v>80</v>
      </c>
      <c r="Z381" s="10" t="s">
        <v>3382</v>
      </c>
      <c r="AA381" s="10" t="s">
        <v>3383</v>
      </c>
      <c r="AB381" s="11"/>
      <c r="AC381" s="11"/>
      <c r="AD381" s="11"/>
      <c r="AE381" s="10" t="s">
        <v>3364</v>
      </c>
      <c r="AF381" s="12">
        <v>45000</v>
      </c>
      <c r="AG381" s="11"/>
      <c r="AH381" s="10" t="s">
        <v>3384</v>
      </c>
      <c r="AI381" s="10" t="s">
        <v>1274</v>
      </c>
      <c r="AJ381" s="10" t="s">
        <v>3385</v>
      </c>
      <c r="AK381" s="10" t="s">
        <v>3386</v>
      </c>
      <c r="AL381" s="11"/>
      <c r="AM381" s="11"/>
      <c r="AN381" s="11"/>
      <c r="AO381" s="11"/>
      <c r="AP381" s="11"/>
      <c r="AQ381" s="11"/>
      <c r="AR381" s="10" t="s">
        <v>3387</v>
      </c>
      <c r="AS381" s="10" t="s">
        <v>66</v>
      </c>
      <c r="AT381" s="10" t="s">
        <v>53</v>
      </c>
    </row>
    <row r="382" spans="1:46" ht="20" hidden="1" customHeight="1" x14ac:dyDescent="0.15">
      <c r="A382" s="8" t="s">
        <v>3388</v>
      </c>
      <c r="B382" s="9" t="s">
        <v>3389</v>
      </c>
      <c r="C382" s="10" t="s">
        <v>3390</v>
      </c>
      <c r="D382" s="10" t="s">
        <v>3391</v>
      </c>
      <c r="E382" s="10" t="s">
        <v>51</v>
      </c>
      <c r="F382" s="10" t="s">
        <v>3356</v>
      </c>
      <c r="G382" s="11"/>
      <c r="H382" s="10" t="s">
        <v>91</v>
      </c>
      <c r="I382" s="10" t="s">
        <v>53</v>
      </c>
      <c r="J382" s="10" t="s">
        <v>54</v>
      </c>
      <c r="K382" s="11"/>
      <c r="L382" s="10" t="s">
        <v>3357</v>
      </c>
      <c r="M382" s="11"/>
      <c r="N382" s="11"/>
      <c r="O382" s="11"/>
      <c r="P382" s="11"/>
      <c r="Q382" s="10" t="s">
        <v>361</v>
      </c>
      <c r="R382" s="11"/>
      <c r="S382" s="10" t="s">
        <v>3358</v>
      </c>
      <c r="T382" s="10" t="s">
        <v>3359</v>
      </c>
      <c r="U382" s="10" t="s">
        <v>3360</v>
      </c>
      <c r="V382" s="11"/>
      <c r="W382" s="10" t="s">
        <v>3361</v>
      </c>
      <c r="X382" s="10" t="s">
        <v>80</v>
      </c>
      <c r="Y382" s="10" t="s">
        <v>80</v>
      </c>
      <c r="Z382" s="10" t="s">
        <v>3392</v>
      </c>
      <c r="AA382" s="10" t="s">
        <v>3393</v>
      </c>
      <c r="AB382" s="11"/>
      <c r="AC382" s="11"/>
      <c r="AD382" s="11"/>
      <c r="AE382" s="10" t="s">
        <v>3364</v>
      </c>
      <c r="AF382" s="12">
        <v>4000</v>
      </c>
      <c r="AG382" s="11"/>
      <c r="AH382" s="10" t="s">
        <v>3394</v>
      </c>
      <c r="AI382" s="10" t="s">
        <v>1274</v>
      </c>
      <c r="AJ382" s="10" t="s">
        <v>3395</v>
      </c>
      <c r="AK382" s="10" t="s">
        <v>3396</v>
      </c>
      <c r="AL382" s="11"/>
      <c r="AM382" s="11"/>
      <c r="AN382" s="11"/>
      <c r="AO382" s="11"/>
      <c r="AP382" s="11"/>
      <c r="AQ382" s="11"/>
      <c r="AR382" s="10" t="s">
        <v>3397</v>
      </c>
      <c r="AS382" s="10" t="s">
        <v>66</v>
      </c>
      <c r="AT382" s="10" t="s">
        <v>53</v>
      </c>
    </row>
    <row r="383" spans="1:46" ht="20" hidden="1" customHeight="1" x14ac:dyDescent="0.15">
      <c r="A383" s="8" t="s">
        <v>3398</v>
      </c>
      <c r="B383" s="9" t="s">
        <v>3399</v>
      </c>
      <c r="C383" s="10" t="s">
        <v>3400</v>
      </c>
      <c r="D383" s="10" t="s">
        <v>3401</v>
      </c>
      <c r="E383" s="10" t="s">
        <v>51</v>
      </c>
      <c r="F383" s="10" t="s">
        <v>3356</v>
      </c>
      <c r="G383" s="11"/>
      <c r="H383" s="10" t="s">
        <v>3402</v>
      </c>
      <c r="I383" s="10" t="s">
        <v>53</v>
      </c>
      <c r="J383" s="10" t="s">
        <v>54</v>
      </c>
      <c r="K383" s="11"/>
      <c r="L383" s="10" t="s">
        <v>3357</v>
      </c>
      <c r="M383" s="11"/>
      <c r="N383" s="11"/>
      <c r="O383" s="11"/>
      <c r="P383" s="11"/>
      <c r="Q383" s="10" t="s">
        <v>3403</v>
      </c>
      <c r="R383" s="11"/>
      <c r="S383" s="10" t="s">
        <v>3358</v>
      </c>
      <c r="T383" s="10" t="s">
        <v>3359</v>
      </c>
      <c r="U383" s="10" t="s">
        <v>3360</v>
      </c>
      <c r="V383" s="11"/>
      <c r="W383" s="10" t="s">
        <v>3361</v>
      </c>
      <c r="X383" s="10" t="s">
        <v>80</v>
      </c>
      <c r="Y383" s="10" t="s">
        <v>80</v>
      </c>
      <c r="Z383" s="10" t="s">
        <v>3404</v>
      </c>
      <c r="AA383" s="10" t="s">
        <v>3405</v>
      </c>
      <c r="AB383" s="11"/>
      <c r="AC383" s="11"/>
      <c r="AD383" s="11"/>
      <c r="AE383" s="10" t="s">
        <v>3364</v>
      </c>
      <c r="AF383" s="12">
        <v>3090</v>
      </c>
      <c r="AG383" s="11"/>
      <c r="AH383" s="10" t="s">
        <v>3406</v>
      </c>
      <c r="AI383" s="10" t="s">
        <v>1968</v>
      </c>
      <c r="AJ383" s="10" t="s">
        <v>3407</v>
      </c>
      <c r="AK383" s="10" t="s">
        <v>3396</v>
      </c>
      <c r="AL383" s="11"/>
      <c r="AM383" s="11"/>
      <c r="AN383" s="11"/>
      <c r="AO383" s="11"/>
      <c r="AP383" s="11"/>
      <c r="AQ383" s="11"/>
      <c r="AR383" s="10" t="s">
        <v>2936</v>
      </c>
      <c r="AS383" s="10" t="s">
        <v>66</v>
      </c>
      <c r="AT383" s="10" t="s">
        <v>53</v>
      </c>
    </row>
    <row r="384" spans="1:46" ht="20" customHeight="1" x14ac:dyDescent="0.15">
      <c r="A384" s="8" t="s">
        <v>3408</v>
      </c>
      <c r="B384" s="9" t="s">
        <v>3409</v>
      </c>
      <c r="C384" s="10" t="s">
        <v>3410</v>
      </c>
      <c r="D384" s="10" t="s">
        <v>3411</v>
      </c>
      <c r="E384" s="10" t="s">
        <v>51</v>
      </c>
      <c r="F384" s="10" t="s">
        <v>3356</v>
      </c>
      <c r="G384" s="11"/>
      <c r="H384" s="10" t="s">
        <v>552</v>
      </c>
      <c r="I384" s="10" t="s">
        <v>53</v>
      </c>
      <c r="J384" s="10" t="s">
        <v>54</v>
      </c>
      <c r="K384" s="11"/>
      <c r="L384" s="10" t="s">
        <v>3357</v>
      </c>
      <c r="M384" s="11"/>
      <c r="N384" s="11"/>
      <c r="O384" s="11"/>
      <c r="P384" s="11"/>
      <c r="Q384" s="10" t="s">
        <v>361</v>
      </c>
      <c r="R384" s="11"/>
      <c r="S384" s="10" t="s">
        <v>3358</v>
      </c>
      <c r="T384" s="10" t="s">
        <v>3359</v>
      </c>
      <c r="U384" s="10" t="s">
        <v>3360</v>
      </c>
      <c r="V384" s="11"/>
      <c r="W384" s="10" t="s">
        <v>3361</v>
      </c>
      <c r="X384" s="10" t="s">
        <v>80</v>
      </c>
      <c r="Y384" s="10" t="s">
        <v>80</v>
      </c>
      <c r="Z384" s="10" t="s">
        <v>3412</v>
      </c>
      <c r="AA384" s="10" t="s">
        <v>3413</v>
      </c>
      <c r="AB384" s="11"/>
      <c r="AC384" s="11"/>
      <c r="AD384" s="11"/>
      <c r="AE384" s="10" t="s">
        <v>3364</v>
      </c>
      <c r="AF384" s="12">
        <v>2933</v>
      </c>
      <c r="AG384" s="11"/>
      <c r="AH384" s="10" t="s">
        <v>3414</v>
      </c>
      <c r="AI384" s="10" t="s">
        <v>3415</v>
      </c>
      <c r="AJ384" s="10" t="s">
        <v>3416</v>
      </c>
      <c r="AK384" s="10" t="s">
        <v>3396</v>
      </c>
      <c r="AL384" s="11"/>
      <c r="AM384" s="11"/>
      <c r="AN384" s="11"/>
      <c r="AO384" s="11"/>
      <c r="AP384" s="11"/>
      <c r="AQ384" s="11"/>
      <c r="AR384" s="10" t="s">
        <v>3417</v>
      </c>
      <c r="AS384" s="10" t="s">
        <v>66</v>
      </c>
      <c r="AT384" s="10" t="s">
        <v>53</v>
      </c>
    </row>
    <row r="385" spans="1:46" ht="20" customHeight="1" x14ac:dyDescent="0.15">
      <c r="A385" s="8" t="s">
        <v>3418</v>
      </c>
      <c r="B385" s="9" t="s">
        <v>3419</v>
      </c>
      <c r="C385" s="10" t="s">
        <v>3347</v>
      </c>
      <c r="D385" s="10" t="s">
        <v>3420</v>
      </c>
      <c r="E385" s="10" t="s">
        <v>51</v>
      </c>
      <c r="F385" s="10" t="s">
        <v>3356</v>
      </c>
      <c r="G385" s="11"/>
      <c r="H385" s="10" t="s">
        <v>561</v>
      </c>
      <c r="I385" s="10" t="s">
        <v>53</v>
      </c>
      <c r="J385" s="10" t="s">
        <v>54</v>
      </c>
      <c r="K385" s="11"/>
      <c r="L385" s="10" t="s">
        <v>3357</v>
      </c>
      <c r="M385" s="11"/>
      <c r="N385" s="11"/>
      <c r="O385" s="11"/>
      <c r="P385" s="11"/>
      <c r="Q385" s="10" t="s">
        <v>361</v>
      </c>
      <c r="R385" s="11"/>
      <c r="S385" s="10" t="s">
        <v>3358</v>
      </c>
      <c r="T385" s="10" t="s">
        <v>3359</v>
      </c>
      <c r="U385" s="10" t="s">
        <v>3360</v>
      </c>
      <c r="V385" s="11"/>
      <c r="W385" s="10" t="s">
        <v>3361</v>
      </c>
      <c r="X385" s="10" t="s">
        <v>80</v>
      </c>
      <c r="Y385" s="10" t="s">
        <v>80</v>
      </c>
      <c r="Z385" s="10" t="s">
        <v>3421</v>
      </c>
      <c r="AA385" s="10" t="s">
        <v>3422</v>
      </c>
      <c r="AB385" s="11"/>
      <c r="AC385" s="11"/>
      <c r="AD385" s="11"/>
      <c r="AE385" s="10" t="s">
        <v>3364</v>
      </c>
      <c r="AF385" s="12">
        <v>1843</v>
      </c>
      <c r="AG385" s="11"/>
      <c r="AH385" s="10" t="s">
        <v>287</v>
      </c>
      <c r="AI385" s="10" t="s">
        <v>3423</v>
      </c>
      <c r="AJ385" s="10" t="s">
        <v>3424</v>
      </c>
      <c r="AK385" s="10" t="s">
        <v>3396</v>
      </c>
      <c r="AL385" s="11"/>
      <c r="AM385" s="11"/>
      <c r="AN385" s="11"/>
      <c r="AO385" s="11"/>
      <c r="AP385" s="11"/>
      <c r="AQ385" s="11"/>
      <c r="AR385" s="10" t="s">
        <v>3425</v>
      </c>
      <c r="AS385" s="10" t="s">
        <v>66</v>
      </c>
      <c r="AT385" s="10" t="s">
        <v>53</v>
      </c>
    </row>
    <row r="386" spans="1:46" ht="20" customHeight="1" x14ac:dyDescent="0.15">
      <c r="A386" s="8" t="s">
        <v>3426</v>
      </c>
      <c r="B386" s="9" t="s">
        <v>3427</v>
      </c>
      <c r="C386" s="10" t="s">
        <v>1756</v>
      </c>
      <c r="D386" s="10" t="s">
        <v>3428</v>
      </c>
      <c r="E386" s="10" t="s">
        <v>51</v>
      </c>
      <c r="F386" s="10" t="s">
        <v>3356</v>
      </c>
      <c r="G386" s="11"/>
      <c r="H386" s="10" t="s">
        <v>568</v>
      </c>
      <c r="I386" s="10" t="s">
        <v>53</v>
      </c>
      <c r="J386" s="10" t="s">
        <v>54</v>
      </c>
      <c r="K386" s="11"/>
      <c r="L386" s="10" t="s">
        <v>3357</v>
      </c>
      <c r="M386" s="11"/>
      <c r="N386" s="11"/>
      <c r="O386" s="11"/>
      <c r="P386" s="11"/>
      <c r="Q386" s="10" t="s">
        <v>361</v>
      </c>
      <c r="R386" s="11"/>
      <c r="S386" s="10" t="s">
        <v>3358</v>
      </c>
      <c r="T386" s="10" t="s">
        <v>3359</v>
      </c>
      <c r="U386" s="10" t="s">
        <v>3360</v>
      </c>
      <c r="V386" s="11"/>
      <c r="W386" s="10" t="s">
        <v>3361</v>
      </c>
      <c r="X386" s="10" t="s">
        <v>80</v>
      </c>
      <c r="Y386" s="10" t="s">
        <v>80</v>
      </c>
      <c r="Z386" s="10" t="s">
        <v>3429</v>
      </c>
      <c r="AA386" s="10" t="s">
        <v>3430</v>
      </c>
      <c r="AB386" s="11"/>
      <c r="AC386" s="11"/>
      <c r="AD386" s="11"/>
      <c r="AE386" s="10" t="s">
        <v>3364</v>
      </c>
      <c r="AF386" s="12">
        <v>1325</v>
      </c>
      <c r="AG386" s="11"/>
      <c r="AH386" s="10" t="s">
        <v>287</v>
      </c>
      <c r="AI386" s="10" t="s">
        <v>3431</v>
      </c>
      <c r="AJ386" s="10" t="s">
        <v>3407</v>
      </c>
      <c r="AK386" s="10" t="s">
        <v>3396</v>
      </c>
      <c r="AL386" s="11"/>
      <c r="AM386" s="11"/>
      <c r="AN386" s="11"/>
      <c r="AO386" s="11"/>
      <c r="AP386" s="11"/>
      <c r="AQ386" s="11"/>
      <c r="AR386" s="10" t="s">
        <v>3432</v>
      </c>
      <c r="AS386" s="10" t="s">
        <v>66</v>
      </c>
      <c r="AT386" s="10" t="s">
        <v>53</v>
      </c>
    </row>
    <row r="387" spans="1:46" ht="20" hidden="1" customHeight="1" x14ac:dyDescent="0.15">
      <c r="A387" s="8" t="s">
        <v>3433</v>
      </c>
      <c r="B387" s="9" t="s">
        <v>3434</v>
      </c>
      <c r="C387" s="10" t="s">
        <v>3435</v>
      </c>
      <c r="D387" s="10" t="s">
        <v>3436</v>
      </c>
      <c r="E387" s="10" t="s">
        <v>51</v>
      </c>
      <c r="F387" s="10" t="s">
        <v>3356</v>
      </c>
      <c r="G387" s="11"/>
      <c r="H387" s="10" t="s">
        <v>1785</v>
      </c>
      <c r="I387" s="10" t="s">
        <v>53</v>
      </c>
      <c r="J387" s="10" t="s">
        <v>54</v>
      </c>
      <c r="K387" s="11"/>
      <c r="L387" s="10" t="s">
        <v>3357</v>
      </c>
      <c r="M387" s="11"/>
      <c r="N387" s="11"/>
      <c r="O387" s="11"/>
      <c r="P387" s="11"/>
      <c r="Q387" s="11"/>
      <c r="R387" s="11"/>
      <c r="S387" s="10" t="s">
        <v>3358</v>
      </c>
      <c r="T387" s="10" t="s">
        <v>3359</v>
      </c>
      <c r="U387" s="10" t="s">
        <v>3360</v>
      </c>
      <c r="V387" s="11"/>
      <c r="W387" s="10" t="s">
        <v>3361</v>
      </c>
      <c r="X387" s="10" t="s">
        <v>80</v>
      </c>
      <c r="Y387" s="10" t="s">
        <v>80</v>
      </c>
      <c r="Z387" s="10" t="s">
        <v>3437</v>
      </c>
      <c r="AA387" s="10" t="s">
        <v>3438</v>
      </c>
      <c r="AB387" s="11"/>
      <c r="AC387" s="11"/>
      <c r="AD387" s="11"/>
      <c r="AE387" s="10" t="s">
        <v>3364</v>
      </c>
      <c r="AF387" s="12">
        <v>11000</v>
      </c>
      <c r="AG387" s="11"/>
      <c r="AH387" s="10" t="s">
        <v>287</v>
      </c>
      <c r="AI387" s="10" t="s">
        <v>3423</v>
      </c>
      <c r="AJ387" s="10" t="s">
        <v>3439</v>
      </c>
      <c r="AK387" s="10" t="s">
        <v>3396</v>
      </c>
      <c r="AL387" s="11"/>
      <c r="AM387" s="11"/>
      <c r="AN387" s="11"/>
      <c r="AO387" s="11"/>
      <c r="AP387" s="11"/>
      <c r="AQ387" s="11"/>
      <c r="AR387" s="10" t="s">
        <v>626</v>
      </c>
      <c r="AS387" s="10" t="s">
        <v>66</v>
      </c>
      <c r="AT387" s="10" t="s">
        <v>53</v>
      </c>
    </row>
    <row r="388" spans="1:46" ht="20" hidden="1" customHeight="1" x14ac:dyDescent="0.15">
      <c r="A388" s="8" t="s">
        <v>3440</v>
      </c>
      <c r="B388" s="9" t="s">
        <v>3441</v>
      </c>
      <c r="C388" s="10" t="s">
        <v>3442</v>
      </c>
      <c r="D388" s="10" t="s">
        <v>3443</v>
      </c>
      <c r="E388" s="10" t="s">
        <v>51</v>
      </c>
      <c r="F388" s="10" t="s">
        <v>3444</v>
      </c>
      <c r="G388" s="11"/>
      <c r="H388" s="10" t="s">
        <v>91</v>
      </c>
      <c r="I388" s="10" t="s">
        <v>53</v>
      </c>
      <c r="J388" s="10" t="s">
        <v>54</v>
      </c>
      <c r="K388" s="11"/>
      <c r="L388" s="10" t="s">
        <v>3445</v>
      </c>
      <c r="M388" s="11"/>
      <c r="N388" s="11"/>
      <c r="O388" s="11"/>
      <c r="P388" s="11"/>
      <c r="Q388" s="10" t="s">
        <v>135</v>
      </c>
      <c r="R388" s="11"/>
      <c r="S388" s="10" t="s">
        <v>3446</v>
      </c>
      <c r="T388" s="10" t="s">
        <v>3447</v>
      </c>
      <c r="U388" s="10" t="s">
        <v>3448</v>
      </c>
      <c r="V388" s="11"/>
      <c r="W388" s="10" t="s">
        <v>3449</v>
      </c>
      <c r="X388" s="10" t="s">
        <v>80</v>
      </c>
      <c r="Y388" s="10" t="s">
        <v>80</v>
      </c>
      <c r="Z388" s="10" t="s">
        <v>3450</v>
      </c>
      <c r="AA388" s="10" t="s">
        <v>3451</v>
      </c>
      <c r="AB388" s="11"/>
      <c r="AC388" s="11"/>
      <c r="AD388" s="11"/>
      <c r="AE388" s="10" t="s">
        <v>3452</v>
      </c>
      <c r="AF388" s="11"/>
      <c r="AG388" s="11"/>
      <c r="AH388" s="10" t="s">
        <v>287</v>
      </c>
      <c r="AI388" s="11"/>
      <c r="AJ388" s="11"/>
      <c r="AK388" s="10" t="s">
        <v>3396</v>
      </c>
      <c r="AL388" s="11"/>
      <c r="AM388" s="11"/>
      <c r="AN388" s="11"/>
      <c r="AO388" s="11"/>
      <c r="AP388" s="11"/>
      <c r="AQ388" s="11"/>
      <c r="AR388" s="10" t="s">
        <v>325</v>
      </c>
      <c r="AS388" s="10" t="s">
        <v>66</v>
      </c>
      <c r="AT388" s="10" t="s">
        <v>53</v>
      </c>
    </row>
    <row r="389" spans="1:46" ht="20" hidden="1" customHeight="1" x14ac:dyDescent="0.15">
      <c r="A389" s="8" t="s">
        <v>3453</v>
      </c>
      <c r="B389" s="9" t="s">
        <v>3454</v>
      </c>
      <c r="C389" s="10" t="s">
        <v>3455</v>
      </c>
      <c r="D389" s="10" t="s">
        <v>3456</v>
      </c>
      <c r="E389" s="10" t="s">
        <v>51</v>
      </c>
      <c r="F389" s="10" t="s">
        <v>3444</v>
      </c>
      <c r="G389" s="11"/>
      <c r="H389" s="10" t="s">
        <v>91</v>
      </c>
      <c r="I389" s="10" t="s">
        <v>53</v>
      </c>
      <c r="J389" s="10" t="s">
        <v>54</v>
      </c>
      <c r="K389" s="11"/>
      <c r="L389" s="10" t="s">
        <v>3445</v>
      </c>
      <c r="M389" s="10" t="s">
        <v>3457</v>
      </c>
      <c r="N389" s="10" t="s">
        <v>3458</v>
      </c>
      <c r="O389" s="11"/>
      <c r="P389" s="11"/>
      <c r="Q389" s="10" t="s">
        <v>135</v>
      </c>
      <c r="R389" s="11"/>
      <c r="S389" s="10" t="s">
        <v>3446</v>
      </c>
      <c r="T389" s="10" t="s">
        <v>3447</v>
      </c>
      <c r="U389" s="10" t="s">
        <v>3448</v>
      </c>
      <c r="V389" s="11"/>
      <c r="W389" s="10" t="s">
        <v>3459</v>
      </c>
      <c r="X389" s="10" t="s">
        <v>80</v>
      </c>
      <c r="Y389" s="10" t="s">
        <v>80</v>
      </c>
      <c r="Z389" s="10" t="s">
        <v>3460</v>
      </c>
      <c r="AA389" s="10" t="s">
        <v>3461</v>
      </c>
      <c r="AB389" s="11"/>
      <c r="AC389" s="11"/>
      <c r="AD389" s="10" t="s">
        <v>3462</v>
      </c>
      <c r="AE389" s="10" t="s">
        <v>3463</v>
      </c>
      <c r="AF389" s="12">
        <v>40015</v>
      </c>
      <c r="AG389" s="11"/>
      <c r="AH389" s="10" t="s">
        <v>232</v>
      </c>
      <c r="AI389" s="10" t="s">
        <v>3464</v>
      </c>
      <c r="AJ389" s="11"/>
      <c r="AK389" s="10" t="s">
        <v>3465</v>
      </c>
      <c r="AL389" s="10" t="s">
        <v>3466</v>
      </c>
      <c r="AM389" s="11"/>
      <c r="AN389" s="11"/>
      <c r="AO389" s="11"/>
      <c r="AP389" s="11"/>
      <c r="AQ389" s="11"/>
      <c r="AR389" s="10" t="s">
        <v>3467</v>
      </c>
      <c r="AS389" s="10" t="s">
        <v>66</v>
      </c>
      <c r="AT389" s="10" t="s">
        <v>53</v>
      </c>
    </row>
    <row r="390" spans="1:46" ht="20" hidden="1" customHeight="1" x14ac:dyDescent="0.15">
      <c r="A390" s="8" t="s">
        <v>3468</v>
      </c>
      <c r="B390" s="9" t="s">
        <v>3469</v>
      </c>
      <c r="C390" s="10" t="s">
        <v>3470</v>
      </c>
      <c r="D390" s="10" t="s">
        <v>3471</v>
      </c>
      <c r="E390" s="10" t="s">
        <v>51</v>
      </c>
      <c r="F390" s="10" t="s">
        <v>3444</v>
      </c>
      <c r="G390" s="11"/>
      <c r="H390" s="10" t="s">
        <v>91</v>
      </c>
      <c r="I390" s="10" t="s">
        <v>53</v>
      </c>
      <c r="J390" s="10" t="s">
        <v>54</v>
      </c>
      <c r="K390" s="11"/>
      <c r="L390" s="10" t="s">
        <v>3445</v>
      </c>
      <c r="M390" s="11"/>
      <c r="N390" s="11"/>
      <c r="O390" s="11"/>
      <c r="P390" s="11"/>
      <c r="Q390" s="10" t="s">
        <v>379</v>
      </c>
      <c r="R390" s="11"/>
      <c r="S390" s="10" t="s">
        <v>3446</v>
      </c>
      <c r="T390" s="10" t="s">
        <v>3447</v>
      </c>
      <c r="U390" s="10" t="s">
        <v>3448</v>
      </c>
      <c r="V390" s="11"/>
      <c r="W390" s="10" t="s">
        <v>3472</v>
      </c>
      <c r="X390" s="10" t="s">
        <v>80</v>
      </c>
      <c r="Y390" s="10" t="s">
        <v>80</v>
      </c>
      <c r="Z390" s="10" t="s">
        <v>3473</v>
      </c>
      <c r="AA390" s="10" t="s">
        <v>3474</v>
      </c>
      <c r="AB390" s="11"/>
      <c r="AC390" s="11"/>
      <c r="AD390" s="11"/>
      <c r="AE390" s="10" t="s">
        <v>3452</v>
      </c>
      <c r="AF390" s="12">
        <v>564</v>
      </c>
      <c r="AG390" s="11"/>
      <c r="AH390" s="10" t="s">
        <v>3475</v>
      </c>
      <c r="AI390" s="10" t="s">
        <v>1219</v>
      </c>
      <c r="AJ390" s="11"/>
      <c r="AK390" s="10" t="s">
        <v>3476</v>
      </c>
      <c r="AL390" s="11"/>
      <c r="AM390" s="11"/>
      <c r="AN390" s="11"/>
      <c r="AO390" s="11"/>
      <c r="AP390" s="11"/>
      <c r="AQ390" s="11"/>
      <c r="AR390" s="10" t="s">
        <v>3477</v>
      </c>
      <c r="AS390" s="10" t="s">
        <v>66</v>
      </c>
      <c r="AT390" s="10" t="s">
        <v>53</v>
      </c>
    </row>
    <row r="391" spans="1:46" ht="20" hidden="1" customHeight="1" x14ac:dyDescent="0.15">
      <c r="A391" s="8" t="s">
        <v>3478</v>
      </c>
      <c r="B391" s="9" t="s">
        <v>3479</v>
      </c>
      <c r="C391" s="10" t="s">
        <v>599</v>
      </c>
      <c r="D391" s="10" t="s">
        <v>3480</v>
      </c>
      <c r="E391" s="10" t="s">
        <v>51</v>
      </c>
      <c r="F391" s="10" t="s">
        <v>3444</v>
      </c>
      <c r="G391" s="11"/>
      <c r="H391" s="10" t="s">
        <v>91</v>
      </c>
      <c r="I391" s="10" t="s">
        <v>53</v>
      </c>
      <c r="J391" s="10" t="s">
        <v>54</v>
      </c>
      <c r="K391" s="11"/>
      <c r="L391" s="10" t="s">
        <v>3445</v>
      </c>
      <c r="M391" s="11"/>
      <c r="N391" s="11"/>
      <c r="O391" s="11"/>
      <c r="P391" s="11"/>
      <c r="Q391" s="10" t="s">
        <v>107</v>
      </c>
      <c r="R391" s="11"/>
      <c r="S391" s="10" t="s">
        <v>3446</v>
      </c>
      <c r="T391" s="10" t="s">
        <v>3447</v>
      </c>
      <c r="U391" s="10" t="s">
        <v>3448</v>
      </c>
      <c r="V391" s="11"/>
      <c r="W391" s="10" t="s">
        <v>3481</v>
      </c>
      <c r="X391" s="10" t="s">
        <v>80</v>
      </c>
      <c r="Y391" s="10" t="s">
        <v>80</v>
      </c>
      <c r="Z391" s="10" t="s">
        <v>3482</v>
      </c>
      <c r="AA391" s="10" t="s">
        <v>3483</v>
      </c>
      <c r="AB391" s="11"/>
      <c r="AC391" s="11"/>
      <c r="AD391" s="11"/>
      <c r="AE391" s="10" t="s">
        <v>3452</v>
      </c>
      <c r="AF391" s="12">
        <v>74278</v>
      </c>
      <c r="AG391" s="11"/>
      <c r="AH391" s="10" t="s">
        <v>307</v>
      </c>
      <c r="AI391" s="11"/>
      <c r="AJ391" s="11"/>
      <c r="AK391" s="10" t="s">
        <v>3484</v>
      </c>
      <c r="AL391" s="11"/>
      <c r="AM391" s="11"/>
      <c r="AN391" s="11"/>
      <c r="AO391" s="11"/>
      <c r="AP391" s="11"/>
      <c r="AQ391" s="11"/>
      <c r="AR391" s="10" t="s">
        <v>3485</v>
      </c>
      <c r="AS391" s="10" t="s">
        <v>66</v>
      </c>
      <c r="AT391" s="10" t="s">
        <v>53</v>
      </c>
    </row>
    <row r="392" spans="1:46" ht="20" hidden="1" customHeight="1" x14ac:dyDescent="0.15">
      <c r="A392" s="8" t="s">
        <v>3486</v>
      </c>
      <c r="B392" s="9" t="s">
        <v>3487</v>
      </c>
      <c r="C392" s="10" t="s">
        <v>3488</v>
      </c>
      <c r="D392" s="10" t="s">
        <v>3489</v>
      </c>
      <c r="E392" s="10" t="s">
        <v>51</v>
      </c>
      <c r="F392" s="10" t="s">
        <v>3444</v>
      </c>
      <c r="G392" s="11"/>
      <c r="H392" s="10" t="s">
        <v>1920</v>
      </c>
      <c r="I392" s="10" t="s">
        <v>53</v>
      </c>
      <c r="J392" s="10" t="s">
        <v>54</v>
      </c>
      <c r="K392" s="11"/>
      <c r="L392" s="10" t="s">
        <v>3445</v>
      </c>
      <c r="M392" s="11"/>
      <c r="N392" s="11"/>
      <c r="O392" s="11"/>
      <c r="P392" s="11"/>
      <c r="Q392" s="10" t="s">
        <v>75</v>
      </c>
      <c r="R392" s="11"/>
      <c r="S392" s="10" t="s">
        <v>3446</v>
      </c>
      <c r="T392" s="10" t="s">
        <v>3447</v>
      </c>
      <c r="U392" s="10" t="s">
        <v>3448</v>
      </c>
      <c r="V392" s="11"/>
      <c r="W392" s="10" t="s">
        <v>3490</v>
      </c>
      <c r="X392" s="10" t="s">
        <v>80</v>
      </c>
      <c r="Y392" s="10" t="s">
        <v>80</v>
      </c>
      <c r="Z392" s="10" t="s">
        <v>3491</v>
      </c>
      <c r="AA392" s="10" t="s">
        <v>3492</v>
      </c>
      <c r="AB392" s="11"/>
      <c r="AC392" s="11"/>
      <c r="AD392" s="11"/>
      <c r="AE392" s="10" t="s">
        <v>3452</v>
      </c>
      <c r="AF392" s="12">
        <v>619</v>
      </c>
      <c r="AG392" s="11"/>
      <c r="AH392" s="10" t="s">
        <v>3493</v>
      </c>
      <c r="AI392" s="10" t="s">
        <v>1190</v>
      </c>
      <c r="AJ392" s="11"/>
      <c r="AK392" s="10" t="s">
        <v>3494</v>
      </c>
      <c r="AL392" s="11"/>
      <c r="AM392" s="11"/>
      <c r="AN392" s="11"/>
      <c r="AO392" s="11"/>
      <c r="AP392" s="11"/>
      <c r="AQ392" s="11"/>
      <c r="AR392" s="10" t="s">
        <v>325</v>
      </c>
      <c r="AS392" s="10" t="s">
        <v>66</v>
      </c>
      <c r="AT392" s="10" t="s">
        <v>53</v>
      </c>
    </row>
    <row r="393" spans="1:46" ht="20" hidden="1" customHeight="1" x14ac:dyDescent="0.15">
      <c r="A393" s="8" t="s">
        <v>3495</v>
      </c>
      <c r="B393" s="9" t="s">
        <v>3496</v>
      </c>
      <c r="C393" s="10" t="s">
        <v>997</v>
      </c>
      <c r="D393" s="10" t="s">
        <v>3497</v>
      </c>
      <c r="E393" s="10" t="s">
        <v>51</v>
      </c>
      <c r="F393" s="10" t="s">
        <v>3444</v>
      </c>
      <c r="G393" s="11"/>
      <c r="H393" s="10" t="s">
        <v>91</v>
      </c>
      <c r="I393" s="10" t="s">
        <v>53</v>
      </c>
      <c r="J393" s="10" t="s">
        <v>54</v>
      </c>
      <c r="K393" s="11"/>
      <c r="L393" s="10" t="s">
        <v>3445</v>
      </c>
      <c r="M393" s="11"/>
      <c r="N393" s="11"/>
      <c r="O393" s="11"/>
      <c r="P393" s="11"/>
      <c r="Q393" s="10" t="s">
        <v>75</v>
      </c>
      <c r="R393" s="11"/>
      <c r="S393" s="10" t="s">
        <v>3446</v>
      </c>
      <c r="T393" s="10" t="s">
        <v>3447</v>
      </c>
      <c r="U393" s="10" t="s">
        <v>3448</v>
      </c>
      <c r="V393" s="11"/>
      <c r="W393" s="10" t="s">
        <v>3498</v>
      </c>
      <c r="X393" s="10" t="s">
        <v>80</v>
      </c>
      <c r="Y393" s="10" t="s">
        <v>80</v>
      </c>
      <c r="Z393" s="10" t="s">
        <v>3499</v>
      </c>
      <c r="AA393" s="10" t="s">
        <v>3500</v>
      </c>
      <c r="AB393" s="11"/>
      <c r="AC393" s="11"/>
      <c r="AD393" s="11"/>
      <c r="AE393" s="10" t="s">
        <v>3452</v>
      </c>
      <c r="AF393" s="12">
        <v>3265</v>
      </c>
      <c r="AG393" s="11"/>
      <c r="AH393" s="10" t="s">
        <v>3493</v>
      </c>
      <c r="AI393" s="11"/>
      <c r="AJ393" s="11"/>
      <c r="AK393" s="10" t="s">
        <v>3494</v>
      </c>
      <c r="AL393" s="11"/>
      <c r="AM393" s="11"/>
      <c r="AN393" s="11"/>
      <c r="AO393" s="11"/>
      <c r="AP393" s="11"/>
      <c r="AQ393" s="11"/>
      <c r="AR393" s="10" t="s">
        <v>3467</v>
      </c>
      <c r="AS393" s="10" t="s">
        <v>66</v>
      </c>
      <c r="AT393" s="10" t="s">
        <v>53</v>
      </c>
    </row>
    <row r="394" spans="1:46" ht="20" customHeight="1" x14ac:dyDescent="0.15">
      <c r="A394" s="8" t="s">
        <v>3501</v>
      </c>
      <c r="B394" s="9" t="s">
        <v>3502</v>
      </c>
      <c r="C394" s="10" t="s">
        <v>3503</v>
      </c>
      <c r="D394" s="10" t="s">
        <v>3504</v>
      </c>
      <c r="E394" s="10" t="s">
        <v>51</v>
      </c>
      <c r="F394" s="10" t="s">
        <v>3444</v>
      </c>
      <c r="G394" s="11"/>
      <c r="H394" s="10" t="s">
        <v>552</v>
      </c>
      <c r="I394" s="10" t="s">
        <v>53</v>
      </c>
      <c r="J394" s="10" t="s">
        <v>54</v>
      </c>
      <c r="K394" s="11"/>
      <c r="L394" s="10" t="s">
        <v>3445</v>
      </c>
      <c r="M394" s="11"/>
      <c r="N394" s="11"/>
      <c r="O394" s="11"/>
      <c r="P394" s="11"/>
      <c r="Q394" s="10" t="s">
        <v>75</v>
      </c>
      <c r="R394" s="11"/>
      <c r="S394" s="10" t="s">
        <v>3446</v>
      </c>
      <c r="T394" s="10" t="s">
        <v>3447</v>
      </c>
      <c r="U394" s="10" t="s">
        <v>3448</v>
      </c>
      <c r="V394" s="11"/>
      <c r="W394" s="10" t="s">
        <v>3505</v>
      </c>
      <c r="X394" s="10" t="s">
        <v>80</v>
      </c>
      <c r="Y394" s="10" t="s">
        <v>80</v>
      </c>
      <c r="Z394" s="10" t="s">
        <v>3506</v>
      </c>
      <c r="AA394" s="10" t="s">
        <v>3507</v>
      </c>
      <c r="AB394" s="11"/>
      <c r="AC394" s="11"/>
      <c r="AD394" s="11"/>
      <c r="AE394" s="10" t="s">
        <v>3452</v>
      </c>
      <c r="AF394" s="12">
        <v>796</v>
      </c>
      <c r="AG394" s="11"/>
      <c r="AH394" s="11"/>
      <c r="AI394" s="10" t="s">
        <v>1190</v>
      </c>
      <c r="AJ394" s="11"/>
      <c r="AK394" s="10" t="s">
        <v>3494</v>
      </c>
      <c r="AL394" s="11"/>
      <c r="AM394" s="11"/>
      <c r="AN394" s="11"/>
      <c r="AO394" s="11"/>
      <c r="AP394" s="11"/>
      <c r="AQ394" s="11"/>
      <c r="AR394" s="10" t="s">
        <v>556</v>
      </c>
      <c r="AS394" s="10" t="s">
        <v>66</v>
      </c>
      <c r="AT394" s="10" t="s">
        <v>53</v>
      </c>
    </row>
    <row r="395" spans="1:46" ht="20" customHeight="1" x14ac:dyDescent="0.15">
      <c r="A395" s="8" t="s">
        <v>3508</v>
      </c>
      <c r="B395" s="9" t="s">
        <v>3509</v>
      </c>
      <c r="C395" s="10" t="s">
        <v>1731</v>
      </c>
      <c r="D395" s="10" t="s">
        <v>3510</v>
      </c>
      <c r="E395" s="10" t="s">
        <v>51</v>
      </c>
      <c r="F395" s="10" t="s">
        <v>3444</v>
      </c>
      <c r="G395" s="11"/>
      <c r="H395" s="10" t="s">
        <v>561</v>
      </c>
      <c r="I395" s="10" t="s">
        <v>53</v>
      </c>
      <c r="J395" s="10" t="s">
        <v>54</v>
      </c>
      <c r="K395" s="11"/>
      <c r="L395" s="10" t="s">
        <v>3445</v>
      </c>
      <c r="M395" s="11"/>
      <c r="N395" s="11"/>
      <c r="O395" s="11"/>
      <c r="P395" s="11"/>
      <c r="Q395" s="10" t="s">
        <v>75</v>
      </c>
      <c r="R395" s="11"/>
      <c r="S395" s="10" t="s">
        <v>3446</v>
      </c>
      <c r="T395" s="10" t="s">
        <v>3447</v>
      </c>
      <c r="U395" s="10" t="s">
        <v>3448</v>
      </c>
      <c r="V395" s="11"/>
      <c r="W395" s="10" t="s">
        <v>3511</v>
      </c>
      <c r="X395" s="10" t="s">
        <v>80</v>
      </c>
      <c r="Y395" s="10" t="s">
        <v>80</v>
      </c>
      <c r="Z395" s="10" t="s">
        <v>3512</v>
      </c>
      <c r="AA395" s="10" t="s">
        <v>3513</v>
      </c>
      <c r="AB395" s="11"/>
      <c r="AC395" s="11"/>
      <c r="AD395" s="11"/>
      <c r="AE395" s="10" t="s">
        <v>3452</v>
      </c>
      <c r="AF395" s="12">
        <v>941</v>
      </c>
      <c r="AG395" s="11"/>
      <c r="AH395" s="11"/>
      <c r="AI395" s="11"/>
      <c r="AJ395" s="11"/>
      <c r="AK395" s="10" t="s">
        <v>3494</v>
      </c>
      <c r="AL395" s="11"/>
      <c r="AM395" s="11"/>
      <c r="AN395" s="11"/>
      <c r="AO395" s="11"/>
      <c r="AP395" s="11"/>
      <c r="AQ395" s="11"/>
      <c r="AR395" s="10" t="s">
        <v>556</v>
      </c>
      <c r="AS395" s="10" t="s">
        <v>66</v>
      </c>
      <c r="AT395" s="10" t="s">
        <v>53</v>
      </c>
    </row>
    <row r="396" spans="1:46" ht="20" customHeight="1" x14ac:dyDescent="0.15">
      <c r="A396" s="8" t="s">
        <v>3514</v>
      </c>
      <c r="B396" s="9" t="s">
        <v>3515</v>
      </c>
      <c r="C396" s="10" t="s">
        <v>1740</v>
      </c>
      <c r="D396" s="10" t="s">
        <v>3516</v>
      </c>
      <c r="E396" s="10" t="s">
        <v>51</v>
      </c>
      <c r="F396" s="10" t="s">
        <v>3444</v>
      </c>
      <c r="G396" s="11"/>
      <c r="H396" s="10" t="s">
        <v>568</v>
      </c>
      <c r="I396" s="10" t="s">
        <v>53</v>
      </c>
      <c r="J396" s="10" t="s">
        <v>54</v>
      </c>
      <c r="K396" s="11"/>
      <c r="L396" s="10" t="s">
        <v>3445</v>
      </c>
      <c r="M396" s="11"/>
      <c r="N396" s="11"/>
      <c r="O396" s="11"/>
      <c r="P396" s="11"/>
      <c r="Q396" s="10" t="s">
        <v>75</v>
      </c>
      <c r="R396" s="11"/>
      <c r="S396" s="10" t="s">
        <v>3446</v>
      </c>
      <c r="T396" s="10" t="s">
        <v>3447</v>
      </c>
      <c r="U396" s="10" t="s">
        <v>3448</v>
      </c>
      <c r="V396" s="11"/>
      <c r="W396" s="10" t="s">
        <v>3517</v>
      </c>
      <c r="X396" s="10" t="s">
        <v>80</v>
      </c>
      <c r="Y396" s="10" t="s">
        <v>80</v>
      </c>
      <c r="Z396" s="10" t="s">
        <v>3518</v>
      </c>
      <c r="AA396" s="10" t="s">
        <v>3519</v>
      </c>
      <c r="AB396" s="11"/>
      <c r="AC396" s="11"/>
      <c r="AD396" s="11"/>
      <c r="AE396" s="10" t="s">
        <v>3452</v>
      </c>
      <c r="AF396" s="12">
        <v>4987</v>
      </c>
      <c r="AG396" s="11"/>
      <c r="AH396" s="11"/>
      <c r="AI396" s="11"/>
      <c r="AJ396" s="11"/>
      <c r="AK396" s="10" t="s">
        <v>3520</v>
      </c>
      <c r="AL396" s="11"/>
      <c r="AM396" s="11"/>
      <c r="AN396" s="11"/>
      <c r="AO396" s="11"/>
      <c r="AP396" s="11"/>
      <c r="AQ396" s="11"/>
      <c r="AR396" s="10" t="s">
        <v>556</v>
      </c>
      <c r="AS396" s="10" t="s">
        <v>66</v>
      </c>
      <c r="AT396" s="10" t="s">
        <v>53</v>
      </c>
    </row>
    <row r="397" spans="1:46" ht="20" hidden="1" customHeight="1" x14ac:dyDescent="0.15">
      <c r="A397" s="8" t="s">
        <v>3521</v>
      </c>
      <c r="B397" s="9" t="s">
        <v>3522</v>
      </c>
      <c r="C397" s="10" t="s">
        <v>3523</v>
      </c>
      <c r="D397" s="10" t="s">
        <v>3524</v>
      </c>
      <c r="E397" s="10" t="s">
        <v>51</v>
      </c>
      <c r="F397" s="10" t="s">
        <v>3444</v>
      </c>
      <c r="G397" s="11"/>
      <c r="H397" s="10" t="s">
        <v>91</v>
      </c>
      <c r="I397" s="10" t="s">
        <v>53</v>
      </c>
      <c r="J397" s="10" t="s">
        <v>54</v>
      </c>
      <c r="K397" s="11"/>
      <c r="L397" s="10" t="s">
        <v>3445</v>
      </c>
      <c r="M397" s="11"/>
      <c r="N397" s="11"/>
      <c r="O397" s="11"/>
      <c r="P397" s="11"/>
      <c r="Q397" s="10" t="s">
        <v>94</v>
      </c>
      <c r="R397" s="11"/>
      <c r="S397" s="10" t="s">
        <v>3446</v>
      </c>
      <c r="T397" s="10" t="s">
        <v>3447</v>
      </c>
      <c r="U397" s="10" t="s">
        <v>3448</v>
      </c>
      <c r="V397" s="11"/>
      <c r="W397" s="10" t="s">
        <v>3525</v>
      </c>
      <c r="X397" s="10" t="s">
        <v>80</v>
      </c>
      <c r="Y397" s="10" t="s">
        <v>80</v>
      </c>
      <c r="Z397" s="10" t="s">
        <v>3526</v>
      </c>
      <c r="AA397" s="10" t="s">
        <v>3527</v>
      </c>
      <c r="AB397" s="11"/>
      <c r="AC397" s="11"/>
      <c r="AD397" s="11"/>
      <c r="AE397" s="10" t="s">
        <v>3452</v>
      </c>
      <c r="AF397" s="12">
        <v>148</v>
      </c>
      <c r="AG397" s="11"/>
      <c r="AH397" s="11"/>
      <c r="AI397" s="11"/>
      <c r="AJ397" s="11"/>
      <c r="AK397" s="10" t="s">
        <v>3520</v>
      </c>
      <c r="AL397" s="11"/>
      <c r="AM397" s="11"/>
      <c r="AN397" s="11"/>
      <c r="AO397" s="11"/>
      <c r="AP397" s="11"/>
      <c r="AQ397" s="11"/>
      <c r="AR397" s="10" t="s">
        <v>325</v>
      </c>
      <c r="AS397" s="10" t="s">
        <v>66</v>
      </c>
      <c r="AT397" s="10" t="s">
        <v>53</v>
      </c>
    </row>
    <row r="398" spans="1:46" ht="20" hidden="1" customHeight="1" x14ac:dyDescent="0.15">
      <c r="A398" s="8" t="s">
        <v>3528</v>
      </c>
      <c r="B398" s="9" t="s">
        <v>3529</v>
      </c>
      <c r="C398" s="10" t="s">
        <v>3530</v>
      </c>
      <c r="D398" s="10" t="s">
        <v>3531</v>
      </c>
      <c r="E398" s="10" t="s">
        <v>51</v>
      </c>
      <c r="F398" s="10" t="s">
        <v>385</v>
      </c>
      <c r="G398" s="11"/>
      <c r="H398" s="10" t="s">
        <v>91</v>
      </c>
      <c r="I398" s="10" t="s">
        <v>53</v>
      </c>
      <c r="J398" s="10" t="s">
        <v>54</v>
      </c>
      <c r="K398" s="11"/>
      <c r="L398" s="10" t="s">
        <v>3532</v>
      </c>
      <c r="M398" s="11"/>
      <c r="N398" s="10" t="s">
        <v>3533</v>
      </c>
      <c r="O398" s="11"/>
      <c r="P398" s="11"/>
      <c r="Q398" s="10" t="s">
        <v>94</v>
      </c>
      <c r="R398" s="11"/>
      <c r="S398" s="10" t="s">
        <v>3534</v>
      </c>
      <c r="T398" s="10" t="s">
        <v>3535</v>
      </c>
      <c r="U398" s="10" t="s">
        <v>3536</v>
      </c>
      <c r="V398" s="11"/>
      <c r="W398" s="10" t="s">
        <v>3537</v>
      </c>
      <c r="X398" s="10" t="s">
        <v>80</v>
      </c>
      <c r="Y398" s="10" t="s">
        <v>80</v>
      </c>
      <c r="Z398" s="10" t="s">
        <v>3538</v>
      </c>
      <c r="AA398" s="10" t="s">
        <v>3539</v>
      </c>
      <c r="AB398" s="11"/>
      <c r="AC398" s="11"/>
      <c r="AD398" s="11"/>
      <c r="AE398" s="10" t="s">
        <v>3540</v>
      </c>
      <c r="AF398" s="12">
        <v>23967</v>
      </c>
      <c r="AG398" s="11"/>
      <c r="AH398" s="10" t="s">
        <v>3541</v>
      </c>
      <c r="AI398" s="10" t="s">
        <v>3542</v>
      </c>
      <c r="AJ398" s="11"/>
      <c r="AK398" s="10" t="s">
        <v>3543</v>
      </c>
      <c r="AL398" s="11"/>
      <c r="AM398" s="11"/>
      <c r="AN398" s="11"/>
      <c r="AO398" s="11"/>
      <c r="AP398" s="11"/>
      <c r="AQ398" s="11"/>
      <c r="AR398" s="10" t="s">
        <v>3544</v>
      </c>
      <c r="AS398" s="10" t="s">
        <v>66</v>
      </c>
      <c r="AT398" s="10" t="s">
        <v>53</v>
      </c>
    </row>
    <row r="399" spans="1:46" ht="20" hidden="1" customHeight="1" x14ac:dyDescent="0.15">
      <c r="A399" s="8" t="s">
        <v>3545</v>
      </c>
      <c r="B399" s="9" t="s">
        <v>3546</v>
      </c>
      <c r="C399" s="10" t="s">
        <v>3547</v>
      </c>
      <c r="D399" s="10" t="s">
        <v>3548</v>
      </c>
      <c r="E399" s="10" t="s">
        <v>51</v>
      </c>
      <c r="F399" s="10" t="s">
        <v>385</v>
      </c>
      <c r="G399" s="11"/>
      <c r="H399" s="10" t="s">
        <v>91</v>
      </c>
      <c r="I399" s="10" t="s">
        <v>53</v>
      </c>
      <c r="J399" s="10" t="s">
        <v>54</v>
      </c>
      <c r="K399" s="11"/>
      <c r="L399" s="10" t="s">
        <v>3549</v>
      </c>
      <c r="M399" s="11"/>
      <c r="N399" s="10" t="s">
        <v>3550</v>
      </c>
      <c r="O399" s="11"/>
      <c r="P399" s="11"/>
      <c r="Q399" s="10" t="s">
        <v>135</v>
      </c>
      <c r="R399" s="11"/>
      <c r="S399" s="10" t="s">
        <v>3534</v>
      </c>
      <c r="T399" s="10" t="s">
        <v>3535</v>
      </c>
      <c r="U399" s="10" t="s">
        <v>3536</v>
      </c>
      <c r="V399" s="11"/>
      <c r="W399" s="10" t="s">
        <v>3537</v>
      </c>
      <c r="X399" s="10" t="s">
        <v>80</v>
      </c>
      <c r="Y399" s="10" t="s">
        <v>80</v>
      </c>
      <c r="Z399" s="10" t="s">
        <v>3551</v>
      </c>
      <c r="AA399" s="10" t="s">
        <v>3552</v>
      </c>
      <c r="AB399" s="11"/>
      <c r="AC399" s="11"/>
      <c r="AD399" s="11"/>
      <c r="AE399" s="10" t="s">
        <v>3553</v>
      </c>
      <c r="AF399" s="12">
        <v>2000000</v>
      </c>
      <c r="AG399" s="11"/>
      <c r="AH399" s="10" t="s">
        <v>3554</v>
      </c>
      <c r="AI399" s="10" t="s">
        <v>3555</v>
      </c>
      <c r="AJ399" s="11"/>
      <c r="AK399" s="10" t="s">
        <v>3556</v>
      </c>
      <c r="AL399" s="11"/>
      <c r="AM399" s="11"/>
      <c r="AN399" s="11"/>
      <c r="AO399" s="11"/>
      <c r="AP399" s="11"/>
      <c r="AQ399" s="11"/>
      <c r="AR399" s="10" t="s">
        <v>3557</v>
      </c>
      <c r="AS399" s="10" t="s">
        <v>66</v>
      </c>
      <c r="AT399" s="10" t="s">
        <v>53</v>
      </c>
    </row>
    <row r="400" spans="1:46" ht="20" hidden="1" customHeight="1" x14ac:dyDescent="0.15">
      <c r="A400" s="8" t="s">
        <v>3558</v>
      </c>
      <c r="B400" s="9" t="s">
        <v>3559</v>
      </c>
      <c r="C400" s="10" t="s">
        <v>3560</v>
      </c>
      <c r="D400" s="10" t="s">
        <v>3561</v>
      </c>
      <c r="E400" s="10" t="s">
        <v>51</v>
      </c>
      <c r="F400" s="10" t="s">
        <v>385</v>
      </c>
      <c r="G400" s="11"/>
      <c r="H400" s="10" t="s">
        <v>91</v>
      </c>
      <c r="I400" s="10" t="s">
        <v>53</v>
      </c>
      <c r="J400" s="10" t="s">
        <v>54</v>
      </c>
      <c r="K400" s="11"/>
      <c r="L400" s="10" t="s">
        <v>3562</v>
      </c>
      <c r="M400" s="11"/>
      <c r="N400" s="10" t="s">
        <v>3563</v>
      </c>
      <c r="O400" s="11"/>
      <c r="P400" s="11"/>
      <c r="Q400" s="10" t="s">
        <v>2201</v>
      </c>
      <c r="R400" s="11"/>
      <c r="S400" s="10" t="s">
        <v>3534</v>
      </c>
      <c r="T400" s="10" t="s">
        <v>3535</v>
      </c>
      <c r="U400" s="10" t="s">
        <v>3536</v>
      </c>
      <c r="V400" s="11"/>
      <c r="W400" s="10" t="s">
        <v>3537</v>
      </c>
      <c r="X400" s="10" t="s">
        <v>80</v>
      </c>
      <c r="Y400" s="10" t="s">
        <v>80</v>
      </c>
      <c r="Z400" s="10" t="s">
        <v>3564</v>
      </c>
      <c r="AA400" s="10" t="s">
        <v>3565</v>
      </c>
      <c r="AB400" s="11"/>
      <c r="AC400" s="11"/>
      <c r="AD400" s="11"/>
      <c r="AE400" s="10" t="s">
        <v>3566</v>
      </c>
      <c r="AF400" s="12">
        <v>4913</v>
      </c>
      <c r="AG400" s="11"/>
      <c r="AH400" s="10" t="s">
        <v>3567</v>
      </c>
      <c r="AI400" s="10" t="s">
        <v>3568</v>
      </c>
      <c r="AJ400" s="11"/>
      <c r="AK400" s="10" t="s">
        <v>3569</v>
      </c>
      <c r="AL400" s="11"/>
      <c r="AM400" s="11"/>
      <c r="AN400" s="11"/>
      <c r="AO400" s="11"/>
      <c r="AP400" s="11"/>
      <c r="AQ400" s="11"/>
      <c r="AR400" s="10" t="s">
        <v>3570</v>
      </c>
      <c r="AS400" s="10" t="s">
        <v>66</v>
      </c>
      <c r="AT400" s="10" t="s">
        <v>53</v>
      </c>
    </row>
    <row r="401" spans="1:46" ht="20" hidden="1" customHeight="1" x14ac:dyDescent="0.15">
      <c r="A401" s="8" t="s">
        <v>3571</v>
      </c>
      <c r="B401" s="9" t="s">
        <v>3572</v>
      </c>
      <c r="C401" s="10" t="s">
        <v>2207</v>
      </c>
      <c r="D401" s="10" t="s">
        <v>3573</v>
      </c>
      <c r="E401" s="10" t="s">
        <v>51</v>
      </c>
      <c r="F401" s="10" t="s">
        <v>385</v>
      </c>
      <c r="G401" s="11"/>
      <c r="H401" s="10" t="s">
        <v>91</v>
      </c>
      <c r="I401" s="10" t="s">
        <v>53</v>
      </c>
      <c r="J401" s="10" t="s">
        <v>54</v>
      </c>
      <c r="K401" s="11"/>
      <c r="L401" s="10" t="s">
        <v>3574</v>
      </c>
      <c r="M401" s="11"/>
      <c r="N401" s="10" t="s">
        <v>3575</v>
      </c>
      <c r="O401" s="11"/>
      <c r="P401" s="11"/>
      <c r="Q401" s="10" t="s">
        <v>135</v>
      </c>
      <c r="R401" s="11"/>
      <c r="S401" s="10" t="s">
        <v>3534</v>
      </c>
      <c r="T401" s="10" t="s">
        <v>3535</v>
      </c>
      <c r="U401" s="10" t="s">
        <v>3536</v>
      </c>
      <c r="V401" s="11"/>
      <c r="W401" s="10" t="s">
        <v>3537</v>
      </c>
      <c r="X401" s="10" t="s">
        <v>80</v>
      </c>
      <c r="Y401" s="10" t="s">
        <v>80</v>
      </c>
      <c r="Z401" s="10" t="s">
        <v>3576</v>
      </c>
      <c r="AA401" s="10" t="s">
        <v>3577</v>
      </c>
      <c r="AB401" s="11"/>
      <c r="AC401" s="11"/>
      <c r="AD401" s="11"/>
      <c r="AE401" s="10" t="s">
        <v>3578</v>
      </c>
      <c r="AF401" s="12">
        <v>58000</v>
      </c>
      <c r="AG401" s="11"/>
      <c r="AH401" s="10" t="s">
        <v>2207</v>
      </c>
      <c r="AI401" s="10" t="s">
        <v>3579</v>
      </c>
      <c r="AJ401" s="11"/>
      <c r="AK401" s="10" t="s">
        <v>3580</v>
      </c>
      <c r="AL401" s="11"/>
      <c r="AM401" s="11"/>
      <c r="AN401" s="11"/>
      <c r="AO401" s="11"/>
      <c r="AP401" s="11"/>
      <c r="AQ401" s="11"/>
      <c r="AR401" s="10" t="s">
        <v>983</v>
      </c>
      <c r="AS401" s="10" t="s">
        <v>66</v>
      </c>
      <c r="AT401" s="10" t="s">
        <v>53</v>
      </c>
    </row>
    <row r="402" spans="1:46" ht="20" hidden="1" customHeight="1" x14ac:dyDescent="0.15">
      <c r="A402" s="8" t="s">
        <v>3581</v>
      </c>
      <c r="B402" s="9" t="s">
        <v>3582</v>
      </c>
      <c r="C402" s="10" t="s">
        <v>3583</v>
      </c>
      <c r="D402" s="10" t="s">
        <v>3584</v>
      </c>
      <c r="E402" s="10" t="s">
        <v>51</v>
      </c>
      <c r="F402" s="10" t="s">
        <v>385</v>
      </c>
      <c r="G402" s="11"/>
      <c r="H402" s="10" t="s">
        <v>91</v>
      </c>
      <c r="I402" s="10" t="s">
        <v>53</v>
      </c>
      <c r="J402" s="10" t="s">
        <v>54</v>
      </c>
      <c r="K402" s="11"/>
      <c r="L402" s="10" t="s">
        <v>3585</v>
      </c>
      <c r="M402" s="11"/>
      <c r="N402" s="10" t="s">
        <v>3575</v>
      </c>
      <c r="O402" s="11"/>
      <c r="P402" s="11"/>
      <c r="Q402" s="10" t="s">
        <v>135</v>
      </c>
      <c r="R402" s="11"/>
      <c r="S402" s="10" t="s">
        <v>3534</v>
      </c>
      <c r="T402" s="10" t="s">
        <v>3535</v>
      </c>
      <c r="U402" s="10" t="s">
        <v>3536</v>
      </c>
      <c r="V402" s="11"/>
      <c r="W402" s="10" t="s">
        <v>3537</v>
      </c>
      <c r="X402" s="10" t="s">
        <v>80</v>
      </c>
      <c r="Y402" s="10" t="s">
        <v>80</v>
      </c>
      <c r="Z402" s="10" t="s">
        <v>3586</v>
      </c>
      <c r="AA402" s="10" t="s">
        <v>3587</v>
      </c>
      <c r="AB402" s="11"/>
      <c r="AC402" s="11"/>
      <c r="AD402" s="11"/>
      <c r="AE402" s="10" t="s">
        <v>3588</v>
      </c>
      <c r="AF402" s="12">
        <v>3000000</v>
      </c>
      <c r="AG402" s="11"/>
      <c r="AH402" s="10" t="s">
        <v>3554</v>
      </c>
      <c r="AI402" s="10" t="s">
        <v>1190</v>
      </c>
      <c r="AJ402" s="11"/>
      <c r="AK402" s="10" t="s">
        <v>3589</v>
      </c>
      <c r="AL402" s="11"/>
      <c r="AM402" s="11"/>
      <c r="AN402" s="11"/>
      <c r="AO402" s="11"/>
      <c r="AP402" s="11"/>
      <c r="AQ402" s="11"/>
      <c r="AR402" s="10" t="s">
        <v>3590</v>
      </c>
      <c r="AS402" s="10" t="s">
        <v>66</v>
      </c>
      <c r="AT402" s="10" t="s">
        <v>53</v>
      </c>
    </row>
    <row r="403" spans="1:46" ht="20" hidden="1" customHeight="1" x14ac:dyDescent="0.15">
      <c r="A403" s="8" t="s">
        <v>3591</v>
      </c>
      <c r="B403" s="9" t="s">
        <v>3592</v>
      </c>
      <c r="C403" s="10" t="s">
        <v>2231</v>
      </c>
      <c r="D403" s="10" t="s">
        <v>3593</v>
      </c>
      <c r="E403" s="10" t="s">
        <v>51</v>
      </c>
      <c r="F403" s="10" t="s">
        <v>385</v>
      </c>
      <c r="G403" s="11"/>
      <c r="H403" s="10" t="s">
        <v>91</v>
      </c>
      <c r="I403" s="10" t="s">
        <v>53</v>
      </c>
      <c r="J403" s="10" t="s">
        <v>54</v>
      </c>
      <c r="K403" s="11"/>
      <c r="L403" s="10" t="s">
        <v>3574</v>
      </c>
      <c r="M403" s="11"/>
      <c r="N403" s="10" t="s">
        <v>3594</v>
      </c>
      <c r="O403" s="11"/>
      <c r="P403" s="11"/>
      <c r="Q403" s="10" t="s">
        <v>135</v>
      </c>
      <c r="R403" s="11"/>
      <c r="S403" s="10" t="s">
        <v>3534</v>
      </c>
      <c r="T403" s="10" t="s">
        <v>3535</v>
      </c>
      <c r="U403" s="10" t="s">
        <v>3536</v>
      </c>
      <c r="V403" s="11"/>
      <c r="W403" s="10" t="s">
        <v>3537</v>
      </c>
      <c r="X403" s="10" t="s">
        <v>80</v>
      </c>
      <c r="Y403" s="10" t="s">
        <v>80</v>
      </c>
      <c r="Z403" s="10" t="s">
        <v>3595</v>
      </c>
      <c r="AA403" s="10" t="s">
        <v>3596</v>
      </c>
      <c r="AB403" s="11"/>
      <c r="AC403" s="11"/>
      <c r="AD403" s="11"/>
      <c r="AE403" s="10" t="s">
        <v>3578</v>
      </c>
      <c r="AF403" s="12">
        <v>75000</v>
      </c>
      <c r="AG403" s="11"/>
      <c r="AH403" s="10" t="s">
        <v>2231</v>
      </c>
      <c r="AI403" s="10" t="s">
        <v>1202</v>
      </c>
      <c r="AJ403" s="11"/>
      <c r="AK403" s="10" t="s">
        <v>3597</v>
      </c>
      <c r="AL403" s="11"/>
      <c r="AM403" s="11"/>
      <c r="AN403" s="11"/>
      <c r="AO403" s="11"/>
      <c r="AP403" s="11"/>
      <c r="AQ403" s="11"/>
      <c r="AR403" s="10" t="s">
        <v>983</v>
      </c>
      <c r="AS403" s="10" t="s">
        <v>66</v>
      </c>
      <c r="AT403" s="10" t="s">
        <v>53</v>
      </c>
    </row>
    <row r="404" spans="1:46" ht="20" hidden="1" customHeight="1" x14ac:dyDescent="0.15">
      <c r="A404" s="8" t="s">
        <v>3598</v>
      </c>
      <c r="B404" s="9" t="s">
        <v>3599</v>
      </c>
      <c r="C404" s="10" t="s">
        <v>2238</v>
      </c>
      <c r="D404" s="10" t="s">
        <v>3600</v>
      </c>
      <c r="E404" s="10" t="s">
        <v>51</v>
      </c>
      <c r="F404" s="10" t="s">
        <v>385</v>
      </c>
      <c r="G404" s="11"/>
      <c r="H404" s="10" t="s">
        <v>91</v>
      </c>
      <c r="I404" s="10" t="s">
        <v>53</v>
      </c>
      <c r="J404" s="10" t="s">
        <v>54</v>
      </c>
      <c r="K404" s="11"/>
      <c r="L404" s="10" t="s">
        <v>3574</v>
      </c>
      <c r="M404" s="11"/>
      <c r="N404" s="10" t="s">
        <v>3594</v>
      </c>
      <c r="O404" s="11"/>
      <c r="P404" s="11"/>
      <c r="Q404" s="10" t="s">
        <v>135</v>
      </c>
      <c r="R404" s="11"/>
      <c r="S404" s="10" t="s">
        <v>3534</v>
      </c>
      <c r="T404" s="10" t="s">
        <v>3535</v>
      </c>
      <c r="U404" s="10" t="s">
        <v>3536</v>
      </c>
      <c r="V404" s="11"/>
      <c r="W404" s="10" t="s">
        <v>3537</v>
      </c>
      <c r="X404" s="10" t="s">
        <v>80</v>
      </c>
      <c r="Y404" s="10" t="s">
        <v>80</v>
      </c>
      <c r="Z404" s="10" t="s">
        <v>3601</v>
      </c>
      <c r="AA404" s="10" t="s">
        <v>3602</v>
      </c>
      <c r="AB404" s="11"/>
      <c r="AC404" s="11"/>
      <c r="AD404" s="11"/>
      <c r="AE404" s="10" t="s">
        <v>3578</v>
      </c>
      <c r="AF404" s="12">
        <v>270000</v>
      </c>
      <c r="AG404" s="11"/>
      <c r="AH404" s="10" t="s">
        <v>2238</v>
      </c>
      <c r="AI404" s="10" t="s">
        <v>3603</v>
      </c>
      <c r="AJ404" s="11"/>
      <c r="AK404" s="10" t="s">
        <v>3604</v>
      </c>
      <c r="AL404" s="11"/>
      <c r="AM404" s="11"/>
      <c r="AN404" s="11"/>
      <c r="AO404" s="11"/>
      <c r="AP404" s="11"/>
      <c r="AQ404" s="11"/>
      <c r="AR404" s="10" t="s">
        <v>3605</v>
      </c>
      <c r="AS404" s="10" t="s">
        <v>66</v>
      </c>
      <c r="AT404" s="10" t="s">
        <v>53</v>
      </c>
    </row>
    <row r="405" spans="1:46" ht="20" hidden="1" customHeight="1" x14ac:dyDescent="0.15">
      <c r="A405" s="8" t="s">
        <v>3606</v>
      </c>
      <c r="B405" s="9" t="s">
        <v>3607</v>
      </c>
      <c r="C405" s="10" t="s">
        <v>3608</v>
      </c>
      <c r="D405" s="10" t="s">
        <v>3609</v>
      </c>
      <c r="E405" s="10" t="s">
        <v>51</v>
      </c>
      <c r="F405" s="10" t="s">
        <v>385</v>
      </c>
      <c r="G405" s="11"/>
      <c r="H405" s="10" t="s">
        <v>91</v>
      </c>
      <c r="I405" s="10" t="s">
        <v>53</v>
      </c>
      <c r="J405" s="10" t="s">
        <v>54</v>
      </c>
      <c r="K405" s="11"/>
      <c r="L405" s="10" t="s">
        <v>3574</v>
      </c>
      <c r="M405" s="11"/>
      <c r="N405" s="10" t="s">
        <v>3594</v>
      </c>
      <c r="O405" s="11"/>
      <c r="P405" s="11"/>
      <c r="Q405" s="10" t="s">
        <v>3610</v>
      </c>
      <c r="R405" s="11"/>
      <c r="S405" s="10" t="s">
        <v>3534</v>
      </c>
      <c r="T405" s="10" t="s">
        <v>3535</v>
      </c>
      <c r="U405" s="10" t="s">
        <v>3536</v>
      </c>
      <c r="V405" s="11"/>
      <c r="W405" s="10" t="s">
        <v>3537</v>
      </c>
      <c r="X405" s="10" t="s">
        <v>80</v>
      </c>
      <c r="Y405" s="10" t="s">
        <v>80</v>
      </c>
      <c r="Z405" s="10" t="s">
        <v>3611</v>
      </c>
      <c r="AA405" s="10" t="s">
        <v>3612</v>
      </c>
      <c r="AB405" s="11"/>
      <c r="AC405" s="11"/>
      <c r="AD405" s="11"/>
      <c r="AE405" s="10" t="s">
        <v>3578</v>
      </c>
      <c r="AF405" s="12">
        <v>60000</v>
      </c>
      <c r="AG405" s="11"/>
      <c r="AH405" s="10" t="s">
        <v>3613</v>
      </c>
      <c r="AI405" s="10" t="s">
        <v>3603</v>
      </c>
      <c r="AJ405" s="11"/>
      <c r="AK405" s="10" t="s">
        <v>3614</v>
      </c>
      <c r="AL405" s="11"/>
      <c r="AM405" s="11"/>
      <c r="AN405" s="11"/>
      <c r="AO405" s="11"/>
      <c r="AP405" s="11"/>
      <c r="AQ405" s="11"/>
      <c r="AR405" s="10" t="s">
        <v>983</v>
      </c>
      <c r="AS405" s="10" t="s">
        <v>66</v>
      </c>
      <c r="AT405" s="10" t="s">
        <v>53</v>
      </c>
    </row>
    <row r="406" spans="1:46" ht="20" hidden="1" customHeight="1" x14ac:dyDescent="0.15">
      <c r="A406" s="8" t="s">
        <v>3615</v>
      </c>
      <c r="B406" s="9" t="s">
        <v>3616</v>
      </c>
      <c r="C406" s="10" t="s">
        <v>3617</v>
      </c>
      <c r="D406" s="10" t="s">
        <v>3618</v>
      </c>
      <c r="E406" s="10" t="s">
        <v>51</v>
      </c>
      <c r="F406" s="10" t="s">
        <v>385</v>
      </c>
      <c r="G406" s="11"/>
      <c r="H406" s="10" t="s">
        <v>91</v>
      </c>
      <c r="I406" s="10" t="s">
        <v>53</v>
      </c>
      <c r="J406" s="10" t="s">
        <v>54</v>
      </c>
      <c r="K406" s="11"/>
      <c r="L406" s="10" t="s">
        <v>3562</v>
      </c>
      <c r="M406" s="11"/>
      <c r="N406" s="10" t="s">
        <v>3594</v>
      </c>
      <c r="O406" s="11"/>
      <c r="P406" s="11"/>
      <c r="Q406" s="10" t="s">
        <v>2201</v>
      </c>
      <c r="R406" s="11"/>
      <c r="S406" s="10" t="s">
        <v>3534</v>
      </c>
      <c r="T406" s="10" t="s">
        <v>3535</v>
      </c>
      <c r="U406" s="10" t="s">
        <v>3536</v>
      </c>
      <c r="V406" s="11"/>
      <c r="W406" s="10" t="s">
        <v>3537</v>
      </c>
      <c r="X406" s="10" t="s">
        <v>80</v>
      </c>
      <c r="Y406" s="10" t="s">
        <v>80</v>
      </c>
      <c r="Z406" s="10" t="s">
        <v>3619</v>
      </c>
      <c r="AA406" s="10" t="s">
        <v>3620</v>
      </c>
      <c r="AB406" s="11"/>
      <c r="AC406" s="11"/>
      <c r="AD406" s="11"/>
      <c r="AE406" s="10" t="s">
        <v>3566</v>
      </c>
      <c r="AF406" s="12">
        <v>3595</v>
      </c>
      <c r="AG406" s="11"/>
      <c r="AH406" s="10" t="s">
        <v>3621</v>
      </c>
      <c r="AI406" s="10" t="s">
        <v>3622</v>
      </c>
      <c r="AJ406" s="11"/>
      <c r="AK406" s="10" t="s">
        <v>3623</v>
      </c>
      <c r="AL406" s="11"/>
      <c r="AM406" s="11"/>
      <c r="AN406" s="11"/>
      <c r="AO406" s="11"/>
      <c r="AP406" s="11"/>
      <c r="AQ406" s="11"/>
      <c r="AR406" s="10" t="s">
        <v>3570</v>
      </c>
      <c r="AS406" s="10" t="s">
        <v>66</v>
      </c>
      <c r="AT406" s="10" t="s">
        <v>53</v>
      </c>
    </row>
    <row r="407" spans="1:46" ht="20" hidden="1" customHeight="1" x14ac:dyDescent="0.15">
      <c r="A407" s="8" t="s">
        <v>3624</v>
      </c>
      <c r="B407" s="9" t="s">
        <v>3625</v>
      </c>
      <c r="C407" s="10" t="s">
        <v>516</v>
      </c>
      <c r="D407" s="10" t="s">
        <v>3626</v>
      </c>
      <c r="E407" s="10" t="s">
        <v>51</v>
      </c>
      <c r="F407" s="10" t="s">
        <v>385</v>
      </c>
      <c r="G407" s="11"/>
      <c r="H407" s="10" t="s">
        <v>91</v>
      </c>
      <c r="I407" s="10" t="s">
        <v>53</v>
      </c>
      <c r="J407" s="10" t="s">
        <v>54</v>
      </c>
      <c r="K407" s="11"/>
      <c r="L407" s="10" t="s">
        <v>3574</v>
      </c>
      <c r="M407" s="11"/>
      <c r="N407" s="10" t="s">
        <v>3627</v>
      </c>
      <c r="O407" s="11"/>
      <c r="P407" s="11"/>
      <c r="Q407" s="10" t="s">
        <v>135</v>
      </c>
      <c r="R407" s="11"/>
      <c r="S407" s="10" t="s">
        <v>3534</v>
      </c>
      <c r="T407" s="10" t="s">
        <v>3535</v>
      </c>
      <c r="U407" s="10" t="s">
        <v>3536</v>
      </c>
      <c r="V407" s="11"/>
      <c r="W407" s="10" t="s">
        <v>3537</v>
      </c>
      <c r="X407" s="10" t="s">
        <v>80</v>
      </c>
      <c r="Y407" s="10" t="s">
        <v>80</v>
      </c>
      <c r="Z407" s="10" t="s">
        <v>3628</v>
      </c>
      <c r="AA407" s="10" t="s">
        <v>3629</v>
      </c>
      <c r="AB407" s="11"/>
      <c r="AC407" s="11"/>
      <c r="AD407" s="11"/>
      <c r="AE407" s="10" t="s">
        <v>3578</v>
      </c>
      <c r="AF407" s="12">
        <v>300000</v>
      </c>
      <c r="AG407" s="11"/>
      <c r="AH407" s="10" t="s">
        <v>516</v>
      </c>
      <c r="AI407" s="10" t="s">
        <v>1202</v>
      </c>
      <c r="AJ407" s="11"/>
      <c r="AK407" s="10" t="s">
        <v>3630</v>
      </c>
      <c r="AL407" s="11"/>
      <c r="AM407" s="11"/>
      <c r="AN407" s="11"/>
      <c r="AO407" s="11"/>
      <c r="AP407" s="11"/>
      <c r="AQ407" s="11"/>
      <c r="AR407" s="10" t="s">
        <v>983</v>
      </c>
      <c r="AS407" s="10" t="s">
        <v>66</v>
      </c>
      <c r="AT407" s="10" t="s">
        <v>53</v>
      </c>
    </row>
    <row r="408" spans="1:46" ht="20" hidden="1" customHeight="1" x14ac:dyDescent="0.15">
      <c r="A408" s="8" t="s">
        <v>3631</v>
      </c>
      <c r="B408" s="9" t="s">
        <v>3632</v>
      </c>
      <c r="C408" s="10" t="s">
        <v>138</v>
      </c>
      <c r="D408" s="10" t="s">
        <v>3633</v>
      </c>
      <c r="E408" s="10" t="s">
        <v>51</v>
      </c>
      <c r="F408" s="10" t="s">
        <v>385</v>
      </c>
      <c r="G408" s="11"/>
      <c r="H408" s="10" t="s">
        <v>91</v>
      </c>
      <c r="I408" s="10" t="s">
        <v>53</v>
      </c>
      <c r="J408" s="10" t="s">
        <v>54</v>
      </c>
      <c r="K408" s="11"/>
      <c r="L408" s="10" t="s">
        <v>3532</v>
      </c>
      <c r="M408" s="11"/>
      <c r="N408" s="10" t="s">
        <v>3627</v>
      </c>
      <c r="O408" s="11"/>
      <c r="P408" s="11"/>
      <c r="Q408" s="10" t="s">
        <v>128</v>
      </c>
      <c r="R408" s="11"/>
      <c r="S408" s="10" t="s">
        <v>3534</v>
      </c>
      <c r="T408" s="10" t="s">
        <v>3535</v>
      </c>
      <c r="U408" s="10" t="s">
        <v>3536</v>
      </c>
      <c r="V408" s="11"/>
      <c r="W408" s="10" t="s">
        <v>3537</v>
      </c>
      <c r="X408" s="10" t="s">
        <v>80</v>
      </c>
      <c r="Y408" s="10" t="s">
        <v>80</v>
      </c>
      <c r="Z408" s="10" t="s">
        <v>3634</v>
      </c>
      <c r="AA408" s="10" t="s">
        <v>3635</v>
      </c>
      <c r="AB408" s="11"/>
      <c r="AC408" s="11"/>
      <c r="AD408" s="11"/>
      <c r="AE408" s="10" t="s">
        <v>3540</v>
      </c>
      <c r="AF408" s="12">
        <v>47518</v>
      </c>
      <c r="AG408" s="11"/>
      <c r="AH408" s="10" t="s">
        <v>138</v>
      </c>
      <c r="AI408" s="10" t="s">
        <v>3636</v>
      </c>
      <c r="AJ408" s="11"/>
      <c r="AK408" s="10" t="s">
        <v>3637</v>
      </c>
      <c r="AL408" s="11"/>
      <c r="AM408" s="11"/>
      <c r="AN408" s="11"/>
      <c r="AO408" s="11"/>
      <c r="AP408" s="11"/>
      <c r="AQ408" s="11"/>
      <c r="AR408" s="10" t="s">
        <v>3638</v>
      </c>
      <c r="AS408" s="10" t="s">
        <v>66</v>
      </c>
      <c r="AT408" s="10" t="s">
        <v>53</v>
      </c>
    </row>
    <row r="409" spans="1:46" ht="20" hidden="1" customHeight="1" x14ac:dyDescent="0.15">
      <c r="A409" s="8" t="s">
        <v>3639</v>
      </c>
      <c r="B409" s="9" t="s">
        <v>3640</v>
      </c>
      <c r="C409" s="10" t="s">
        <v>141</v>
      </c>
      <c r="D409" s="10" t="s">
        <v>3641</v>
      </c>
      <c r="E409" s="10" t="s">
        <v>51</v>
      </c>
      <c r="F409" s="10" t="s">
        <v>385</v>
      </c>
      <c r="G409" s="11"/>
      <c r="H409" s="10" t="s">
        <v>91</v>
      </c>
      <c r="I409" s="10" t="s">
        <v>53</v>
      </c>
      <c r="J409" s="10" t="s">
        <v>54</v>
      </c>
      <c r="K409" s="11"/>
      <c r="L409" s="10" t="s">
        <v>3642</v>
      </c>
      <c r="M409" s="11"/>
      <c r="N409" s="10" t="s">
        <v>3627</v>
      </c>
      <c r="O409" s="11"/>
      <c r="P409" s="11"/>
      <c r="Q409" s="10" t="s">
        <v>2201</v>
      </c>
      <c r="R409" s="11"/>
      <c r="S409" s="10" t="s">
        <v>3534</v>
      </c>
      <c r="T409" s="10" t="s">
        <v>3535</v>
      </c>
      <c r="U409" s="10" t="s">
        <v>3536</v>
      </c>
      <c r="V409" s="11"/>
      <c r="W409" s="10" t="s">
        <v>3537</v>
      </c>
      <c r="X409" s="10" t="s">
        <v>80</v>
      </c>
      <c r="Y409" s="10" t="s">
        <v>80</v>
      </c>
      <c r="Z409" s="10" t="s">
        <v>3643</v>
      </c>
      <c r="AA409" s="10" t="s">
        <v>3644</v>
      </c>
      <c r="AB409" s="11"/>
      <c r="AC409" s="11"/>
      <c r="AD409" s="11"/>
      <c r="AE409" s="10" t="s">
        <v>3645</v>
      </c>
      <c r="AF409" s="12">
        <v>8879</v>
      </c>
      <c r="AG409" s="11"/>
      <c r="AH409" s="10" t="s">
        <v>141</v>
      </c>
      <c r="AI409" s="10" t="s">
        <v>3646</v>
      </c>
      <c r="AJ409" s="11"/>
      <c r="AK409" s="10" t="s">
        <v>3647</v>
      </c>
      <c r="AL409" s="11"/>
      <c r="AM409" s="11"/>
      <c r="AN409" s="11"/>
      <c r="AO409" s="11"/>
      <c r="AP409" s="11"/>
      <c r="AQ409" s="11"/>
      <c r="AR409" s="10" t="s">
        <v>3648</v>
      </c>
      <c r="AS409" s="10" t="s">
        <v>66</v>
      </c>
      <c r="AT409" s="10" t="s">
        <v>53</v>
      </c>
    </row>
    <row r="410" spans="1:46" ht="20" hidden="1" customHeight="1" x14ac:dyDescent="0.15">
      <c r="A410" s="8" t="s">
        <v>3649</v>
      </c>
      <c r="B410" s="9" t="s">
        <v>3650</v>
      </c>
      <c r="C410" s="10" t="s">
        <v>149</v>
      </c>
      <c r="D410" s="10" t="s">
        <v>3651</v>
      </c>
      <c r="E410" s="10" t="s">
        <v>51</v>
      </c>
      <c r="F410" s="10" t="s">
        <v>385</v>
      </c>
      <c r="G410" s="11"/>
      <c r="H410" s="10" t="s">
        <v>91</v>
      </c>
      <c r="I410" s="10" t="s">
        <v>53</v>
      </c>
      <c r="J410" s="10" t="s">
        <v>54</v>
      </c>
      <c r="K410" s="11"/>
      <c r="L410" s="10" t="s">
        <v>3642</v>
      </c>
      <c r="M410" s="11"/>
      <c r="N410" s="10" t="s">
        <v>3652</v>
      </c>
      <c r="O410" s="11"/>
      <c r="P410" s="11"/>
      <c r="Q410" s="10" t="s">
        <v>3653</v>
      </c>
      <c r="R410" s="11"/>
      <c r="S410" s="10" t="s">
        <v>3534</v>
      </c>
      <c r="T410" s="10" t="s">
        <v>3535</v>
      </c>
      <c r="U410" s="10" t="s">
        <v>3536</v>
      </c>
      <c r="V410" s="11"/>
      <c r="W410" s="10" t="s">
        <v>3537</v>
      </c>
      <c r="X410" s="10" t="s">
        <v>80</v>
      </c>
      <c r="Y410" s="10" t="s">
        <v>80</v>
      </c>
      <c r="Z410" s="10" t="s">
        <v>3654</v>
      </c>
      <c r="AA410" s="10" t="s">
        <v>3655</v>
      </c>
      <c r="AB410" s="11"/>
      <c r="AC410" s="11"/>
      <c r="AD410" s="11"/>
      <c r="AE410" s="10" t="s">
        <v>3645</v>
      </c>
      <c r="AF410" s="12">
        <v>35322</v>
      </c>
      <c r="AG410" s="11"/>
      <c r="AH410" s="10" t="s">
        <v>149</v>
      </c>
      <c r="AI410" s="10" t="s">
        <v>3656</v>
      </c>
      <c r="AJ410" s="11"/>
      <c r="AK410" s="10" t="s">
        <v>3657</v>
      </c>
      <c r="AL410" s="11"/>
      <c r="AM410" s="11"/>
      <c r="AN410" s="11"/>
      <c r="AO410" s="11"/>
      <c r="AP410" s="11"/>
      <c r="AQ410" s="11"/>
      <c r="AR410" s="10" t="s">
        <v>3467</v>
      </c>
      <c r="AS410" s="10" t="s">
        <v>66</v>
      </c>
      <c r="AT410" s="10" t="s">
        <v>53</v>
      </c>
    </row>
    <row r="411" spans="1:46" ht="20" hidden="1" customHeight="1" x14ac:dyDescent="0.15">
      <c r="A411" s="8" t="s">
        <v>3658</v>
      </c>
      <c r="B411" s="9" t="s">
        <v>3659</v>
      </c>
      <c r="C411" s="10" t="s">
        <v>156</v>
      </c>
      <c r="D411" s="10" t="s">
        <v>3660</v>
      </c>
      <c r="E411" s="10" t="s">
        <v>51</v>
      </c>
      <c r="F411" s="10" t="s">
        <v>385</v>
      </c>
      <c r="G411" s="11"/>
      <c r="H411" s="10" t="s">
        <v>91</v>
      </c>
      <c r="I411" s="10" t="s">
        <v>53</v>
      </c>
      <c r="J411" s="10" t="s">
        <v>54</v>
      </c>
      <c r="K411" s="11"/>
      <c r="L411" s="10" t="s">
        <v>3642</v>
      </c>
      <c r="M411" s="11"/>
      <c r="N411" s="10" t="s">
        <v>3661</v>
      </c>
      <c r="O411" s="11"/>
      <c r="P411" s="11"/>
      <c r="Q411" s="10" t="s">
        <v>3653</v>
      </c>
      <c r="R411" s="11"/>
      <c r="S411" s="10" t="s">
        <v>3534</v>
      </c>
      <c r="T411" s="10" t="s">
        <v>3535</v>
      </c>
      <c r="U411" s="10" t="s">
        <v>3536</v>
      </c>
      <c r="V411" s="11"/>
      <c r="W411" s="10" t="s">
        <v>3537</v>
      </c>
      <c r="X411" s="10" t="s">
        <v>80</v>
      </c>
      <c r="Y411" s="10" t="s">
        <v>80</v>
      </c>
      <c r="Z411" s="10" t="s">
        <v>3662</v>
      </c>
      <c r="AA411" s="10" t="s">
        <v>3663</v>
      </c>
      <c r="AB411" s="11"/>
      <c r="AC411" s="11"/>
      <c r="AD411" s="11"/>
      <c r="AE411" s="10" t="s">
        <v>3645</v>
      </c>
      <c r="AF411" s="12">
        <v>10155</v>
      </c>
      <c r="AG411" s="11"/>
      <c r="AH411" s="10" t="s">
        <v>156</v>
      </c>
      <c r="AI411" s="10" t="s">
        <v>3664</v>
      </c>
      <c r="AJ411" s="11"/>
      <c r="AK411" s="10" t="s">
        <v>3665</v>
      </c>
      <c r="AL411" s="11"/>
      <c r="AM411" s="11"/>
      <c r="AN411" s="11"/>
      <c r="AO411" s="11"/>
      <c r="AP411" s="11"/>
      <c r="AQ411" s="11"/>
      <c r="AR411" s="10" t="s">
        <v>3666</v>
      </c>
      <c r="AS411" s="10" t="s">
        <v>66</v>
      </c>
      <c r="AT411" s="10" t="s">
        <v>53</v>
      </c>
    </row>
    <row r="412" spans="1:46" ht="20" hidden="1" customHeight="1" x14ac:dyDescent="0.15">
      <c r="A412" s="8" t="s">
        <v>3667</v>
      </c>
      <c r="B412" s="9" t="s">
        <v>3668</v>
      </c>
      <c r="C412" s="10" t="s">
        <v>163</v>
      </c>
      <c r="D412" s="10" t="s">
        <v>3669</v>
      </c>
      <c r="E412" s="10" t="s">
        <v>51</v>
      </c>
      <c r="F412" s="10" t="s">
        <v>385</v>
      </c>
      <c r="G412" s="11"/>
      <c r="H412" s="10" t="s">
        <v>91</v>
      </c>
      <c r="I412" s="10" t="s">
        <v>53</v>
      </c>
      <c r="J412" s="10" t="s">
        <v>54</v>
      </c>
      <c r="K412" s="11"/>
      <c r="L412" s="10" t="s">
        <v>3642</v>
      </c>
      <c r="M412" s="11"/>
      <c r="N412" s="10" t="s">
        <v>3670</v>
      </c>
      <c r="O412" s="11"/>
      <c r="P412" s="11"/>
      <c r="Q412" s="10" t="s">
        <v>2201</v>
      </c>
      <c r="R412" s="11"/>
      <c r="S412" s="10" t="s">
        <v>3534</v>
      </c>
      <c r="T412" s="10" t="s">
        <v>3535</v>
      </c>
      <c r="U412" s="10" t="s">
        <v>3536</v>
      </c>
      <c r="V412" s="11"/>
      <c r="W412" s="10" t="s">
        <v>3537</v>
      </c>
      <c r="X412" s="10" t="s">
        <v>80</v>
      </c>
      <c r="Y412" s="10" t="s">
        <v>80</v>
      </c>
      <c r="Z412" s="10" t="s">
        <v>3671</v>
      </c>
      <c r="AA412" s="10" t="s">
        <v>3672</v>
      </c>
      <c r="AB412" s="11"/>
      <c r="AC412" s="11"/>
      <c r="AD412" s="11"/>
      <c r="AE412" s="10" t="s">
        <v>3645</v>
      </c>
      <c r="AF412" s="12">
        <v>6579</v>
      </c>
      <c r="AG412" s="11"/>
      <c r="AH412" s="10" t="s">
        <v>3673</v>
      </c>
      <c r="AI412" s="10" t="s">
        <v>3674</v>
      </c>
      <c r="AJ412" s="11"/>
      <c r="AK412" s="10" t="s">
        <v>3675</v>
      </c>
      <c r="AL412" s="11"/>
      <c r="AM412" s="11"/>
      <c r="AN412" s="11"/>
      <c r="AO412" s="11"/>
      <c r="AP412" s="11"/>
      <c r="AQ412" s="11"/>
      <c r="AR412" s="10" t="s">
        <v>3676</v>
      </c>
      <c r="AS412" s="10" t="s">
        <v>66</v>
      </c>
      <c r="AT412" s="10" t="s">
        <v>53</v>
      </c>
    </row>
    <row r="413" spans="1:46" ht="20" hidden="1" customHeight="1" x14ac:dyDescent="0.15">
      <c r="A413" s="8" t="s">
        <v>3677</v>
      </c>
      <c r="B413" s="9" t="s">
        <v>3678</v>
      </c>
      <c r="C413" s="10" t="s">
        <v>170</v>
      </c>
      <c r="D413" s="10" t="s">
        <v>3679</v>
      </c>
      <c r="E413" s="10" t="s">
        <v>51</v>
      </c>
      <c r="F413" s="10" t="s">
        <v>385</v>
      </c>
      <c r="G413" s="11"/>
      <c r="H413" s="10" t="s">
        <v>91</v>
      </c>
      <c r="I413" s="10" t="s">
        <v>53</v>
      </c>
      <c r="J413" s="10" t="s">
        <v>54</v>
      </c>
      <c r="K413" s="11"/>
      <c r="L413" s="10" t="s">
        <v>3642</v>
      </c>
      <c r="M413" s="11"/>
      <c r="N413" s="10" t="s">
        <v>3627</v>
      </c>
      <c r="O413" s="11"/>
      <c r="P413" s="11"/>
      <c r="Q413" s="10" t="s">
        <v>2201</v>
      </c>
      <c r="R413" s="11"/>
      <c r="S413" s="10" t="s">
        <v>3534</v>
      </c>
      <c r="T413" s="10" t="s">
        <v>3535</v>
      </c>
      <c r="U413" s="10" t="s">
        <v>3536</v>
      </c>
      <c r="V413" s="11"/>
      <c r="W413" s="10" t="s">
        <v>3537</v>
      </c>
      <c r="X413" s="10" t="s">
        <v>80</v>
      </c>
      <c r="Y413" s="10" t="s">
        <v>80</v>
      </c>
      <c r="Z413" s="10" t="s">
        <v>3680</v>
      </c>
      <c r="AA413" s="10" t="s">
        <v>3681</v>
      </c>
      <c r="AB413" s="11"/>
      <c r="AC413" s="11"/>
      <c r="AD413" s="11"/>
      <c r="AE413" s="10" t="s">
        <v>3645</v>
      </c>
      <c r="AF413" s="12">
        <v>23711</v>
      </c>
      <c r="AG413" s="11"/>
      <c r="AH413" s="10" t="s">
        <v>170</v>
      </c>
      <c r="AI413" s="10" t="s">
        <v>3682</v>
      </c>
      <c r="AJ413" s="11"/>
      <c r="AK413" s="10" t="s">
        <v>3683</v>
      </c>
      <c r="AL413" s="11"/>
      <c r="AM413" s="11"/>
      <c r="AN413" s="11"/>
      <c r="AO413" s="11"/>
      <c r="AP413" s="11"/>
      <c r="AQ413" s="11"/>
      <c r="AR413" s="10" t="s">
        <v>3684</v>
      </c>
      <c r="AS413" s="10" t="s">
        <v>66</v>
      </c>
      <c r="AT413" s="10" t="s">
        <v>53</v>
      </c>
    </row>
    <row r="414" spans="1:46" ht="20" hidden="1" customHeight="1" x14ac:dyDescent="0.15">
      <c r="A414" s="8" t="s">
        <v>3685</v>
      </c>
      <c r="B414" s="9" t="s">
        <v>3686</v>
      </c>
      <c r="C414" s="10" t="s">
        <v>3687</v>
      </c>
      <c r="D414" s="10" t="s">
        <v>3688</v>
      </c>
      <c r="E414" s="10" t="s">
        <v>51</v>
      </c>
      <c r="F414" s="10" t="s">
        <v>385</v>
      </c>
      <c r="G414" s="11"/>
      <c r="H414" s="10" t="s">
        <v>1849</v>
      </c>
      <c r="I414" s="10" t="s">
        <v>53</v>
      </c>
      <c r="J414" s="10" t="s">
        <v>54</v>
      </c>
      <c r="K414" s="11"/>
      <c r="L414" s="10" t="s">
        <v>3689</v>
      </c>
      <c r="M414" s="11"/>
      <c r="N414" s="10" t="s">
        <v>3690</v>
      </c>
      <c r="O414" s="11"/>
      <c r="P414" s="11"/>
      <c r="Q414" s="10" t="s">
        <v>317</v>
      </c>
      <c r="R414" s="11"/>
      <c r="S414" s="10" t="s">
        <v>3534</v>
      </c>
      <c r="T414" s="10" t="s">
        <v>3535</v>
      </c>
      <c r="U414" s="10" t="s">
        <v>3536</v>
      </c>
      <c r="V414" s="11"/>
      <c r="W414" s="10" t="s">
        <v>3537</v>
      </c>
      <c r="X414" s="10" t="s">
        <v>80</v>
      </c>
      <c r="Y414" s="10" t="s">
        <v>80</v>
      </c>
      <c r="Z414" s="10" t="s">
        <v>3691</v>
      </c>
      <c r="AA414" s="10" t="s">
        <v>3692</v>
      </c>
      <c r="AB414" s="11"/>
      <c r="AC414" s="11"/>
      <c r="AD414" s="11"/>
      <c r="AE414" s="10" t="s">
        <v>3693</v>
      </c>
      <c r="AF414" s="12">
        <v>25000</v>
      </c>
      <c r="AG414" s="11"/>
      <c r="AH414" s="10" t="s">
        <v>538</v>
      </c>
      <c r="AI414" s="10" t="s">
        <v>3694</v>
      </c>
      <c r="AJ414" s="11"/>
      <c r="AK414" s="10" t="s">
        <v>3695</v>
      </c>
      <c r="AL414" s="11"/>
      <c r="AM414" s="11"/>
      <c r="AN414" s="11"/>
      <c r="AO414" s="11"/>
      <c r="AP414" s="11"/>
      <c r="AQ414" s="11"/>
      <c r="AR414" s="10" t="s">
        <v>3696</v>
      </c>
      <c r="AS414" s="10" t="s">
        <v>66</v>
      </c>
      <c r="AT414" s="10" t="s">
        <v>53</v>
      </c>
    </row>
    <row r="415" spans="1:46" ht="20" customHeight="1" x14ac:dyDescent="0.15">
      <c r="A415" s="8" t="s">
        <v>3697</v>
      </c>
      <c r="B415" s="9" t="s">
        <v>3698</v>
      </c>
      <c r="C415" s="10" t="s">
        <v>3699</v>
      </c>
      <c r="D415" s="10" t="s">
        <v>3700</v>
      </c>
      <c r="E415" s="10" t="s">
        <v>51</v>
      </c>
      <c r="F415" s="10" t="s">
        <v>385</v>
      </c>
      <c r="G415" s="11"/>
      <c r="H415" s="10" t="s">
        <v>72</v>
      </c>
      <c r="I415" s="10" t="s">
        <v>53</v>
      </c>
      <c r="J415" s="10" t="s">
        <v>54</v>
      </c>
      <c r="K415" s="11"/>
      <c r="L415" s="10" t="s">
        <v>3689</v>
      </c>
      <c r="M415" s="11"/>
      <c r="N415" s="10" t="s">
        <v>3701</v>
      </c>
      <c r="O415" s="11"/>
      <c r="P415" s="11"/>
      <c r="Q415" s="10" t="s">
        <v>75</v>
      </c>
      <c r="R415" s="11"/>
      <c r="S415" s="10" t="s">
        <v>3534</v>
      </c>
      <c r="T415" s="10" t="s">
        <v>3535</v>
      </c>
      <c r="U415" s="10" t="s">
        <v>3536</v>
      </c>
      <c r="V415" s="11"/>
      <c r="W415" s="10" t="s">
        <v>3537</v>
      </c>
      <c r="X415" s="10" t="s">
        <v>80</v>
      </c>
      <c r="Y415" s="10" t="s">
        <v>80</v>
      </c>
      <c r="Z415" s="10" t="s">
        <v>3702</v>
      </c>
      <c r="AA415" s="10" t="s">
        <v>3703</v>
      </c>
      <c r="AB415" s="11"/>
      <c r="AC415" s="11"/>
      <c r="AD415" s="11"/>
      <c r="AE415" s="10" t="s">
        <v>3693</v>
      </c>
      <c r="AF415" s="12">
        <v>500000</v>
      </c>
      <c r="AG415" s="11"/>
      <c r="AH415" s="10" t="s">
        <v>538</v>
      </c>
      <c r="AI415" s="10" t="s">
        <v>3704</v>
      </c>
      <c r="AJ415" s="11"/>
      <c r="AK415" s="10" t="s">
        <v>3705</v>
      </c>
      <c r="AL415" s="11"/>
      <c r="AM415" s="11"/>
      <c r="AN415" s="11"/>
      <c r="AO415" s="11"/>
      <c r="AP415" s="11"/>
      <c r="AQ415" s="11"/>
      <c r="AR415" s="10" t="s">
        <v>3706</v>
      </c>
      <c r="AS415" s="10" t="s">
        <v>66</v>
      </c>
      <c r="AT415" s="10" t="s">
        <v>53</v>
      </c>
    </row>
    <row r="416" spans="1:46" ht="20" customHeight="1" x14ac:dyDescent="0.15">
      <c r="A416" s="8" t="s">
        <v>3707</v>
      </c>
      <c r="B416" s="9" t="s">
        <v>3708</v>
      </c>
      <c r="C416" s="10" t="s">
        <v>3709</v>
      </c>
      <c r="D416" s="10" t="s">
        <v>3710</v>
      </c>
      <c r="E416" s="10" t="s">
        <v>51</v>
      </c>
      <c r="F416" s="10" t="s">
        <v>385</v>
      </c>
      <c r="G416" s="11"/>
      <c r="H416" s="10" t="s">
        <v>229</v>
      </c>
      <c r="I416" s="10" t="s">
        <v>53</v>
      </c>
      <c r="J416" s="10" t="s">
        <v>54</v>
      </c>
      <c r="K416" s="11"/>
      <c r="L416" s="10" t="s">
        <v>3711</v>
      </c>
      <c r="M416" s="11"/>
      <c r="N416" s="10" t="s">
        <v>3712</v>
      </c>
      <c r="O416" s="11"/>
      <c r="P416" s="11"/>
      <c r="Q416" s="10" t="s">
        <v>75</v>
      </c>
      <c r="R416" s="11"/>
      <c r="S416" s="10" t="s">
        <v>3534</v>
      </c>
      <c r="T416" s="10" t="s">
        <v>3535</v>
      </c>
      <c r="U416" s="10" t="s">
        <v>3536</v>
      </c>
      <c r="V416" s="11"/>
      <c r="W416" s="10" t="s">
        <v>3537</v>
      </c>
      <c r="X416" s="10" t="s">
        <v>80</v>
      </c>
      <c r="Y416" s="10" t="s">
        <v>80</v>
      </c>
      <c r="Z416" s="10" t="s">
        <v>3713</v>
      </c>
      <c r="AA416" s="10" t="s">
        <v>3714</v>
      </c>
      <c r="AB416" s="11"/>
      <c r="AC416" s="11"/>
      <c r="AD416" s="11"/>
      <c r="AE416" s="10" t="s">
        <v>3715</v>
      </c>
      <c r="AF416" s="12">
        <v>7000</v>
      </c>
      <c r="AG416" s="11"/>
      <c r="AH416" s="10" t="s">
        <v>3716</v>
      </c>
      <c r="AI416" s="10" t="s">
        <v>3717</v>
      </c>
      <c r="AJ416" s="11"/>
      <c r="AK416" s="10" t="s">
        <v>3718</v>
      </c>
      <c r="AL416" s="11"/>
      <c r="AM416" s="11"/>
      <c r="AN416" s="11"/>
      <c r="AO416" s="11"/>
      <c r="AP416" s="11"/>
      <c r="AQ416" s="11"/>
      <c r="AR416" s="10" t="s">
        <v>3719</v>
      </c>
      <c r="AS416" s="10" t="s">
        <v>66</v>
      </c>
      <c r="AT416" s="10" t="s">
        <v>53</v>
      </c>
    </row>
    <row r="417" spans="1:46" ht="20" customHeight="1" x14ac:dyDescent="0.15">
      <c r="A417" s="8" t="s">
        <v>3720</v>
      </c>
      <c r="B417" s="9" t="s">
        <v>3721</v>
      </c>
      <c r="C417" s="10" t="s">
        <v>3722</v>
      </c>
      <c r="D417" s="10" t="s">
        <v>3723</v>
      </c>
      <c r="E417" s="10" t="s">
        <v>51</v>
      </c>
      <c r="F417" s="10" t="s">
        <v>385</v>
      </c>
      <c r="G417" s="11"/>
      <c r="H417" s="10" t="s">
        <v>3724</v>
      </c>
      <c r="I417" s="10" t="s">
        <v>53</v>
      </c>
      <c r="J417" s="10" t="s">
        <v>54</v>
      </c>
      <c r="K417" s="11"/>
      <c r="L417" s="10" t="s">
        <v>3725</v>
      </c>
      <c r="M417" s="11"/>
      <c r="N417" s="10" t="s">
        <v>3726</v>
      </c>
      <c r="O417" s="11"/>
      <c r="P417" s="11"/>
      <c r="Q417" s="10" t="s">
        <v>3727</v>
      </c>
      <c r="R417" s="11"/>
      <c r="S417" s="10" t="s">
        <v>3534</v>
      </c>
      <c r="T417" s="10" t="s">
        <v>3535</v>
      </c>
      <c r="U417" s="10" t="s">
        <v>3536</v>
      </c>
      <c r="V417" s="11"/>
      <c r="W417" s="10" t="s">
        <v>3537</v>
      </c>
      <c r="X417" s="10" t="s">
        <v>80</v>
      </c>
      <c r="Y417" s="10" t="s">
        <v>80</v>
      </c>
      <c r="Z417" s="10" t="s">
        <v>3728</v>
      </c>
      <c r="AA417" s="10" t="s">
        <v>3729</v>
      </c>
      <c r="AB417" s="11"/>
      <c r="AC417" s="11"/>
      <c r="AD417" s="11"/>
      <c r="AE417" s="10" t="s">
        <v>3730</v>
      </c>
      <c r="AF417" s="12">
        <v>600000</v>
      </c>
      <c r="AG417" s="11"/>
      <c r="AH417" s="10" t="s">
        <v>3731</v>
      </c>
      <c r="AI417" s="10" t="s">
        <v>3732</v>
      </c>
      <c r="AJ417" s="11"/>
      <c r="AK417" s="10" t="s">
        <v>3733</v>
      </c>
      <c r="AL417" s="11"/>
      <c r="AM417" s="11"/>
      <c r="AN417" s="11"/>
      <c r="AO417" s="11"/>
      <c r="AP417" s="11"/>
      <c r="AQ417" s="11"/>
      <c r="AR417" s="10" t="s">
        <v>3734</v>
      </c>
      <c r="AS417" s="10" t="s">
        <v>66</v>
      </c>
      <c r="AT417" s="10" t="s">
        <v>53</v>
      </c>
    </row>
    <row r="418" spans="1:46" ht="20" customHeight="1" x14ac:dyDescent="0.15">
      <c r="A418" s="8" t="s">
        <v>3735</v>
      </c>
      <c r="B418" s="9" t="s">
        <v>3736</v>
      </c>
      <c r="C418" s="10" t="s">
        <v>3737</v>
      </c>
      <c r="D418" s="10" t="s">
        <v>3738</v>
      </c>
      <c r="E418" s="10" t="s">
        <v>51</v>
      </c>
      <c r="F418" s="10" t="s">
        <v>385</v>
      </c>
      <c r="G418" s="11"/>
      <c r="H418" s="10" t="s">
        <v>3739</v>
      </c>
      <c r="I418" s="10" t="s">
        <v>53</v>
      </c>
      <c r="J418" s="10" t="s">
        <v>54</v>
      </c>
      <c r="K418" s="11"/>
      <c r="L418" s="10" t="s">
        <v>3711</v>
      </c>
      <c r="M418" s="11"/>
      <c r="N418" s="10" t="s">
        <v>3740</v>
      </c>
      <c r="O418" s="11"/>
      <c r="P418" s="11"/>
      <c r="Q418" s="10" t="s">
        <v>75</v>
      </c>
      <c r="R418" s="11"/>
      <c r="S418" s="10" t="s">
        <v>3534</v>
      </c>
      <c r="T418" s="10" t="s">
        <v>3535</v>
      </c>
      <c r="U418" s="10" t="s">
        <v>3536</v>
      </c>
      <c r="V418" s="11"/>
      <c r="W418" s="10" t="s">
        <v>3537</v>
      </c>
      <c r="X418" s="10" t="s">
        <v>80</v>
      </c>
      <c r="Y418" s="10" t="s">
        <v>80</v>
      </c>
      <c r="Z418" s="10" t="s">
        <v>3741</v>
      </c>
      <c r="AA418" s="10" t="s">
        <v>3742</v>
      </c>
      <c r="AB418" s="11"/>
      <c r="AC418" s="11"/>
      <c r="AD418" s="11"/>
      <c r="AE418" s="10" t="s">
        <v>3743</v>
      </c>
      <c r="AF418" s="12">
        <v>260000</v>
      </c>
      <c r="AG418" s="11"/>
      <c r="AH418" s="10" t="s">
        <v>126</v>
      </c>
      <c r="AI418" s="10" t="s">
        <v>3744</v>
      </c>
      <c r="AJ418" s="11"/>
      <c r="AK418" s="10" t="s">
        <v>3745</v>
      </c>
      <c r="AL418" s="11"/>
      <c r="AM418" s="11"/>
      <c r="AN418" s="11"/>
      <c r="AO418" s="11"/>
      <c r="AP418" s="11"/>
      <c r="AQ418" s="11"/>
      <c r="AR418" s="10" t="s">
        <v>3746</v>
      </c>
      <c r="AS418" s="10" t="s">
        <v>66</v>
      </c>
      <c r="AT418" s="10" t="s">
        <v>53</v>
      </c>
    </row>
    <row r="419" spans="1:46" ht="20" customHeight="1" x14ac:dyDescent="0.15">
      <c r="A419" s="8" t="s">
        <v>3747</v>
      </c>
      <c r="B419" s="9" t="s">
        <v>3748</v>
      </c>
      <c r="C419" s="10" t="s">
        <v>3749</v>
      </c>
      <c r="D419" s="10" t="s">
        <v>3750</v>
      </c>
      <c r="E419" s="10" t="s">
        <v>51</v>
      </c>
      <c r="F419" s="10" t="s">
        <v>385</v>
      </c>
      <c r="G419" s="11"/>
      <c r="H419" s="10" t="s">
        <v>3751</v>
      </c>
      <c r="I419" s="10" t="s">
        <v>53</v>
      </c>
      <c r="J419" s="10" t="s">
        <v>54</v>
      </c>
      <c r="K419" s="11"/>
      <c r="L419" s="10" t="s">
        <v>3711</v>
      </c>
      <c r="M419" s="11"/>
      <c r="N419" s="10" t="s">
        <v>3752</v>
      </c>
      <c r="O419" s="11"/>
      <c r="P419" s="11"/>
      <c r="Q419" s="10" t="s">
        <v>75</v>
      </c>
      <c r="R419" s="11"/>
      <c r="S419" s="10" t="s">
        <v>3534</v>
      </c>
      <c r="T419" s="10" t="s">
        <v>3535</v>
      </c>
      <c r="U419" s="10" t="s">
        <v>3536</v>
      </c>
      <c r="V419" s="11"/>
      <c r="W419" s="10" t="s">
        <v>3537</v>
      </c>
      <c r="X419" s="10" t="s">
        <v>80</v>
      </c>
      <c r="Y419" s="10" t="s">
        <v>80</v>
      </c>
      <c r="Z419" s="10" t="s">
        <v>3753</v>
      </c>
      <c r="AA419" s="10" t="s">
        <v>3754</v>
      </c>
      <c r="AB419" s="11"/>
      <c r="AC419" s="11"/>
      <c r="AD419" s="11"/>
      <c r="AE419" s="10" t="s">
        <v>3743</v>
      </c>
      <c r="AF419" s="12">
        <v>1150000</v>
      </c>
      <c r="AG419" s="11"/>
      <c r="AH419" s="10" t="s">
        <v>126</v>
      </c>
      <c r="AI419" s="10" t="s">
        <v>3755</v>
      </c>
      <c r="AJ419" s="11"/>
      <c r="AK419" s="10" t="s">
        <v>3756</v>
      </c>
      <c r="AL419" s="11"/>
      <c r="AM419" s="11"/>
      <c r="AN419" s="11"/>
      <c r="AO419" s="11"/>
      <c r="AP419" s="11"/>
      <c r="AQ419" s="11"/>
      <c r="AR419" s="10" t="s">
        <v>3757</v>
      </c>
      <c r="AS419" s="10" t="s">
        <v>66</v>
      </c>
      <c r="AT419" s="10" t="s">
        <v>53</v>
      </c>
    </row>
    <row r="420" spans="1:46" ht="20" customHeight="1" x14ac:dyDescent="0.15">
      <c r="A420" s="8" t="s">
        <v>3758</v>
      </c>
      <c r="B420" s="9" t="s">
        <v>3759</v>
      </c>
      <c r="C420" s="10" t="s">
        <v>3760</v>
      </c>
      <c r="D420" s="10" t="s">
        <v>3761</v>
      </c>
      <c r="E420" s="10" t="s">
        <v>51</v>
      </c>
      <c r="F420" s="10" t="s">
        <v>385</v>
      </c>
      <c r="G420" s="11"/>
      <c r="H420" s="10" t="s">
        <v>239</v>
      </c>
      <c r="I420" s="10" t="s">
        <v>53</v>
      </c>
      <c r="J420" s="10" t="s">
        <v>54</v>
      </c>
      <c r="K420" s="11"/>
      <c r="L420" s="10" t="s">
        <v>3711</v>
      </c>
      <c r="M420" s="11"/>
      <c r="N420" s="10" t="s">
        <v>3752</v>
      </c>
      <c r="O420" s="11"/>
      <c r="P420" s="11"/>
      <c r="Q420" s="10" t="s">
        <v>75</v>
      </c>
      <c r="R420" s="11"/>
      <c r="S420" s="10" t="s">
        <v>3534</v>
      </c>
      <c r="T420" s="10" t="s">
        <v>3535</v>
      </c>
      <c r="U420" s="10" t="s">
        <v>3536</v>
      </c>
      <c r="V420" s="11"/>
      <c r="W420" s="10" t="s">
        <v>3537</v>
      </c>
      <c r="X420" s="10" t="s">
        <v>80</v>
      </c>
      <c r="Y420" s="10" t="s">
        <v>80</v>
      </c>
      <c r="Z420" s="10" t="s">
        <v>3762</v>
      </c>
      <c r="AA420" s="10" t="s">
        <v>3763</v>
      </c>
      <c r="AB420" s="11"/>
      <c r="AC420" s="11"/>
      <c r="AD420" s="11"/>
      <c r="AE420" s="10" t="s">
        <v>3743</v>
      </c>
      <c r="AF420" s="12">
        <v>195000</v>
      </c>
      <c r="AG420" s="11"/>
      <c r="AH420" s="10" t="s">
        <v>126</v>
      </c>
      <c r="AI420" s="10" t="s">
        <v>3764</v>
      </c>
      <c r="AJ420" s="11"/>
      <c r="AK420" s="10" t="s">
        <v>3765</v>
      </c>
      <c r="AL420" s="11"/>
      <c r="AM420" s="11"/>
      <c r="AN420" s="11"/>
      <c r="AO420" s="11"/>
      <c r="AP420" s="11"/>
      <c r="AQ420" s="11"/>
      <c r="AR420" s="10" t="s">
        <v>3766</v>
      </c>
      <c r="AS420" s="10" t="s">
        <v>66</v>
      </c>
      <c r="AT420" s="10" t="s">
        <v>53</v>
      </c>
    </row>
    <row r="421" spans="1:46" ht="20" customHeight="1" x14ac:dyDescent="0.15">
      <c r="A421" s="8" t="s">
        <v>3767</v>
      </c>
      <c r="B421" s="9" t="s">
        <v>3768</v>
      </c>
      <c r="C421" s="10" t="s">
        <v>3769</v>
      </c>
      <c r="D421" s="10" t="s">
        <v>3770</v>
      </c>
      <c r="E421" s="10" t="s">
        <v>51</v>
      </c>
      <c r="F421" s="10" t="s">
        <v>385</v>
      </c>
      <c r="G421" s="11"/>
      <c r="H421" s="10" t="s">
        <v>3751</v>
      </c>
      <c r="I421" s="10" t="s">
        <v>53</v>
      </c>
      <c r="J421" s="10" t="s">
        <v>54</v>
      </c>
      <c r="K421" s="11"/>
      <c r="L421" s="10" t="s">
        <v>3711</v>
      </c>
      <c r="M421" s="11"/>
      <c r="N421" s="10" t="s">
        <v>3771</v>
      </c>
      <c r="O421" s="11"/>
      <c r="P421" s="11"/>
      <c r="Q421" s="10" t="s">
        <v>75</v>
      </c>
      <c r="R421" s="11"/>
      <c r="S421" s="10" t="s">
        <v>3534</v>
      </c>
      <c r="T421" s="10" t="s">
        <v>3535</v>
      </c>
      <c r="U421" s="10" t="s">
        <v>3536</v>
      </c>
      <c r="V421" s="11"/>
      <c r="W421" s="10" t="s">
        <v>3537</v>
      </c>
      <c r="X421" s="10" t="s">
        <v>80</v>
      </c>
      <c r="Y421" s="10" t="s">
        <v>80</v>
      </c>
      <c r="Z421" s="10" t="s">
        <v>3772</v>
      </c>
      <c r="AA421" s="10" t="s">
        <v>3773</v>
      </c>
      <c r="AB421" s="11"/>
      <c r="AC421" s="11"/>
      <c r="AD421" s="11"/>
      <c r="AE421" s="10" t="s">
        <v>3715</v>
      </c>
      <c r="AF421" s="12">
        <v>800</v>
      </c>
      <c r="AG421" s="11"/>
      <c r="AH421" s="10" t="s">
        <v>3774</v>
      </c>
      <c r="AI421" s="10" t="s">
        <v>3775</v>
      </c>
      <c r="AJ421" s="11"/>
      <c r="AK421" s="10" t="s">
        <v>3776</v>
      </c>
      <c r="AL421" s="11"/>
      <c r="AM421" s="11"/>
      <c r="AN421" s="11"/>
      <c r="AO421" s="11"/>
      <c r="AP421" s="11"/>
      <c r="AQ421" s="11"/>
      <c r="AR421" s="10" t="s">
        <v>3777</v>
      </c>
      <c r="AS421" s="10" t="s">
        <v>66</v>
      </c>
      <c r="AT421" s="10" t="s">
        <v>53</v>
      </c>
    </row>
    <row r="422" spans="1:46" ht="20" hidden="1" customHeight="1" x14ac:dyDescent="0.15">
      <c r="A422" s="8" t="s">
        <v>3778</v>
      </c>
      <c r="B422" s="9" t="s">
        <v>3779</v>
      </c>
      <c r="C422" s="10" t="s">
        <v>323</v>
      </c>
      <c r="D422" s="10" t="s">
        <v>3780</v>
      </c>
      <c r="E422" s="10" t="s">
        <v>51</v>
      </c>
      <c r="F422" s="10" t="s">
        <v>385</v>
      </c>
      <c r="G422" s="11"/>
      <c r="H422" s="10" t="s">
        <v>1211</v>
      </c>
      <c r="I422" s="10" t="s">
        <v>53</v>
      </c>
      <c r="J422" s="10" t="s">
        <v>54</v>
      </c>
      <c r="K422" s="11"/>
      <c r="L422" s="10" t="s">
        <v>3781</v>
      </c>
      <c r="M422" s="11"/>
      <c r="N422" s="10" t="s">
        <v>3782</v>
      </c>
      <c r="O422" s="11"/>
      <c r="P422" s="11"/>
      <c r="Q422" s="10" t="s">
        <v>603</v>
      </c>
      <c r="R422" s="11"/>
      <c r="S422" s="10" t="s">
        <v>3534</v>
      </c>
      <c r="T422" s="10" t="s">
        <v>3535</v>
      </c>
      <c r="U422" s="10" t="s">
        <v>3536</v>
      </c>
      <c r="V422" s="11"/>
      <c r="W422" s="10" t="s">
        <v>3537</v>
      </c>
      <c r="X422" s="10" t="s">
        <v>80</v>
      </c>
      <c r="Y422" s="10" t="s">
        <v>80</v>
      </c>
      <c r="Z422" s="10" t="s">
        <v>3783</v>
      </c>
      <c r="AA422" s="10" t="s">
        <v>3784</v>
      </c>
      <c r="AB422" s="11"/>
      <c r="AC422" s="11"/>
      <c r="AD422" s="11"/>
      <c r="AE422" s="10" t="s">
        <v>3785</v>
      </c>
      <c r="AF422" s="12">
        <v>7600</v>
      </c>
      <c r="AG422" s="11"/>
      <c r="AH422" s="11"/>
      <c r="AI422" s="10" t="s">
        <v>3786</v>
      </c>
      <c r="AJ422" s="11"/>
      <c r="AK422" s="10" t="s">
        <v>3787</v>
      </c>
      <c r="AL422" s="11"/>
      <c r="AM422" s="11"/>
      <c r="AN422" s="11"/>
      <c r="AO422" s="11"/>
      <c r="AP422" s="11"/>
      <c r="AQ422" s="11"/>
      <c r="AR422" s="10" t="s">
        <v>3788</v>
      </c>
      <c r="AS422" s="10" t="s">
        <v>66</v>
      </c>
      <c r="AT422" s="10" t="s">
        <v>53</v>
      </c>
    </row>
    <row r="423" spans="1:46" ht="20" customHeight="1" x14ac:dyDescent="0.15">
      <c r="A423" s="8" t="s">
        <v>3789</v>
      </c>
      <c r="B423" s="9" t="s">
        <v>3790</v>
      </c>
      <c r="C423" s="10" t="s">
        <v>1740</v>
      </c>
      <c r="D423" s="10" t="s">
        <v>3791</v>
      </c>
      <c r="E423" s="10" t="s">
        <v>51</v>
      </c>
      <c r="F423" s="10" t="s">
        <v>385</v>
      </c>
      <c r="G423" s="11"/>
      <c r="H423" s="10" t="s">
        <v>568</v>
      </c>
      <c r="I423" s="10" t="s">
        <v>53</v>
      </c>
      <c r="J423" s="10" t="s">
        <v>54</v>
      </c>
      <c r="K423" s="11"/>
      <c r="L423" s="10" t="s">
        <v>3711</v>
      </c>
      <c r="M423" s="11"/>
      <c r="N423" s="11"/>
      <c r="O423" s="11"/>
      <c r="P423" s="11"/>
      <c r="Q423" s="10" t="s">
        <v>75</v>
      </c>
      <c r="R423" s="11"/>
      <c r="S423" s="10" t="s">
        <v>3534</v>
      </c>
      <c r="T423" s="10" t="s">
        <v>3535</v>
      </c>
      <c r="U423" s="10" t="s">
        <v>3536</v>
      </c>
      <c r="V423" s="11"/>
      <c r="W423" s="10" t="s">
        <v>3537</v>
      </c>
      <c r="X423" s="10" t="s">
        <v>80</v>
      </c>
      <c r="Y423" s="10" t="s">
        <v>80</v>
      </c>
      <c r="Z423" s="10" t="s">
        <v>3792</v>
      </c>
      <c r="AA423" s="10" t="s">
        <v>3793</v>
      </c>
      <c r="AB423" s="11"/>
      <c r="AC423" s="11"/>
      <c r="AD423" s="11"/>
      <c r="AE423" s="10" t="s">
        <v>3794</v>
      </c>
      <c r="AF423" s="12">
        <v>48664</v>
      </c>
      <c r="AG423" s="11"/>
      <c r="AH423" s="11"/>
      <c r="AI423" s="10" t="s">
        <v>3795</v>
      </c>
      <c r="AJ423" s="11"/>
      <c r="AK423" s="10" t="s">
        <v>3796</v>
      </c>
      <c r="AL423" s="11"/>
      <c r="AM423" s="11"/>
      <c r="AN423" s="11"/>
      <c r="AO423" s="11"/>
      <c r="AP423" s="11"/>
      <c r="AQ423" s="11"/>
      <c r="AR423" s="10" t="s">
        <v>3797</v>
      </c>
      <c r="AS423" s="10" t="s">
        <v>66</v>
      </c>
      <c r="AT423" s="10" t="s">
        <v>53</v>
      </c>
    </row>
    <row r="424" spans="1:46" ht="20" customHeight="1" x14ac:dyDescent="0.15">
      <c r="A424" s="8" t="s">
        <v>3798</v>
      </c>
      <c r="B424" s="9" t="s">
        <v>3799</v>
      </c>
      <c r="C424" s="10" t="s">
        <v>1756</v>
      </c>
      <c r="D424" s="10" t="s">
        <v>3800</v>
      </c>
      <c r="E424" s="10" t="s">
        <v>51</v>
      </c>
      <c r="F424" s="10" t="s">
        <v>3298</v>
      </c>
      <c r="G424" s="10" t="s">
        <v>3801</v>
      </c>
      <c r="H424" s="10" t="s">
        <v>568</v>
      </c>
      <c r="I424" s="10" t="s">
        <v>53</v>
      </c>
      <c r="J424" s="10" t="s">
        <v>54</v>
      </c>
      <c r="K424" s="11"/>
      <c r="L424" s="10" t="s">
        <v>3337</v>
      </c>
      <c r="M424" s="11"/>
      <c r="N424" s="10" t="s">
        <v>3802</v>
      </c>
      <c r="O424" s="11"/>
      <c r="P424" s="11"/>
      <c r="Q424" s="10" t="s">
        <v>361</v>
      </c>
      <c r="R424" s="10" t="s">
        <v>3803</v>
      </c>
      <c r="S424" s="10" t="s">
        <v>3300</v>
      </c>
      <c r="T424" s="10" t="s">
        <v>3301</v>
      </c>
      <c r="U424" s="10" t="s">
        <v>3302</v>
      </c>
      <c r="V424" s="10" t="s">
        <v>3804</v>
      </c>
      <c r="W424" s="10" t="s">
        <v>3805</v>
      </c>
      <c r="X424" s="10" t="s">
        <v>80</v>
      </c>
      <c r="Y424" s="10" t="s">
        <v>80</v>
      </c>
      <c r="Z424" s="10" t="s">
        <v>3806</v>
      </c>
      <c r="AA424" s="10" t="s">
        <v>3807</v>
      </c>
      <c r="AB424" s="11"/>
      <c r="AC424" s="11"/>
      <c r="AD424" s="11"/>
      <c r="AE424" s="10" t="s">
        <v>3340</v>
      </c>
      <c r="AF424" s="12">
        <v>9000</v>
      </c>
      <c r="AG424" s="11"/>
      <c r="AH424" s="11"/>
      <c r="AI424" s="10" t="s">
        <v>3808</v>
      </c>
      <c r="AJ424" s="10" t="s">
        <v>3217</v>
      </c>
      <c r="AK424" s="10" t="s">
        <v>3809</v>
      </c>
      <c r="AL424" s="11"/>
      <c r="AM424" s="11"/>
      <c r="AN424" s="11"/>
      <c r="AO424" s="11"/>
      <c r="AP424" s="11"/>
      <c r="AQ424" s="11"/>
      <c r="AR424" s="10" t="s">
        <v>556</v>
      </c>
      <c r="AS424" s="10" t="s">
        <v>66</v>
      </c>
      <c r="AT424" s="10" t="s">
        <v>53</v>
      </c>
    </row>
    <row r="425" spans="1:46" ht="20" hidden="1" customHeight="1" x14ac:dyDescent="0.15">
      <c r="A425" s="8" t="s">
        <v>3810</v>
      </c>
      <c r="B425" s="9" t="s">
        <v>3811</v>
      </c>
      <c r="C425" s="10" t="s">
        <v>302</v>
      </c>
      <c r="D425" s="10" t="s">
        <v>3812</v>
      </c>
      <c r="E425" s="10" t="s">
        <v>51</v>
      </c>
      <c r="F425" s="10" t="s">
        <v>3298</v>
      </c>
      <c r="G425" s="10" t="s">
        <v>3801</v>
      </c>
      <c r="H425" s="10" t="s">
        <v>91</v>
      </c>
      <c r="I425" s="10" t="s">
        <v>53</v>
      </c>
      <c r="J425" s="10" t="s">
        <v>54</v>
      </c>
      <c r="K425" s="11"/>
      <c r="L425" s="10" t="s">
        <v>3299</v>
      </c>
      <c r="M425" s="11"/>
      <c r="N425" s="10" t="s">
        <v>3802</v>
      </c>
      <c r="O425" s="11"/>
      <c r="P425" s="11"/>
      <c r="Q425" s="10" t="s">
        <v>107</v>
      </c>
      <c r="R425" s="10" t="s">
        <v>3803</v>
      </c>
      <c r="S425" s="10" t="s">
        <v>3300</v>
      </c>
      <c r="T425" s="10" t="s">
        <v>3301</v>
      </c>
      <c r="U425" s="10" t="s">
        <v>3302</v>
      </c>
      <c r="V425" s="10" t="s">
        <v>3804</v>
      </c>
      <c r="W425" s="10" t="s">
        <v>3805</v>
      </c>
      <c r="X425" s="10" t="s">
        <v>80</v>
      </c>
      <c r="Y425" s="10" t="s">
        <v>80</v>
      </c>
      <c r="Z425" s="10" t="s">
        <v>3813</v>
      </c>
      <c r="AA425" s="10" t="s">
        <v>3814</v>
      </c>
      <c r="AB425" s="11"/>
      <c r="AC425" s="11"/>
      <c r="AD425" s="11"/>
      <c r="AE425" s="10" t="s">
        <v>3306</v>
      </c>
      <c r="AF425" s="12">
        <v>70000</v>
      </c>
      <c r="AG425" s="11"/>
      <c r="AH425" s="10" t="s">
        <v>3815</v>
      </c>
      <c r="AI425" s="10" t="s">
        <v>3816</v>
      </c>
      <c r="AJ425" s="10" t="s">
        <v>3817</v>
      </c>
      <c r="AK425" s="10" t="s">
        <v>3818</v>
      </c>
      <c r="AL425" s="11"/>
      <c r="AM425" s="11"/>
      <c r="AN425" s="11"/>
      <c r="AO425" s="11"/>
      <c r="AP425" s="11"/>
      <c r="AQ425" s="11"/>
      <c r="AR425" s="10" t="s">
        <v>3696</v>
      </c>
      <c r="AS425" s="10" t="s">
        <v>66</v>
      </c>
      <c r="AT425" s="10" t="s">
        <v>53</v>
      </c>
    </row>
    <row r="426" spans="1:46" ht="20" hidden="1" customHeight="1" x14ac:dyDescent="0.15">
      <c r="A426" s="8" t="s">
        <v>3819</v>
      </c>
      <c r="B426" s="9" t="s">
        <v>3820</v>
      </c>
      <c r="C426" s="10" t="s">
        <v>2161</v>
      </c>
      <c r="D426" s="10" t="s">
        <v>3821</v>
      </c>
      <c r="E426" s="10" t="s">
        <v>51</v>
      </c>
      <c r="F426" s="10" t="s">
        <v>385</v>
      </c>
      <c r="G426" s="10" t="s">
        <v>3822</v>
      </c>
      <c r="H426" s="10" t="s">
        <v>91</v>
      </c>
      <c r="I426" s="10" t="s">
        <v>53</v>
      </c>
      <c r="J426" s="10" t="s">
        <v>54</v>
      </c>
      <c r="K426" s="11"/>
      <c r="L426" s="10" t="s">
        <v>3532</v>
      </c>
      <c r="M426" s="11"/>
      <c r="N426" s="10" t="s">
        <v>3823</v>
      </c>
      <c r="O426" s="11"/>
      <c r="P426" s="11"/>
      <c r="Q426" s="10" t="s">
        <v>2177</v>
      </c>
      <c r="R426" s="10" t="s">
        <v>3803</v>
      </c>
      <c r="S426" s="10" t="s">
        <v>3534</v>
      </c>
      <c r="T426" s="10" t="s">
        <v>3535</v>
      </c>
      <c r="U426" s="10" t="s">
        <v>3536</v>
      </c>
      <c r="V426" s="10" t="s">
        <v>3824</v>
      </c>
      <c r="W426" s="10" t="s">
        <v>3825</v>
      </c>
      <c r="X426" s="10" t="s">
        <v>80</v>
      </c>
      <c r="Y426" s="10" t="s">
        <v>80</v>
      </c>
      <c r="Z426" s="10" t="s">
        <v>3826</v>
      </c>
      <c r="AA426" s="10" t="s">
        <v>3827</v>
      </c>
      <c r="AB426" s="11"/>
      <c r="AC426" s="11"/>
      <c r="AD426" s="11"/>
      <c r="AE426" s="10" t="s">
        <v>3540</v>
      </c>
      <c r="AF426" s="12">
        <v>15225</v>
      </c>
      <c r="AG426" s="11"/>
      <c r="AH426" s="10" t="s">
        <v>1364</v>
      </c>
      <c r="AI426" s="10" t="s">
        <v>3828</v>
      </c>
      <c r="AJ426" s="10" t="s">
        <v>3210</v>
      </c>
      <c r="AK426" s="10" t="s">
        <v>3829</v>
      </c>
      <c r="AL426" s="11"/>
      <c r="AM426" s="11"/>
      <c r="AN426" s="11"/>
      <c r="AO426" s="11"/>
      <c r="AP426" s="11"/>
      <c r="AQ426" s="11"/>
      <c r="AR426" s="10" t="s">
        <v>3830</v>
      </c>
      <c r="AS426" s="10" t="s">
        <v>66</v>
      </c>
      <c r="AT426" s="10" t="s">
        <v>53</v>
      </c>
    </row>
    <row r="427" spans="1:46" ht="20" hidden="1" customHeight="1" x14ac:dyDescent="0.15">
      <c r="A427" s="8" t="s">
        <v>3831</v>
      </c>
      <c r="B427" s="9" t="s">
        <v>3832</v>
      </c>
      <c r="C427" s="10" t="s">
        <v>3833</v>
      </c>
      <c r="D427" s="11"/>
      <c r="E427" s="10" t="s">
        <v>51</v>
      </c>
      <c r="F427" s="10" t="s">
        <v>71</v>
      </c>
      <c r="G427" s="11"/>
      <c r="H427" s="11"/>
      <c r="I427" s="10" t="s">
        <v>53</v>
      </c>
      <c r="J427" s="10" t="s">
        <v>54</v>
      </c>
      <c r="K427" s="11"/>
      <c r="L427" s="10" t="s">
        <v>3834</v>
      </c>
      <c r="M427" s="10" t="s">
        <v>3835</v>
      </c>
      <c r="N427" s="10" t="s">
        <v>3836</v>
      </c>
      <c r="O427" s="11"/>
      <c r="P427" s="11"/>
      <c r="Q427" s="11"/>
      <c r="R427" s="11"/>
      <c r="S427" s="10" t="s">
        <v>3837</v>
      </c>
      <c r="T427" s="10" t="s">
        <v>3832</v>
      </c>
      <c r="U427" s="10" t="s">
        <v>3838</v>
      </c>
      <c r="V427" s="10" t="s">
        <v>3839</v>
      </c>
      <c r="W427" s="10" t="s">
        <v>3839</v>
      </c>
      <c r="X427" s="10" t="s">
        <v>3840</v>
      </c>
      <c r="Y427" s="10" t="s">
        <v>3840</v>
      </c>
      <c r="Z427" s="10" t="s">
        <v>3841</v>
      </c>
      <c r="AA427" s="10" t="s">
        <v>3842</v>
      </c>
      <c r="AB427" s="11"/>
      <c r="AC427" s="11"/>
      <c r="AD427" s="10" t="s">
        <v>3843</v>
      </c>
      <c r="AE427" s="10" t="s">
        <v>3844</v>
      </c>
      <c r="AF427" s="12">
        <v>29191</v>
      </c>
      <c r="AG427" s="10" t="s">
        <v>3845</v>
      </c>
      <c r="AH427" s="10" t="s">
        <v>3846</v>
      </c>
      <c r="AI427" s="10" t="s">
        <v>3847</v>
      </c>
      <c r="AJ427" s="10" t="s">
        <v>3848</v>
      </c>
      <c r="AK427" s="11"/>
      <c r="AL427" s="11"/>
      <c r="AM427" s="11"/>
      <c r="AN427" s="11"/>
      <c r="AO427" s="11"/>
      <c r="AP427" s="11"/>
      <c r="AQ427" s="11"/>
      <c r="AR427" s="11"/>
      <c r="AS427" s="10" t="s">
        <v>3849</v>
      </c>
      <c r="AT427" s="10" t="s">
        <v>53</v>
      </c>
    </row>
    <row r="428" spans="1:46" ht="20" hidden="1" customHeight="1" x14ac:dyDescent="0.15">
      <c r="A428" s="8" t="s">
        <v>3850</v>
      </c>
      <c r="B428" s="9" t="s">
        <v>3851</v>
      </c>
      <c r="C428" s="10" t="s">
        <v>3852</v>
      </c>
      <c r="D428" s="10" t="s">
        <v>3853</v>
      </c>
      <c r="E428" s="10" t="s">
        <v>51</v>
      </c>
      <c r="F428" s="10" t="s">
        <v>1210</v>
      </c>
      <c r="G428" s="11"/>
      <c r="H428" s="10" t="s">
        <v>91</v>
      </c>
      <c r="I428" s="10" t="s">
        <v>53</v>
      </c>
      <c r="J428" s="10" t="s">
        <v>54</v>
      </c>
      <c r="K428" s="11"/>
      <c r="L428" s="10" t="s">
        <v>3854</v>
      </c>
      <c r="M428" s="10" t="s">
        <v>3855</v>
      </c>
      <c r="N428" s="10" t="s">
        <v>3856</v>
      </c>
      <c r="O428" s="11"/>
      <c r="P428" s="11"/>
      <c r="Q428" s="10" t="s">
        <v>1958</v>
      </c>
      <c r="R428" s="11"/>
      <c r="S428" s="10" t="s">
        <v>3857</v>
      </c>
      <c r="T428" s="10" t="s">
        <v>3858</v>
      </c>
      <c r="U428" s="10" t="s">
        <v>3859</v>
      </c>
      <c r="V428" s="10" t="s">
        <v>3860</v>
      </c>
      <c r="W428" s="10" t="s">
        <v>1216</v>
      </c>
      <c r="X428" s="10" t="s">
        <v>3840</v>
      </c>
      <c r="Y428" s="10" t="s">
        <v>80</v>
      </c>
      <c r="Z428" s="10" t="s">
        <v>3861</v>
      </c>
      <c r="AA428" s="10" t="s">
        <v>3862</v>
      </c>
      <c r="AB428" s="11"/>
      <c r="AC428" s="11"/>
      <c r="AD428" s="10" t="s">
        <v>3863</v>
      </c>
      <c r="AE428" s="10" t="s">
        <v>3864</v>
      </c>
      <c r="AF428" s="12">
        <v>403218</v>
      </c>
      <c r="AG428" s="11"/>
      <c r="AH428" s="10" t="s">
        <v>232</v>
      </c>
      <c r="AI428" s="10" t="s">
        <v>3865</v>
      </c>
      <c r="AJ428" s="10" t="s">
        <v>3866</v>
      </c>
      <c r="AK428" s="10" t="s">
        <v>3867</v>
      </c>
      <c r="AL428" s="11"/>
      <c r="AM428" s="11"/>
      <c r="AN428" s="11"/>
      <c r="AO428" s="11"/>
      <c r="AP428" s="11"/>
      <c r="AQ428" s="11"/>
      <c r="AR428" s="10" t="s">
        <v>983</v>
      </c>
      <c r="AS428" s="10" t="s">
        <v>66</v>
      </c>
      <c r="AT428" s="10" t="s">
        <v>53</v>
      </c>
    </row>
    <row r="429" spans="1:46" ht="20" hidden="1" customHeight="1" x14ac:dyDescent="0.15">
      <c r="A429" s="8" t="s">
        <v>3868</v>
      </c>
      <c r="B429" s="9" t="s">
        <v>3869</v>
      </c>
      <c r="C429" s="10" t="s">
        <v>3870</v>
      </c>
      <c r="D429" s="10" t="s">
        <v>3871</v>
      </c>
      <c r="E429" s="10" t="s">
        <v>51</v>
      </c>
      <c r="F429" s="10" t="s">
        <v>411</v>
      </c>
      <c r="G429" s="11"/>
      <c r="H429" s="10" t="s">
        <v>91</v>
      </c>
      <c r="I429" s="10" t="s">
        <v>53</v>
      </c>
      <c r="J429" s="10" t="s">
        <v>54</v>
      </c>
      <c r="K429" s="11"/>
      <c r="L429" s="10" t="s">
        <v>429</v>
      </c>
      <c r="M429" s="10" t="s">
        <v>3872</v>
      </c>
      <c r="N429" s="10" t="s">
        <v>413</v>
      </c>
      <c r="O429" s="11"/>
      <c r="P429" s="11"/>
      <c r="Q429" s="10" t="s">
        <v>135</v>
      </c>
      <c r="R429" s="11"/>
      <c r="S429" s="10" t="s">
        <v>414</v>
      </c>
      <c r="T429" s="10" t="s">
        <v>415</v>
      </c>
      <c r="U429" s="10" t="s">
        <v>416</v>
      </c>
      <c r="V429" s="10" t="s">
        <v>3873</v>
      </c>
      <c r="W429" s="10" t="s">
        <v>417</v>
      </c>
      <c r="X429" s="10" t="s">
        <v>3840</v>
      </c>
      <c r="Y429" s="10" t="s">
        <v>80</v>
      </c>
      <c r="Z429" s="10" t="s">
        <v>3874</v>
      </c>
      <c r="AA429" s="10" t="s">
        <v>3875</v>
      </c>
      <c r="AB429" s="11"/>
      <c r="AC429" s="11"/>
      <c r="AD429" s="10" t="s">
        <v>3876</v>
      </c>
      <c r="AE429" s="10" t="s">
        <v>432</v>
      </c>
      <c r="AF429" s="12">
        <v>12209</v>
      </c>
      <c r="AG429" s="11"/>
      <c r="AH429" s="10" t="s">
        <v>433</v>
      </c>
      <c r="AI429" s="10" t="s">
        <v>3877</v>
      </c>
      <c r="AJ429" s="10" t="s">
        <v>3878</v>
      </c>
      <c r="AK429" s="10" t="s">
        <v>3879</v>
      </c>
      <c r="AL429" s="11"/>
      <c r="AM429" s="11"/>
      <c r="AN429" s="11"/>
      <c r="AO429" s="11"/>
      <c r="AP429" s="11"/>
      <c r="AQ429" s="11"/>
      <c r="AR429" s="10" t="s">
        <v>3880</v>
      </c>
      <c r="AS429" s="10" t="s">
        <v>66</v>
      </c>
      <c r="AT429" s="10" t="s">
        <v>53</v>
      </c>
    </row>
    <row r="430" spans="1:46" ht="20" hidden="1" customHeight="1" x14ac:dyDescent="0.15">
      <c r="A430" s="8" t="s">
        <v>3881</v>
      </c>
      <c r="B430" s="9" t="s">
        <v>3882</v>
      </c>
      <c r="C430" s="10" t="s">
        <v>1814</v>
      </c>
      <c r="D430" s="10" t="s">
        <v>3883</v>
      </c>
      <c r="E430" s="10" t="s">
        <v>51</v>
      </c>
      <c r="F430" s="10" t="s">
        <v>71</v>
      </c>
      <c r="G430" s="11"/>
      <c r="H430" s="10" t="s">
        <v>91</v>
      </c>
      <c r="I430" s="10" t="s">
        <v>53</v>
      </c>
      <c r="J430" s="10" t="s">
        <v>54</v>
      </c>
      <c r="K430" s="11"/>
      <c r="L430" s="10" t="s">
        <v>3884</v>
      </c>
      <c r="M430" s="11"/>
      <c r="N430" s="10" t="s">
        <v>3885</v>
      </c>
      <c r="O430" s="11"/>
      <c r="P430" s="11"/>
      <c r="Q430" s="10" t="s">
        <v>3886</v>
      </c>
      <c r="R430" s="11"/>
      <c r="S430" s="10" t="s">
        <v>3887</v>
      </c>
      <c r="T430" s="10" t="s">
        <v>3888</v>
      </c>
      <c r="U430" s="10" t="s">
        <v>3889</v>
      </c>
      <c r="V430" s="10" t="s">
        <v>3890</v>
      </c>
      <c r="W430" s="10" t="s">
        <v>3891</v>
      </c>
      <c r="X430" s="10" t="s">
        <v>3840</v>
      </c>
      <c r="Y430" s="10" t="s">
        <v>80</v>
      </c>
      <c r="Z430" s="10" t="s">
        <v>3892</v>
      </c>
      <c r="AA430" s="10" t="s">
        <v>3893</v>
      </c>
      <c r="AB430" s="11"/>
      <c r="AC430" s="11"/>
      <c r="AD430" s="10" t="s">
        <v>3894</v>
      </c>
      <c r="AE430" s="10" t="s">
        <v>3895</v>
      </c>
      <c r="AF430" s="12">
        <v>2348000</v>
      </c>
      <c r="AG430" s="11"/>
      <c r="AH430" s="10" t="s">
        <v>3896</v>
      </c>
      <c r="AI430" s="10" t="s">
        <v>3847</v>
      </c>
      <c r="AJ430" s="10" t="s">
        <v>3897</v>
      </c>
      <c r="AK430" s="10" t="s">
        <v>3898</v>
      </c>
      <c r="AL430" s="11"/>
      <c r="AM430" s="11"/>
      <c r="AN430" s="11"/>
      <c r="AO430" s="11"/>
      <c r="AP430" s="11"/>
      <c r="AQ430" s="11"/>
      <c r="AR430" s="10" t="s">
        <v>3899</v>
      </c>
      <c r="AS430" s="10" t="s">
        <v>66</v>
      </c>
      <c r="AT430" s="10" t="s">
        <v>53</v>
      </c>
    </row>
    <row r="431" spans="1:46" ht="20" hidden="1" customHeight="1" x14ac:dyDescent="0.15">
      <c r="A431" s="8" t="s">
        <v>3900</v>
      </c>
      <c r="B431" s="9" t="s">
        <v>3901</v>
      </c>
      <c r="C431" s="10" t="s">
        <v>3902</v>
      </c>
      <c r="D431" s="10" t="s">
        <v>3903</v>
      </c>
      <c r="E431" s="10" t="s">
        <v>51</v>
      </c>
      <c r="F431" s="10" t="s">
        <v>1210</v>
      </c>
      <c r="G431" s="11"/>
      <c r="H431" s="10" t="s">
        <v>91</v>
      </c>
      <c r="I431" s="10" t="s">
        <v>53</v>
      </c>
      <c r="J431" s="10" t="s">
        <v>54</v>
      </c>
      <c r="K431" s="11"/>
      <c r="L431" s="10" t="s">
        <v>3854</v>
      </c>
      <c r="M431" s="10" t="s">
        <v>3904</v>
      </c>
      <c r="N431" s="10" t="s">
        <v>3856</v>
      </c>
      <c r="O431" s="11"/>
      <c r="P431" s="11"/>
      <c r="Q431" s="10" t="s">
        <v>1958</v>
      </c>
      <c r="R431" s="11"/>
      <c r="S431" s="10" t="s">
        <v>3857</v>
      </c>
      <c r="T431" s="10" t="s">
        <v>3858</v>
      </c>
      <c r="U431" s="10" t="s">
        <v>3859</v>
      </c>
      <c r="V431" s="10" t="s">
        <v>3860</v>
      </c>
      <c r="W431" s="10" t="s">
        <v>1216</v>
      </c>
      <c r="X431" s="10" t="s">
        <v>3840</v>
      </c>
      <c r="Y431" s="10" t="s">
        <v>80</v>
      </c>
      <c r="Z431" s="10" t="s">
        <v>3905</v>
      </c>
      <c r="AA431" s="10" t="s">
        <v>3906</v>
      </c>
      <c r="AB431" s="11"/>
      <c r="AC431" s="11"/>
      <c r="AD431" s="10" t="s">
        <v>3907</v>
      </c>
      <c r="AE431" s="10" t="s">
        <v>3864</v>
      </c>
      <c r="AF431" s="12">
        <v>349350</v>
      </c>
      <c r="AG431" s="11"/>
      <c r="AH431" s="10" t="s">
        <v>3908</v>
      </c>
      <c r="AI431" s="10" t="s">
        <v>1190</v>
      </c>
      <c r="AJ431" s="10" t="s">
        <v>3909</v>
      </c>
      <c r="AK431" s="10" t="s">
        <v>3910</v>
      </c>
      <c r="AL431" s="11"/>
      <c r="AM431" s="11"/>
      <c r="AN431" s="11"/>
      <c r="AO431" s="11"/>
      <c r="AP431" s="11"/>
      <c r="AQ431" s="11"/>
      <c r="AR431" s="10" t="s">
        <v>3911</v>
      </c>
      <c r="AS431" s="10" t="s">
        <v>66</v>
      </c>
      <c r="AT431" s="10" t="s">
        <v>53</v>
      </c>
    </row>
    <row r="432" spans="1:46" ht="20" hidden="1" customHeight="1" x14ac:dyDescent="0.15">
      <c r="A432" s="8" t="s">
        <v>3912</v>
      </c>
      <c r="B432" s="9" t="s">
        <v>3913</v>
      </c>
      <c r="C432" s="10" t="s">
        <v>1814</v>
      </c>
      <c r="D432" s="10" t="s">
        <v>3914</v>
      </c>
      <c r="E432" s="10" t="s">
        <v>51</v>
      </c>
      <c r="F432" s="10" t="s">
        <v>71</v>
      </c>
      <c r="G432" s="11"/>
      <c r="H432" s="10" t="s">
        <v>91</v>
      </c>
      <c r="I432" s="10" t="s">
        <v>53</v>
      </c>
      <c r="J432" s="10" t="s">
        <v>54</v>
      </c>
      <c r="K432" s="11"/>
      <c r="L432" s="10" t="s">
        <v>3915</v>
      </c>
      <c r="M432" s="10" t="s">
        <v>3916</v>
      </c>
      <c r="N432" s="10" t="s">
        <v>3885</v>
      </c>
      <c r="O432" s="11"/>
      <c r="P432" s="11"/>
      <c r="Q432" s="10" t="s">
        <v>3917</v>
      </c>
      <c r="R432" s="11"/>
      <c r="S432" s="10" t="s">
        <v>3918</v>
      </c>
      <c r="T432" s="10" t="s">
        <v>3919</v>
      </c>
      <c r="U432" s="10" t="s">
        <v>3920</v>
      </c>
      <c r="V432" s="10" t="s">
        <v>3921</v>
      </c>
      <c r="W432" s="10" t="s">
        <v>3921</v>
      </c>
      <c r="X432" s="10" t="s">
        <v>3840</v>
      </c>
      <c r="Y432" s="10" t="s">
        <v>80</v>
      </c>
      <c r="Z432" s="10" t="s">
        <v>3922</v>
      </c>
      <c r="AA432" s="10" t="s">
        <v>3923</v>
      </c>
      <c r="AB432" s="11"/>
      <c r="AC432" s="11"/>
      <c r="AD432" s="10" t="s">
        <v>3924</v>
      </c>
      <c r="AE432" s="10" t="s">
        <v>3925</v>
      </c>
      <c r="AF432" s="12">
        <v>2282000</v>
      </c>
      <c r="AG432" s="11"/>
      <c r="AH432" s="10" t="s">
        <v>3926</v>
      </c>
      <c r="AI432" s="10" t="s">
        <v>3927</v>
      </c>
      <c r="AJ432" s="10" t="s">
        <v>3928</v>
      </c>
      <c r="AK432" s="10" t="s">
        <v>3929</v>
      </c>
      <c r="AL432" s="11"/>
      <c r="AM432" s="11"/>
      <c r="AN432" s="11"/>
      <c r="AO432" s="11"/>
      <c r="AP432" s="11"/>
      <c r="AQ432" s="11"/>
      <c r="AR432" s="10" t="s">
        <v>3899</v>
      </c>
      <c r="AS432" s="10" t="s">
        <v>66</v>
      </c>
      <c r="AT432" s="10" t="s">
        <v>53</v>
      </c>
    </row>
    <row r="433" spans="1:46" ht="20" hidden="1" customHeight="1" x14ac:dyDescent="0.15">
      <c r="A433" s="8" t="s">
        <v>3930</v>
      </c>
      <c r="B433" s="9" t="s">
        <v>3931</v>
      </c>
      <c r="C433" s="10" t="s">
        <v>3932</v>
      </c>
      <c r="D433" s="10" t="s">
        <v>3933</v>
      </c>
      <c r="E433" s="10" t="s">
        <v>51</v>
      </c>
      <c r="F433" s="10" t="s">
        <v>1210</v>
      </c>
      <c r="G433" s="11"/>
      <c r="H433" s="10" t="s">
        <v>91</v>
      </c>
      <c r="I433" s="10" t="s">
        <v>53</v>
      </c>
      <c r="J433" s="10" t="s">
        <v>54</v>
      </c>
      <c r="K433" s="11"/>
      <c r="L433" s="10" t="s">
        <v>3854</v>
      </c>
      <c r="M433" s="11"/>
      <c r="N433" s="10" t="s">
        <v>3934</v>
      </c>
      <c r="O433" s="11"/>
      <c r="P433" s="11"/>
      <c r="Q433" s="10" t="s">
        <v>1958</v>
      </c>
      <c r="R433" s="11"/>
      <c r="S433" s="10" t="s">
        <v>3857</v>
      </c>
      <c r="T433" s="10" t="s">
        <v>3858</v>
      </c>
      <c r="U433" s="10" t="s">
        <v>3859</v>
      </c>
      <c r="V433" s="10" t="s">
        <v>3860</v>
      </c>
      <c r="W433" s="10" t="s">
        <v>1216</v>
      </c>
      <c r="X433" s="10" t="s">
        <v>3840</v>
      </c>
      <c r="Y433" s="10" t="s">
        <v>80</v>
      </c>
      <c r="Z433" s="10" t="s">
        <v>3935</v>
      </c>
      <c r="AA433" s="10" t="s">
        <v>3936</v>
      </c>
      <c r="AB433" s="11"/>
      <c r="AC433" s="11"/>
      <c r="AD433" s="10" t="s">
        <v>3937</v>
      </c>
      <c r="AE433" s="10" t="s">
        <v>3938</v>
      </c>
      <c r="AF433" s="12">
        <v>25640</v>
      </c>
      <c r="AG433" s="11"/>
      <c r="AH433" s="10" t="s">
        <v>3939</v>
      </c>
      <c r="AI433" s="10" t="s">
        <v>3940</v>
      </c>
      <c r="AJ433" s="10" t="s">
        <v>3941</v>
      </c>
      <c r="AK433" s="10" t="s">
        <v>3942</v>
      </c>
      <c r="AL433" s="11"/>
      <c r="AM433" s="11"/>
      <c r="AN433" s="11"/>
      <c r="AO433" s="11"/>
      <c r="AP433" s="11"/>
      <c r="AQ433" s="11"/>
      <c r="AR433" s="10" t="s">
        <v>3943</v>
      </c>
      <c r="AS433" s="10" t="s">
        <v>66</v>
      </c>
      <c r="AT433" s="10" t="s">
        <v>53</v>
      </c>
    </row>
    <row r="434" spans="1:46" ht="20" hidden="1" customHeight="1" x14ac:dyDescent="0.15">
      <c r="A434" s="8" t="s">
        <v>3944</v>
      </c>
      <c r="B434" s="9" t="s">
        <v>3945</v>
      </c>
      <c r="C434" s="10" t="s">
        <v>3946</v>
      </c>
      <c r="D434" s="11"/>
      <c r="E434" s="10" t="s">
        <v>51</v>
      </c>
      <c r="F434" s="10" t="s">
        <v>458</v>
      </c>
      <c r="G434" s="11"/>
      <c r="H434" s="11"/>
      <c r="I434" s="10" t="s">
        <v>53</v>
      </c>
      <c r="J434" s="10" t="s">
        <v>54</v>
      </c>
      <c r="K434" s="11"/>
      <c r="L434" s="11"/>
      <c r="M434" s="11"/>
      <c r="N434" s="11"/>
      <c r="O434" s="11"/>
      <c r="P434" s="11"/>
      <c r="Q434" s="11"/>
      <c r="R434" s="11"/>
      <c r="S434" s="10" t="s">
        <v>462</v>
      </c>
      <c r="T434" s="10" t="s">
        <v>463</v>
      </c>
      <c r="U434" s="10" t="s">
        <v>464</v>
      </c>
      <c r="V434" s="10" t="s">
        <v>3947</v>
      </c>
      <c r="W434" s="10" t="s">
        <v>3948</v>
      </c>
      <c r="X434" s="10" t="s">
        <v>3840</v>
      </c>
      <c r="Y434" s="10" t="s">
        <v>61</v>
      </c>
      <c r="Z434" s="10" t="s">
        <v>3949</v>
      </c>
      <c r="AA434" s="10" t="s">
        <v>3950</v>
      </c>
      <c r="AB434" s="11"/>
      <c r="AC434" s="11"/>
      <c r="AD434" s="10" t="s">
        <v>3951</v>
      </c>
      <c r="AE434" s="10" t="s">
        <v>3952</v>
      </c>
      <c r="AF434" s="12">
        <v>9500</v>
      </c>
      <c r="AG434" s="11"/>
      <c r="AH434" s="11"/>
      <c r="AI434" s="10" t="s">
        <v>3953</v>
      </c>
      <c r="AJ434" s="10" t="s">
        <v>3954</v>
      </c>
      <c r="AK434" s="11"/>
      <c r="AL434" s="11"/>
      <c r="AM434" s="11"/>
      <c r="AN434" s="11"/>
      <c r="AO434" s="11"/>
      <c r="AP434" s="11"/>
      <c r="AQ434" s="11"/>
      <c r="AR434" s="11"/>
      <c r="AS434" s="10" t="s">
        <v>66</v>
      </c>
      <c r="AT434" s="10" t="s">
        <v>53</v>
      </c>
    </row>
    <row r="435" spans="1:46" ht="20" hidden="1" customHeight="1" x14ac:dyDescent="0.15">
      <c r="A435" s="8" t="s">
        <v>3955</v>
      </c>
      <c r="B435" s="9" t="s">
        <v>3956</v>
      </c>
      <c r="C435" s="10" t="s">
        <v>3957</v>
      </c>
      <c r="D435" s="11"/>
      <c r="E435" s="10" t="s">
        <v>51</v>
      </c>
      <c r="F435" s="10" t="s">
        <v>385</v>
      </c>
      <c r="G435" s="11"/>
      <c r="H435" s="11"/>
      <c r="I435" s="10" t="s">
        <v>54</v>
      </c>
      <c r="J435" s="10" t="s">
        <v>54</v>
      </c>
      <c r="K435" s="11"/>
      <c r="L435" s="11"/>
      <c r="M435" s="11"/>
      <c r="N435" s="11"/>
      <c r="O435" s="11"/>
      <c r="P435" s="11"/>
      <c r="Q435" s="11"/>
      <c r="R435" s="11"/>
      <c r="S435" s="10" t="s">
        <v>3857</v>
      </c>
      <c r="T435" s="10" t="s">
        <v>3858</v>
      </c>
      <c r="U435" s="10" t="s">
        <v>3859</v>
      </c>
      <c r="V435" s="10" t="s">
        <v>3860</v>
      </c>
      <c r="W435" s="10" t="s">
        <v>3958</v>
      </c>
      <c r="X435" s="10" t="s">
        <v>3840</v>
      </c>
      <c r="Y435" s="10" t="s">
        <v>3840</v>
      </c>
      <c r="Z435" s="10" t="s">
        <v>3959</v>
      </c>
      <c r="AA435" s="10" t="s">
        <v>3960</v>
      </c>
      <c r="AB435" s="11"/>
      <c r="AC435" s="11"/>
      <c r="AD435" s="10" t="s">
        <v>3961</v>
      </c>
      <c r="AE435" s="11"/>
      <c r="AF435" s="12">
        <v>0</v>
      </c>
      <c r="AG435" s="11"/>
      <c r="AH435" s="11"/>
      <c r="AI435" s="11"/>
      <c r="AJ435" s="10" t="s">
        <v>3962</v>
      </c>
      <c r="AK435" s="11"/>
      <c r="AL435" s="11"/>
      <c r="AM435" s="11"/>
      <c r="AN435" s="11"/>
      <c r="AO435" s="11"/>
      <c r="AP435" s="11"/>
      <c r="AQ435" s="11"/>
      <c r="AR435" s="11"/>
      <c r="AS435" s="10" t="s">
        <v>66</v>
      </c>
      <c r="AT435" s="10" t="s">
        <v>53</v>
      </c>
    </row>
    <row r="436" spans="1:46" ht="20" hidden="1" customHeight="1" x14ac:dyDescent="0.15">
      <c r="A436" s="8" t="s">
        <v>3963</v>
      </c>
      <c r="B436" s="9" t="s">
        <v>3964</v>
      </c>
      <c r="C436" s="10" t="s">
        <v>3965</v>
      </c>
      <c r="D436" s="11"/>
      <c r="E436" s="10" t="s">
        <v>51</v>
      </c>
      <c r="F436" s="10" t="s">
        <v>71</v>
      </c>
      <c r="G436" s="11"/>
      <c r="H436" s="11"/>
      <c r="I436" s="10" t="s">
        <v>54</v>
      </c>
      <c r="J436" s="10" t="s">
        <v>54</v>
      </c>
      <c r="K436" s="11"/>
      <c r="L436" s="11"/>
      <c r="M436" s="11"/>
      <c r="N436" s="11"/>
      <c r="O436" s="11"/>
      <c r="P436" s="11"/>
      <c r="Q436" s="11"/>
      <c r="R436" s="11"/>
      <c r="S436" s="10" t="s">
        <v>3887</v>
      </c>
      <c r="T436" s="10" t="s">
        <v>3888</v>
      </c>
      <c r="U436" s="10" t="s">
        <v>3889</v>
      </c>
      <c r="V436" s="10" t="s">
        <v>3966</v>
      </c>
      <c r="W436" s="10" t="s">
        <v>3966</v>
      </c>
      <c r="X436" s="10" t="s">
        <v>3840</v>
      </c>
      <c r="Y436" s="10" t="s">
        <v>61</v>
      </c>
      <c r="Z436" s="10" t="s">
        <v>3967</v>
      </c>
      <c r="AA436" s="10" t="s">
        <v>3968</v>
      </c>
      <c r="AB436" s="11"/>
      <c r="AC436" s="11"/>
      <c r="AD436" s="10" t="s">
        <v>3969</v>
      </c>
      <c r="AE436" s="11"/>
      <c r="AF436" s="12">
        <v>130000</v>
      </c>
      <c r="AG436" s="11"/>
      <c r="AH436" s="11"/>
      <c r="AI436" s="11"/>
      <c r="AJ436" s="10" t="s">
        <v>3970</v>
      </c>
      <c r="AK436" s="11"/>
      <c r="AL436" s="11"/>
      <c r="AM436" s="11"/>
      <c r="AN436" s="11"/>
      <c r="AO436" s="11"/>
      <c r="AP436" s="11"/>
      <c r="AQ436" s="11"/>
      <c r="AR436" s="11"/>
      <c r="AS436" s="10" t="s">
        <v>66</v>
      </c>
      <c r="AT436" s="10" t="s">
        <v>53</v>
      </c>
    </row>
    <row r="437" spans="1:46" ht="20" customHeight="1" x14ac:dyDescent="0.15">
      <c r="A437" s="8" t="s">
        <v>3971</v>
      </c>
      <c r="B437" s="9" t="s">
        <v>3972</v>
      </c>
      <c r="C437" s="10" t="s">
        <v>3973</v>
      </c>
      <c r="D437" s="10" t="s">
        <v>3974</v>
      </c>
      <c r="E437" s="10" t="s">
        <v>51</v>
      </c>
      <c r="F437" s="10" t="s">
        <v>71</v>
      </c>
      <c r="G437" s="11"/>
      <c r="H437" s="10" t="s">
        <v>3975</v>
      </c>
      <c r="I437" s="10" t="s">
        <v>53</v>
      </c>
      <c r="J437" s="10" t="s">
        <v>54</v>
      </c>
      <c r="K437" s="11"/>
      <c r="L437" s="10" t="s">
        <v>3976</v>
      </c>
      <c r="M437" s="11"/>
      <c r="N437" s="10" t="s">
        <v>3977</v>
      </c>
      <c r="O437" s="11"/>
      <c r="P437" s="11"/>
      <c r="Q437" s="10" t="s">
        <v>75</v>
      </c>
      <c r="R437" s="11"/>
      <c r="S437" s="10" t="s">
        <v>3887</v>
      </c>
      <c r="T437" s="10" t="s">
        <v>3888</v>
      </c>
      <c r="U437" s="10" t="s">
        <v>3889</v>
      </c>
      <c r="V437" s="10" t="s">
        <v>3978</v>
      </c>
      <c r="W437" s="10" t="s">
        <v>3979</v>
      </c>
      <c r="X437" s="10" t="s">
        <v>60</v>
      </c>
      <c r="Y437" s="10" t="s">
        <v>80</v>
      </c>
      <c r="Z437" s="10" t="s">
        <v>3980</v>
      </c>
      <c r="AA437" s="10" t="s">
        <v>3981</v>
      </c>
      <c r="AB437" s="11"/>
      <c r="AC437" s="11"/>
      <c r="AD437" s="11"/>
      <c r="AE437" s="10" t="s">
        <v>3982</v>
      </c>
      <c r="AF437" s="12">
        <v>700114</v>
      </c>
      <c r="AG437" s="11"/>
      <c r="AH437" s="11"/>
      <c r="AI437" s="11"/>
      <c r="AJ437" s="11"/>
      <c r="AK437" s="10" t="s">
        <v>3983</v>
      </c>
      <c r="AL437" s="11"/>
      <c r="AM437" s="11"/>
      <c r="AN437" s="11"/>
      <c r="AO437" s="11"/>
      <c r="AP437" s="11"/>
      <c r="AQ437" s="11"/>
      <c r="AR437" s="10" t="s">
        <v>727</v>
      </c>
      <c r="AS437" s="10" t="s">
        <v>66</v>
      </c>
      <c r="AT437" s="10" t="s">
        <v>53</v>
      </c>
    </row>
    <row r="438" spans="1:46" ht="20" hidden="1" customHeight="1" x14ac:dyDescent="0.15">
      <c r="A438" s="8" t="s">
        <v>3984</v>
      </c>
      <c r="B438" s="9" t="s">
        <v>3985</v>
      </c>
      <c r="C438" s="10" t="s">
        <v>3986</v>
      </c>
      <c r="D438" s="10" t="s">
        <v>3987</v>
      </c>
      <c r="E438" s="10" t="s">
        <v>51</v>
      </c>
      <c r="F438" s="10" t="s">
        <v>71</v>
      </c>
      <c r="G438" s="10" t="s">
        <v>71</v>
      </c>
      <c r="H438" s="10" t="s">
        <v>91</v>
      </c>
      <c r="I438" s="10" t="s">
        <v>53</v>
      </c>
      <c r="J438" s="10" t="s">
        <v>54</v>
      </c>
      <c r="K438" s="11"/>
      <c r="L438" s="10" t="s">
        <v>3988</v>
      </c>
      <c r="M438" s="11"/>
      <c r="N438" s="10" t="s">
        <v>3989</v>
      </c>
      <c r="O438" s="11"/>
      <c r="P438" s="11"/>
      <c r="Q438" s="10" t="s">
        <v>1929</v>
      </c>
      <c r="R438" s="10" t="s">
        <v>3803</v>
      </c>
      <c r="S438" s="10" t="s">
        <v>3887</v>
      </c>
      <c r="T438" s="10" t="s">
        <v>3888</v>
      </c>
      <c r="U438" s="10" t="s">
        <v>3889</v>
      </c>
      <c r="V438" s="10" t="s">
        <v>3990</v>
      </c>
      <c r="W438" s="10" t="s">
        <v>3991</v>
      </c>
      <c r="X438" s="10" t="s">
        <v>60</v>
      </c>
      <c r="Y438" s="10" t="s">
        <v>80</v>
      </c>
      <c r="Z438" s="10" t="s">
        <v>3992</v>
      </c>
      <c r="AA438" s="10" t="s">
        <v>3993</v>
      </c>
      <c r="AB438" s="11"/>
      <c r="AC438" s="11"/>
      <c r="AD438" s="11"/>
      <c r="AE438" s="10" t="s">
        <v>3994</v>
      </c>
      <c r="AF438" s="12">
        <v>1478300</v>
      </c>
      <c r="AG438" s="11"/>
      <c r="AH438" s="10" t="s">
        <v>3995</v>
      </c>
      <c r="AI438" s="11"/>
      <c r="AJ438" s="10" t="s">
        <v>3996</v>
      </c>
      <c r="AK438" s="10" t="s">
        <v>3997</v>
      </c>
      <c r="AL438" s="11"/>
      <c r="AM438" s="11"/>
      <c r="AN438" s="11"/>
      <c r="AO438" s="11"/>
      <c r="AP438" s="11"/>
      <c r="AQ438" s="11"/>
      <c r="AR438" s="10" t="s">
        <v>1971</v>
      </c>
      <c r="AS438" s="10" t="s">
        <v>66</v>
      </c>
      <c r="AT438" s="10" t="s">
        <v>53</v>
      </c>
    </row>
    <row r="439" spans="1:46" ht="20" hidden="1" customHeight="1" x14ac:dyDescent="0.15">
      <c r="A439" s="8" t="s">
        <v>3998</v>
      </c>
      <c r="B439" s="9" t="s">
        <v>3999</v>
      </c>
      <c r="C439" s="10" t="s">
        <v>4000</v>
      </c>
      <c r="D439" s="10" t="s">
        <v>4001</v>
      </c>
      <c r="E439" s="10" t="s">
        <v>51</v>
      </c>
      <c r="F439" s="10" t="s">
        <v>1758</v>
      </c>
      <c r="G439" s="11"/>
      <c r="H439" s="10" t="s">
        <v>91</v>
      </c>
      <c r="I439" s="10" t="s">
        <v>53</v>
      </c>
      <c r="J439" s="10" t="s">
        <v>54</v>
      </c>
      <c r="K439" s="11"/>
      <c r="L439" s="11"/>
      <c r="M439" s="11"/>
      <c r="N439" s="11"/>
      <c r="O439" s="11"/>
      <c r="P439" s="11"/>
      <c r="Q439" s="10" t="s">
        <v>1929</v>
      </c>
      <c r="R439" s="10" t="s">
        <v>3803</v>
      </c>
      <c r="S439" s="10" t="s">
        <v>1762</v>
      </c>
      <c r="T439" s="10" t="s">
        <v>1763</v>
      </c>
      <c r="U439" s="10" t="s">
        <v>1764</v>
      </c>
      <c r="V439" s="11"/>
      <c r="W439" s="10" t="s">
        <v>1765</v>
      </c>
      <c r="X439" s="10" t="s">
        <v>4002</v>
      </c>
      <c r="Y439" s="10" t="s">
        <v>80</v>
      </c>
      <c r="Z439" s="10" t="s">
        <v>4003</v>
      </c>
      <c r="AA439" s="10" t="s">
        <v>4004</v>
      </c>
      <c r="AB439" s="11"/>
      <c r="AC439" s="11"/>
      <c r="AD439" s="10" t="s">
        <v>4005</v>
      </c>
      <c r="AE439" s="11"/>
      <c r="AF439" s="12">
        <v>12448000</v>
      </c>
      <c r="AG439" s="11"/>
      <c r="AH439" s="11"/>
      <c r="AI439" s="11"/>
      <c r="AJ439" s="10" t="s">
        <v>4006</v>
      </c>
      <c r="AK439" s="11"/>
      <c r="AL439" s="11"/>
      <c r="AM439" s="11"/>
      <c r="AN439" s="11"/>
      <c r="AO439" s="11"/>
      <c r="AP439" s="11"/>
      <c r="AQ439" s="11"/>
      <c r="AR439" s="10" t="s">
        <v>1971</v>
      </c>
      <c r="AS439" s="10" t="s">
        <v>66</v>
      </c>
      <c r="AT439" s="10" t="s">
        <v>53</v>
      </c>
    </row>
    <row r="440" spans="1:46" ht="20" hidden="1" customHeight="1" x14ac:dyDescent="0.15">
      <c r="A440" s="8" t="s">
        <v>4007</v>
      </c>
      <c r="B440" s="9" t="s">
        <v>4008</v>
      </c>
      <c r="C440" s="10" t="s">
        <v>4009</v>
      </c>
      <c r="D440" s="10" t="s">
        <v>4010</v>
      </c>
      <c r="E440" s="10" t="s">
        <v>51</v>
      </c>
      <c r="F440" s="10" t="s">
        <v>1758</v>
      </c>
      <c r="G440" s="11"/>
      <c r="H440" s="10" t="s">
        <v>91</v>
      </c>
      <c r="I440" s="10" t="s">
        <v>53</v>
      </c>
      <c r="J440" s="10" t="s">
        <v>54</v>
      </c>
      <c r="K440" s="11"/>
      <c r="L440" s="11"/>
      <c r="M440" s="11"/>
      <c r="N440" s="11"/>
      <c r="O440" s="11"/>
      <c r="P440" s="11"/>
      <c r="Q440" s="10" t="s">
        <v>2201</v>
      </c>
      <c r="R440" s="10" t="s">
        <v>3803</v>
      </c>
      <c r="S440" s="10" t="s">
        <v>1762</v>
      </c>
      <c r="T440" s="10" t="s">
        <v>1763</v>
      </c>
      <c r="U440" s="10" t="s">
        <v>1764</v>
      </c>
      <c r="V440" s="11"/>
      <c r="W440" s="10" t="s">
        <v>1765</v>
      </c>
      <c r="X440" s="10" t="s">
        <v>4002</v>
      </c>
      <c r="Y440" s="10" t="s">
        <v>80</v>
      </c>
      <c r="Z440" s="10" t="s">
        <v>4003</v>
      </c>
      <c r="AA440" s="10" t="s">
        <v>4011</v>
      </c>
      <c r="AB440" s="11"/>
      <c r="AC440" s="11"/>
      <c r="AD440" s="10" t="s">
        <v>4012</v>
      </c>
      <c r="AE440" s="11"/>
      <c r="AF440" s="12">
        <v>125000</v>
      </c>
      <c r="AG440" s="11"/>
      <c r="AH440" s="11"/>
      <c r="AI440" s="11"/>
      <c r="AJ440" s="11"/>
      <c r="AK440" s="11"/>
      <c r="AL440" s="11"/>
      <c r="AM440" s="11"/>
      <c r="AN440" s="11"/>
      <c r="AO440" s="11"/>
      <c r="AP440" s="11"/>
      <c r="AQ440" s="11"/>
      <c r="AR440" s="10" t="s">
        <v>1971</v>
      </c>
      <c r="AS440" s="10" t="s">
        <v>66</v>
      </c>
      <c r="AT440" s="10" t="s">
        <v>53</v>
      </c>
    </row>
    <row r="441" spans="1:46" ht="20" hidden="1" customHeight="1" x14ac:dyDescent="0.15">
      <c r="A441" s="8" t="s">
        <v>4013</v>
      </c>
      <c r="B441" s="9" t="s">
        <v>4014</v>
      </c>
      <c r="C441" s="10" t="s">
        <v>4015</v>
      </c>
      <c r="D441" s="10" t="s">
        <v>4016</v>
      </c>
      <c r="E441" s="10" t="s">
        <v>51</v>
      </c>
      <c r="F441" s="10" t="s">
        <v>1758</v>
      </c>
      <c r="G441" s="11"/>
      <c r="H441" s="10" t="s">
        <v>91</v>
      </c>
      <c r="I441" s="10" t="s">
        <v>53</v>
      </c>
      <c r="J441" s="10" t="s">
        <v>54</v>
      </c>
      <c r="K441" s="11"/>
      <c r="L441" s="11"/>
      <c r="M441" s="11"/>
      <c r="N441" s="11"/>
      <c r="O441" s="11"/>
      <c r="P441" s="11"/>
      <c r="Q441" s="10" t="s">
        <v>2192</v>
      </c>
      <c r="R441" s="10" t="s">
        <v>3803</v>
      </c>
      <c r="S441" s="10" t="s">
        <v>1762</v>
      </c>
      <c r="T441" s="10" t="s">
        <v>1763</v>
      </c>
      <c r="U441" s="10" t="s">
        <v>1764</v>
      </c>
      <c r="V441" s="11"/>
      <c r="W441" s="10" t="s">
        <v>1765</v>
      </c>
      <c r="X441" s="10" t="s">
        <v>4002</v>
      </c>
      <c r="Y441" s="10" t="s">
        <v>80</v>
      </c>
      <c r="Z441" s="10" t="s">
        <v>4003</v>
      </c>
      <c r="AA441" s="10" t="s">
        <v>4017</v>
      </c>
      <c r="AB441" s="11"/>
      <c r="AC441" s="11"/>
      <c r="AD441" s="10" t="s">
        <v>4018</v>
      </c>
      <c r="AE441" s="11"/>
      <c r="AF441" s="12">
        <v>2500000</v>
      </c>
      <c r="AG441" s="11"/>
      <c r="AH441" s="11"/>
      <c r="AI441" s="11"/>
      <c r="AJ441" s="11"/>
      <c r="AK441" s="11"/>
      <c r="AL441" s="11"/>
      <c r="AM441" s="11"/>
      <c r="AN441" s="11"/>
      <c r="AO441" s="11"/>
      <c r="AP441" s="11"/>
      <c r="AQ441" s="11"/>
      <c r="AR441" s="10" t="s">
        <v>1971</v>
      </c>
      <c r="AS441" s="10" t="s">
        <v>66</v>
      </c>
      <c r="AT441" s="10" t="s">
        <v>53</v>
      </c>
    </row>
    <row r="442" spans="1:46" ht="20" customHeight="1" x14ac:dyDescent="0.15">
      <c r="A442" s="8" t="s">
        <v>4019</v>
      </c>
      <c r="B442" s="9" t="s">
        <v>4020</v>
      </c>
      <c r="C442" s="10" t="s">
        <v>4021</v>
      </c>
      <c r="D442" s="10" t="s">
        <v>4022</v>
      </c>
      <c r="E442" s="10" t="s">
        <v>51</v>
      </c>
      <c r="F442" s="10" t="s">
        <v>1758</v>
      </c>
      <c r="G442" s="11"/>
      <c r="H442" s="10" t="s">
        <v>552</v>
      </c>
      <c r="I442" s="10" t="s">
        <v>53</v>
      </c>
      <c r="J442" s="10" t="s">
        <v>54</v>
      </c>
      <c r="K442" s="11"/>
      <c r="L442" s="11"/>
      <c r="M442" s="11"/>
      <c r="N442" s="11"/>
      <c r="O442" s="11"/>
      <c r="P442" s="11"/>
      <c r="Q442" s="10" t="s">
        <v>4023</v>
      </c>
      <c r="R442" s="10" t="s">
        <v>3803</v>
      </c>
      <c r="S442" s="10" t="s">
        <v>1762</v>
      </c>
      <c r="T442" s="10" t="s">
        <v>1763</v>
      </c>
      <c r="U442" s="10" t="s">
        <v>1764</v>
      </c>
      <c r="V442" s="11"/>
      <c r="W442" s="10" t="s">
        <v>1765</v>
      </c>
      <c r="X442" s="10" t="s">
        <v>4002</v>
      </c>
      <c r="Y442" s="10" t="s">
        <v>80</v>
      </c>
      <c r="Z442" s="10" t="s">
        <v>4003</v>
      </c>
      <c r="AA442" s="10" t="s">
        <v>4024</v>
      </c>
      <c r="AB442" s="11"/>
      <c r="AC442" s="11"/>
      <c r="AD442" s="10" t="s">
        <v>4025</v>
      </c>
      <c r="AE442" s="11"/>
      <c r="AF442" s="12">
        <v>11000</v>
      </c>
      <c r="AG442" s="11"/>
      <c r="AH442" s="11"/>
      <c r="AI442" s="11"/>
      <c r="AJ442" s="11"/>
      <c r="AK442" s="11"/>
      <c r="AL442" s="11"/>
      <c r="AM442" s="11"/>
      <c r="AN442" s="11"/>
      <c r="AO442" s="11"/>
      <c r="AP442" s="11"/>
      <c r="AQ442" s="11"/>
      <c r="AR442" s="10" t="s">
        <v>1769</v>
      </c>
      <c r="AS442" s="10" t="s">
        <v>66</v>
      </c>
      <c r="AT442" s="10" t="s">
        <v>53</v>
      </c>
    </row>
    <row r="443" spans="1:46" ht="20" hidden="1" customHeight="1" x14ac:dyDescent="0.15">
      <c r="A443" s="8" t="s">
        <v>4026</v>
      </c>
      <c r="B443" s="9" t="s">
        <v>4027</v>
      </c>
      <c r="C443" s="10" t="s">
        <v>4028</v>
      </c>
      <c r="D443" s="10" t="s">
        <v>4029</v>
      </c>
      <c r="E443" s="10" t="s">
        <v>51</v>
      </c>
      <c r="F443" s="10" t="s">
        <v>1758</v>
      </c>
      <c r="G443" s="11"/>
      <c r="H443" s="10" t="s">
        <v>91</v>
      </c>
      <c r="I443" s="10" t="s">
        <v>53</v>
      </c>
      <c r="J443" s="10" t="s">
        <v>54</v>
      </c>
      <c r="K443" s="11"/>
      <c r="L443" s="11"/>
      <c r="M443" s="11"/>
      <c r="N443" s="11"/>
      <c r="O443" s="11"/>
      <c r="P443" s="11"/>
      <c r="Q443" s="10" t="s">
        <v>2917</v>
      </c>
      <c r="R443" s="10" t="s">
        <v>3803</v>
      </c>
      <c r="S443" s="10" t="s">
        <v>1762</v>
      </c>
      <c r="T443" s="10" t="s">
        <v>1763</v>
      </c>
      <c r="U443" s="10" t="s">
        <v>1764</v>
      </c>
      <c r="V443" s="11"/>
      <c r="W443" s="10" t="s">
        <v>1765</v>
      </c>
      <c r="X443" s="10" t="s">
        <v>4002</v>
      </c>
      <c r="Y443" s="10" t="s">
        <v>80</v>
      </c>
      <c r="Z443" s="10" t="s">
        <v>4003</v>
      </c>
      <c r="AA443" s="10" t="s">
        <v>4030</v>
      </c>
      <c r="AB443" s="11"/>
      <c r="AC443" s="11"/>
      <c r="AD443" s="10" t="s">
        <v>4031</v>
      </c>
      <c r="AE443" s="11"/>
      <c r="AF443" s="12">
        <v>92000</v>
      </c>
      <c r="AG443" s="11"/>
      <c r="AH443" s="11"/>
      <c r="AI443" s="11"/>
      <c r="AJ443" s="11"/>
      <c r="AK443" s="11"/>
      <c r="AL443" s="11"/>
      <c r="AM443" s="11"/>
      <c r="AN443" s="11"/>
      <c r="AO443" s="11"/>
      <c r="AP443" s="11"/>
      <c r="AQ443" s="11"/>
      <c r="AR443" s="10" t="s">
        <v>1971</v>
      </c>
      <c r="AS443" s="10" t="s">
        <v>66</v>
      </c>
      <c r="AT443" s="10" t="s">
        <v>53</v>
      </c>
    </row>
    <row r="444" spans="1:46" ht="20" hidden="1" customHeight="1" x14ac:dyDescent="0.15">
      <c r="A444" s="8" t="s">
        <v>4032</v>
      </c>
      <c r="B444" s="9" t="s">
        <v>4033</v>
      </c>
      <c r="C444" s="10" t="s">
        <v>4034</v>
      </c>
      <c r="D444" s="10" t="s">
        <v>4035</v>
      </c>
      <c r="E444" s="10" t="s">
        <v>51</v>
      </c>
      <c r="F444" s="10" t="s">
        <v>1758</v>
      </c>
      <c r="G444" s="11"/>
      <c r="H444" s="10" t="s">
        <v>91</v>
      </c>
      <c r="I444" s="10" t="s">
        <v>53</v>
      </c>
      <c r="J444" s="10" t="s">
        <v>54</v>
      </c>
      <c r="K444" s="11"/>
      <c r="L444" s="11"/>
      <c r="M444" s="11"/>
      <c r="N444" s="11"/>
      <c r="O444" s="11"/>
      <c r="P444" s="11"/>
      <c r="Q444" s="10" t="s">
        <v>317</v>
      </c>
      <c r="R444" s="10" t="s">
        <v>3803</v>
      </c>
      <c r="S444" s="10" t="s">
        <v>1762</v>
      </c>
      <c r="T444" s="10" t="s">
        <v>1763</v>
      </c>
      <c r="U444" s="10" t="s">
        <v>1764</v>
      </c>
      <c r="V444" s="11"/>
      <c r="W444" s="10" t="s">
        <v>1765</v>
      </c>
      <c r="X444" s="10" t="s">
        <v>4002</v>
      </c>
      <c r="Y444" s="10" t="s">
        <v>80</v>
      </c>
      <c r="Z444" s="10" t="s">
        <v>4003</v>
      </c>
      <c r="AA444" s="10" t="s">
        <v>4036</v>
      </c>
      <c r="AB444" s="11"/>
      <c r="AC444" s="11"/>
      <c r="AD444" s="10" t="s">
        <v>4037</v>
      </c>
      <c r="AE444" s="11"/>
      <c r="AF444" s="12">
        <v>4700</v>
      </c>
      <c r="AG444" s="11"/>
      <c r="AH444" s="11"/>
      <c r="AI444" s="11"/>
      <c r="AJ444" s="10" t="s">
        <v>4038</v>
      </c>
      <c r="AK444" s="11"/>
      <c r="AL444" s="11"/>
      <c r="AM444" s="11"/>
      <c r="AN444" s="11"/>
      <c r="AO444" s="11"/>
      <c r="AP444" s="11"/>
      <c r="AQ444" s="11"/>
      <c r="AR444" s="10" t="s">
        <v>1971</v>
      </c>
      <c r="AS444" s="10" t="s">
        <v>66</v>
      </c>
      <c r="AT444" s="10" t="s">
        <v>53</v>
      </c>
    </row>
    <row r="445" spans="1:46" ht="20" hidden="1" customHeight="1" x14ac:dyDescent="0.15">
      <c r="A445" s="8" t="s">
        <v>4039</v>
      </c>
      <c r="B445" s="9" t="s">
        <v>4040</v>
      </c>
      <c r="C445" s="10" t="s">
        <v>4041</v>
      </c>
      <c r="D445" s="10" t="s">
        <v>4042</v>
      </c>
      <c r="E445" s="10" t="s">
        <v>51</v>
      </c>
      <c r="F445" s="10" t="s">
        <v>1758</v>
      </c>
      <c r="G445" s="11"/>
      <c r="H445" s="10" t="s">
        <v>91</v>
      </c>
      <c r="I445" s="10" t="s">
        <v>53</v>
      </c>
      <c r="J445" s="10" t="s">
        <v>54</v>
      </c>
      <c r="K445" s="11"/>
      <c r="L445" s="11"/>
      <c r="M445" s="11"/>
      <c r="N445" s="11"/>
      <c r="O445" s="11"/>
      <c r="P445" s="11"/>
      <c r="Q445" s="10" t="s">
        <v>4043</v>
      </c>
      <c r="R445" s="10" t="s">
        <v>3803</v>
      </c>
      <c r="S445" s="10" t="s">
        <v>1762</v>
      </c>
      <c r="T445" s="10" t="s">
        <v>1763</v>
      </c>
      <c r="U445" s="10" t="s">
        <v>1764</v>
      </c>
      <c r="V445" s="11"/>
      <c r="W445" s="10" t="s">
        <v>1765</v>
      </c>
      <c r="X445" s="10" t="s">
        <v>4002</v>
      </c>
      <c r="Y445" s="10" t="s">
        <v>80</v>
      </c>
      <c r="Z445" s="10" t="s">
        <v>4003</v>
      </c>
      <c r="AA445" s="10" t="s">
        <v>4044</v>
      </c>
      <c r="AB445" s="11"/>
      <c r="AC445" s="11"/>
      <c r="AD445" s="10" t="s">
        <v>4045</v>
      </c>
      <c r="AE445" s="11"/>
      <c r="AF445" s="12">
        <v>190802</v>
      </c>
      <c r="AG445" s="11"/>
      <c r="AH445" s="11"/>
      <c r="AI445" s="11"/>
      <c r="AJ445" s="11"/>
      <c r="AK445" s="11"/>
      <c r="AL445" s="11"/>
      <c r="AM445" s="11"/>
      <c r="AN445" s="11"/>
      <c r="AO445" s="11"/>
      <c r="AP445" s="11"/>
      <c r="AQ445" s="11"/>
      <c r="AR445" s="10" t="s">
        <v>1971</v>
      </c>
      <c r="AS445" s="10" t="s">
        <v>66</v>
      </c>
      <c r="AT445" s="10" t="s">
        <v>53</v>
      </c>
    </row>
    <row r="446" spans="1:46" ht="20" hidden="1" customHeight="1" x14ac:dyDescent="0.15">
      <c r="A446" s="8" t="s">
        <v>4046</v>
      </c>
      <c r="B446" s="9" t="s">
        <v>4047</v>
      </c>
      <c r="C446" s="10" t="s">
        <v>4048</v>
      </c>
      <c r="D446" s="10" t="s">
        <v>4049</v>
      </c>
      <c r="E446" s="10" t="s">
        <v>51</v>
      </c>
      <c r="F446" s="10" t="s">
        <v>4050</v>
      </c>
      <c r="G446" s="10" t="s">
        <v>4051</v>
      </c>
      <c r="H446" s="10" t="s">
        <v>378</v>
      </c>
      <c r="I446" s="10" t="s">
        <v>53</v>
      </c>
      <c r="J446" s="10" t="s">
        <v>53</v>
      </c>
      <c r="K446" s="11"/>
      <c r="L446" s="11"/>
      <c r="M446" s="11"/>
      <c r="N446" s="11"/>
      <c r="O446" s="11"/>
      <c r="P446" s="11"/>
      <c r="Q446" s="10" t="s">
        <v>4052</v>
      </c>
      <c r="R446" s="11"/>
      <c r="S446" s="11"/>
      <c r="T446" s="11"/>
      <c r="U446" s="11"/>
      <c r="V446" s="10" t="s">
        <v>4053</v>
      </c>
      <c r="W446" s="10" t="s">
        <v>4054</v>
      </c>
      <c r="X446" s="10" t="s">
        <v>4002</v>
      </c>
      <c r="Y446" s="10" t="s">
        <v>4055</v>
      </c>
      <c r="Z446" s="10" t="s">
        <v>4056</v>
      </c>
      <c r="AA446" s="10" t="s">
        <v>4057</v>
      </c>
      <c r="AB446" s="11"/>
      <c r="AC446" s="11"/>
      <c r="AD446" s="10" t="s">
        <v>4058</v>
      </c>
      <c r="AE446" s="11"/>
      <c r="AF446" s="11"/>
      <c r="AG446" s="11"/>
      <c r="AH446" s="11"/>
      <c r="AI446" s="11"/>
      <c r="AJ446" s="11"/>
      <c r="AK446" s="11"/>
      <c r="AL446" s="11"/>
      <c r="AM446" s="11"/>
      <c r="AN446" s="11"/>
      <c r="AO446" s="11"/>
      <c r="AP446" s="11"/>
      <c r="AQ446" s="11"/>
      <c r="AR446" s="11"/>
      <c r="AS446" s="10" t="s">
        <v>66</v>
      </c>
      <c r="AT446" s="10" t="s">
        <v>53</v>
      </c>
    </row>
    <row r="447" spans="1:46" ht="20" hidden="1" customHeight="1" x14ac:dyDescent="0.15">
      <c r="AF447" s="1">
        <f>SUM(AF3:AF445)</f>
        <v>62867184</v>
      </c>
    </row>
    <row r="448" spans="1:46" ht="20" customHeight="1" x14ac:dyDescent="0.15">
      <c r="AF448" s="1">
        <f>SUBTOTAL(9,AF29:AF39)</f>
        <v>0</v>
      </c>
    </row>
  </sheetData>
  <autoFilter ref="A2:AT447" xr:uid="{00000000-0001-0000-0000-000000000000}">
    <filterColumn colId="7">
      <filters>
        <filter val="EarthPlanetary"/>
        <filter val="EarthPlanetary;Meteorites"/>
        <filter val="EarthPlanetary;Minerals"/>
        <filter val="EarthPlanetary;Paleontological;Rocks;Minerals;Conodonts;InvertebrateFossils;InvertebrateMicrofossils;PetrifiedWood;PlantFossils;TraceFossils;VertebrateFossils"/>
        <filter val="EarthPlanetary;Paleontological;Rocks;Minerals;Paleontological;EarthPlanetary;MetalsOres"/>
        <filter val="EarthPlanetary;Rocks"/>
        <filter val="EarthPlanetary;Rocks;Minerals"/>
        <filter val="EarthPlanetary;Rocks;Minerals;Meteorites;Gems"/>
        <filter val="EarthPlanetary;Rocks;Minerals;Paleontological;Asteroids;MetalsOres;Meteorites;Sediments;Soils;SpaceExposedMaterials;Water"/>
        <filter val="EarthPlanetary;Rocks;Sediments"/>
        <filter val="EarthPlanetary;Rocks;Sediments;Minerals;Meteorites;InvertebrateFossils;InvertebrateMicrofossils;VertebrateFossils;PlantFossils;PetrifiedWood"/>
        <filter val="EarthPlanetary;Sediments"/>
        <filter val="Gems;MetalsOres;Meteorites;Rocks;Sediments;EarthPlanetary"/>
        <filter val="Minerals;EarthPlanetary"/>
        <filter val="Minerals;Rocks;Meteorites"/>
        <filter val="Paleontological"/>
        <filter val="Paleontological;EarthPlanetary;InvertebrateFossils;Rocks"/>
        <filter val="Paleontological;InvertebrateFossils"/>
        <filter val="Paleontological;InvertebrateFossils;InvertebrateFossils"/>
        <filter val="Paleontological;InvertebrateFossils;PlantFossils"/>
        <filter val="Paleontological;InvertebrateFossils;VertebrateFossils;PlantFossils"/>
        <filter val="Paleontological;InvertebrateMicrofossils"/>
        <filter val="Paleontological;PlantFossils"/>
        <filter val="Paleontological;Rocks;InvertebrateFossils;InvertebrateMicrofossils;VertebrateFossils;PlantFossils"/>
        <filter val="Paleontological;Rocks;InvertebrateFossils;InvertebrateMicrofossils;VertebrateFossils;PlantFossils;PetrifiedWood"/>
        <filter val="Paleontological;TraceFossils"/>
        <filter val="Paleontological;VertebrateFossils"/>
        <filter val="Paleontological;VertebrateFossils;InvertebrateFossils;PlantFossils"/>
        <filter val="Rocks;Minerals;EarthPlanetary"/>
      </filters>
    </filterColumn>
  </autoFilter>
  <mergeCells count="1">
    <mergeCell ref="A1:AT1"/>
  </mergeCells>
  <hyperlinks>
    <hyperlink ref="N3" r:id="rId1" xr:uid="{00000000-0004-0000-0000-000000000000}"/>
    <hyperlink ref="AP3" r:id="rId2" xr:uid="{00000000-0004-0000-0000-000001000000}"/>
    <hyperlink ref="L4" r:id="rId3" xr:uid="{00000000-0004-0000-0000-000002000000}"/>
    <hyperlink ref="N4" r:id="rId4" xr:uid="{00000000-0004-0000-0000-000003000000}"/>
    <hyperlink ref="L5" r:id="rId5" xr:uid="{00000000-0004-0000-0000-000004000000}"/>
    <hyperlink ref="N5" r:id="rId6" xr:uid="{00000000-0004-0000-0000-000005000000}"/>
    <hyperlink ref="AJ5" r:id="rId7" display="taxodros.unizh.ch" xr:uid="{00000000-0004-0000-0000-000006000000}"/>
    <hyperlink ref="L6" r:id="rId8" xr:uid="{00000000-0004-0000-0000-000007000000}"/>
    <hyperlink ref="N6" r:id="rId9" xr:uid="{00000000-0004-0000-0000-000008000000}"/>
    <hyperlink ref="AJ6" r:id="rId10" display="taxodros.unizh.ch" xr:uid="{00000000-0004-0000-0000-000009000000}"/>
    <hyperlink ref="L7" r:id="rId11" xr:uid="{00000000-0004-0000-0000-00000A000000}"/>
    <hyperlink ref="N7" r:id="rId12" xr:uid="{00000000-0004-0000-0000-00000B000000}"/>
    <hyperlink ref="L8" r:id="rId13" xr:uid="{00000000-0004-0000-0000-00000C000000}"/>
    <hyperlink ref="N8" r:id="rId14" xr:uid="{00000000-0004-0000-0000-00000D000000}"/>
    <hyperlink ref="L9" r:id="rId15" xr:uid="{00000000-0004-0000-0000-00000E000000}"/>
    <hyperlink ref="N9" r:id="rId16" xr:uid="{00000000-0004-0000-0000-00000F000000}"/>
    <hyperlink ref="L10" r:id="rId17" xr:uid="{00000000-0004-0000-0000-000010000000}"/>
    <hyperlink ref="N10" r:id="rId18" xr:uid="{00000000-0004-0000-0000-000011000000}"/>
    <hyperlink ref="L11" r:id="rId19" xr:uid="{00000000-0004-0000-0000-000012000000}"/>
    <hyperlink ref="N11" r:id="rId20" xr:uid="{00000000-0004-0000-0000-000013000000}"/>
    <hyperlink ref="L12" r:id="rId21" xr:uid="{00000000-0004-0000-0000-000014000000}"/>
    <hyperlink ref="N12" r:id="rId22" xr:uid="{00000000-0004-0000-0000-000015000000}"/>
    <hyperlink ref="L13" r:id="rId23" xr:uid="{00000000-0004-0000-0000-000016000000}"/>
    <hyperlink ref="N13" r:id="rId24" xr:uid="{00000000-0004-0000-0000-000017000000}"/>
    <hyperlink ref="L14" r:id="rId25" xr:uid="{00000000-0004-0000-0000-000018000000}"/>
    <hyperlink ref="N14" r:id="rId26" xr:uid="{00000000-0004-0000-0000-000019000000}"/>
    <hyperlink ref="L15" r:id="rId27" xr:uid="{00000000-0004-0000-0000-00001A000000}"/>
    <hyperlink ref="N15" r:id="rId28" xr:uid="{00000000-0004-0000-0000-00001B000000}"/>
    <hyperlink ref="L16" r:id="rId29" xr:uid="{00000000-0004-0000-0000-00001C000000}"/>
    <hyperlink ref="N16" r:id="rId30" xr:uid="{00000000-0004-0000-0000-00001D000000}"/>
    <hyperlink ref="L17" r:id="rId31" xr:uid="{00000000-0004-0000-0000-00001E000000}"/>
    <hyperlink ref="N17" r:id="rId32" xr:uid="{00000000-0004-0000-0000-00001F000000}"/>
    <hyperlink ref="L18" r:id="rId33" xr:uid="{00000000-0004-0000-0000-000020000000}"/>
    <hyperlink ref="N18" r:id="rId34" xr:uid="{00000000-0004-0000-0000-000021000000}"/>
    <hyperlink ref="L19" r:id="rId35" xr:uid="{00000000-0004-0000-0000-000022000000}"/>
    <hyperlink ref="N19" r:id="rId36" xr:uid="{00000000-0004-0000-0000-000023000000}"/>
    <hyperlink ref="L20" r:id="rId37" xr:uid="{00000000-0004-0000-0000-000024000000}"/>
    <hyperlink ref="N20" r:id="rId38" xr:uid="{00000000-0004-0000-0000-000025000000}"/>
    <hyperlink ref="L21" r:id="rId39" xr:uid="{00000000-0004-0000-0000-000026000000}"/>
    <hyperlink ref="N21" r:id="rId40" xr:uid="{00000000-0004-0000-0000-000027000000}"/>
    <hyperlink ref="L22" r:id="rId41" xr:uid="{00000000-0004-0000-0000-000028000000}"/>
    <hyperlink ref="N22" r:id="rId42" xr:uid="{00000000-0004-0000-0000-000029000000}"/>
    <hyperlink ref="L23" r:id="rId43" xr:uid="{00000000-0004-0000-0000-00002A000000}"/>
    <hyperlink ref="N23" r:id="rId44" xr:uid="{00000000-0004-0000-0000-00002B000000}"/>
    <hyperlink ref="L24" r:id="rId45" xr:uid="{00000000-0004-0000-0000-00002C000000}"/>
    <hyperlink ref="N24" r:id="rId46" xr:uid="{00000000-0004-0000-0000-00002D000000}"/>
    <hyperlink ref="L25" r:id="rId47" display="daniel.rigling@wsl.ch" xr:uid="{00000000-0004-0000-0000-00002E000000}"/>
    <hyperlink ref="L26" r:id="rId48" display="daniel.rigling@wsl.ch" xr:uid="{00000000-0004-0000-0000-00002F000000}"/>
    <hyperlink ref="L27" r:id="rId49" xr:uid="{00000000-0004-0000-0000-000030000000}"/>
    <hyperlink ref="L28" r:id="rId50" xr:uid="{00000000-0004-0000-0000-000031000000}"/>
    <hyperlink ref="AK28" r:id="rId51" display="https://viaf.org/viaf/17146937722713830750;Marco" xr:uid="{00000000-0004-0000-0000-000032000000}"/>
    <hyperlink ref="L29" r:id="rId52" xr:uid="{00000000-0004-0000-0000-000033000000}"/>
    <hyperlink ref="N29" r:id="rId53" xr:uid="{00000000-0004-0000-0000-000034000000}"/>
    <hyperlink ref="L30" r:id="rId54" xr:uid="{00000000-0004-0000-0000-000035000000}"/>
    <hyperlink ref="N30" r:id="rId55" xr:uid="{00000000-0004-0000-0000-000036000000}"/>
    <hyperlink ref="L31" r:id="rId56" xr:uid="{00000000-0004-0000-0000-000037000000}"/>
    <hyperlink ref="N31" r:id="rId57" xr:uid="{00000000-0004-0000-0000-000038000000}"/>
    <hyperlink ref="L32" r:id="rId58" xr:uid="{00000000-0004-0000-0000-000039000000}"/>
    <hyperlink ref="N32" r:id="rId59" xr:uid="{00000000-0004-0000-0000-00003A000000}"/>
    <hyperlink ref="L33" r:id="rId60" xr:uid="{00000000-0004-0000-0000-00003B000000}"/>
    <hyperlink ref="N33" r:id="rId61" xr:uid="{00000000-0004-0000-0000-00003C000000}"/>
    <hyperlink ref="L34" r:id="rId62" xr:uid="{00000000-0004-0000-0000-00003D000000}"/>
    <hyperlink ref="N34" r:id="rId63" xr:uid="{00000000-0004-0000-0000-00003E000000}"/>
    <hyperlink ref="L35" r:id="rId64" xr:uid="{00000000-0004-0000-0000-00003F000000}"/>
    <hyperlink ref="N35" r:id="rId65" xr:uid="{00000000-0004-0000-0000-000040000000}"/>
    <hyperlink ref="L36" r:id="rId66" xr:uid="{00000000-0004-0000-0000-000041000000}"/>
    <hyperlink ref="N36" r:id="rId67" xr:uid="{00000000-0004-0000-0000-000042000000}"/>
    <hyperlink ref="L37" r:id="rId68" xr:uid="{00000000-0004-0000-0000-000043000000}"/>
    <hyperlink ref="N37" r:id="rId69" xr:uid="{00000000-0004-0000-0000-000044000000}"/>
    <hyperlink ref="L38" r:id="rId70" xr:uid="{00000000-0004-0000-0000-000045000000}"/>
    <hyperlink ref="N38" r:id="rId71" xr:uid="{00000000-0004-0000-0000-000046000000}"/>
    <hyperlink ref="L39" r:id="rId72" xr:uid="{00000000-0004-0000-0000-000047000000}"/>
    <hyperlink ref="N39" r:id="rId73" xr:uid="{00000000-0004-0000-0000-000048000000}"/>
    <hyperlink ref="L40" r:id="rId74" xr:uid="{00000000-0004-0000-0000-000049000000}"/>
    <hyperlink ref="N40" r:id="rId75" xr:uid="{00000000-0004-0000-0000-00004A000000}"/>
    <hyperlink ref="L41" r:id="rId76" display="fabrizia.ronco@unibas.ch" xr:uid="{00000000-0004-0000-0000-00004B000000}"/>
    <hyperlink ref="N41" r:id="rId77" xr:uid="{00000000-0004-0000-0000-00004C000000}"/>
    <hyperlink ref="L42" r:id="rId78" display="herb-phanero.cjb@ville-ge.ch" xr:uid="{00000000-0004-0000-0000-00004D000000}"/>
    <hyperlink ref="N42" r:id="rId79" xr:uid="{00000000-0004-0000-0000-00004E000000}"/>
    <hyperlink ref="AE42" r:id="rId80" display="martin.callmander@geneve.ch" xr:uid="{00000000-0004-0000-0000-00004F000000}"/>
    <hyperlink ref="L43" r:id="rId81" xr:uid="{00000000-0004-0000-0000-000050000000}"/>
    <hyperlink ref="N43" r:id="rId82" xr:uid="{00000000-0004-0000-0000-000051000000}"/>
    <hyperlink ref="AE43" r:id="rId83" display="louis.nusbaumer@geneve.ch" xr:uid="{00000000-0004-0000-0000-000052000000}"/>
    <hyperlink ref="L44" r:id="rId84" xr:uid="{00000000-0004-0000-0000-000053000000}"/>
    <hyperlink ref="N44" r:id="rId85" xr:uid="{00000000-0004-0000-0000-000054000000}"/>
    <hyperlink ref="AE44" r:id="rId86" display="louis.nusbaumer@geneve.ch" xr:uid="{00000000-0004-0000-0000-000055000000}"/>
    <hyperlink ref="L45" r:id="rId87" xr:uid="{00000000-0004-0000-0000-000056000000}"/>
    <hyperlink ref="N45" r:id="rId88" xr:uid="{00000000-0004-0000-0000-000057000000}"/>
    <hyperlink ref="AE45" r:id="rId89" display="louis.nusbaumer@geneve.ch" xr:uid="{00000000-0004-0000-0000-000058000000}"/>
    <hyperlink ref="L46" r:id="rId90" xr:uid="{00000000-0004-0000-0000-000059000000}"/>
    <hyperlink ref="N46" r:id="rId91" xr:uid="{00000000-0004-0000-0000-00005A000000}"/>
    <hyperlink ref="L47" r:id="rId92" xr:uid="{00000000-0004-0000-0000-00005B000000}"/>
    <hyperlink ref="N47" r:id="rId93" xr:uid="{00000000-0004-0000-0000-00005C000000}"/>
    <hyperlink ref="L48" r:id="rId94" xr:uid="{00000000-0004-0000-0000-00005D000000}"/>
    <hyperlink ref="N48" r:id="rId95" xr:uid="{00000000-0004-0000-0000-00005E000000}"/>
    <hyperlink ref="L49" r:id="rId96" xr:uid="{00000000-0004-0000-0000-00005F000000}"/>
    <hyperlink ref="N49" r:id="rId97" xr:uid="{00000000-0004-0000-0000-000060000000}"/>
    <hyperlink ref="L50" r:id="rId98" xr:uid="{00000000-0004-0000-0000-000061000000}"/>
    <hyperlink ref="N50" r:id="rId99" xr:uid="{00000000-0004-0000-0000-000062000000}"/>
    <hyperlink ref="L51" r:id="rId100" xr:uid="{00000000-0004-0000-0000-000063000000}"/>
    <hyperlink ref="N51" r:id="rId101" xr:uid="{00000000-0004-0000-0000-000064000000}"/>
    <hyperlink ref="L52" r:id="rId102" xr:uid="{00000000-0004-0000-0000-000065000000}"/>
    <hyperlink ref="N52" r:id="rId103" xr:uid="{00000000-0004-0000-0000-000066000000}"/>
    <hyperlink ref="L53" r:id="rId104" xr:uid="{00000000-0004-0000-0000-000067000000}"/>
    <hyperlink ref="N53" r:id="rId105" xr:uid="{00000000-0004-0000-0000-000068000000}"/>
    <hyperlink ref="L54" r:id="rId106" xr:uid="{00000000-0004-0000-0000-000069000000}"/>
    <hyperlink ref="N54" r:id="rId107" xr:uid="{00000000-0004-0000-0000-00006A000000}"/>
    <hyperlink ref="L55" r:id="rId108" xr:uid="{00000000-0004-0000-0000-00006B000000}"/>
    <hyperlink ref="N55" r:id="rId109" xr:uid="{00000000-0004-0000-0000-00006C000000}"/>
    <hyperlink ref="L56" r:id="rId110" xr:uid="{00000000-0004-0000-0000-00006D000000}"/>
    <hyperlink ref="N56" r:id="rId111" xr:uid="{00000000-0004-0000-0000-00006E000000}"/>
    <hyperlink ref="L57" r:id="rId112" xr:uid="{00000000-0004-0000-0000-00006F000000}"/>
    <hyperlink ref="N57" r:id="rId113" xr:uid="{00000000-0004-0000-0000-000070000000}"/>
    <hyperlink ref="L58" r:id="rId114" xr:uid="{00000000-0004-0000-0000-000071000000}"/>
    <hyperlink ref="N58" r:id="rId115" xr:uid="{00000000-0004-0000-0000-000072000000}"/>
    <hyperlink ref="L59" r:id="rId116" xr:uid="{00000000-0004-0000-0000-000073000000}"/>
    <hyperlink ref="N59" r:id="rId117" xr:uid="{00000000-0004-0000-0000-000074000000}"/>
    <hyperlink ref="L60" r:id="rId118" xr:uid="{00000000-0004-0000-0000-000075000000}"/>
    <hyperlink ref="N60" r:id="rId119" xr:uid="{00000000-0004-0000-0000-000076000000}"/>
    <hyperlink ref="L61" r:id="rId120" xr:uid="{00000000-0004-0000-0000-000077000000}"/>
    <hyperlink ref="N61" r:id="rId121" xr:uid="{00000000-0004-0000-0000-000078000000}"/>
    <hyperlink ref="AK61" r:id="rId122" display="https://viaf.org/viaf/8185896" xr:uid="{00000000-0004-0000-0000-000079000000}"/>
    <hyperlink ref="L62" r:id="rId123" xr:uid="{00000000-0004-0000-0000-00007A000000}"/>
    <hyperlink ref="N62" r:id="rId124" xr:uid="{00000000-0004-0000-0000-00007B000000}"/>
    <hyperlink ref="AK62" r:id="rId125" display="https://hls-dhs-dss.ch/fr/articles/029095/2005-08-16;Louis" xr:uid="{00000000-0004-0000-0000-00007C000000}"/>
    <hyperlink ref="L63" r:id="rId126" xr:uid="{00000000-0004-0000-0000-00007D000000}"/>
    <hyperlink ref="N63" r:id="rId127" xr:uid="{00000000-0004-0000-0000-00007E000000}"/>
    <hyperlink ref="AK63" r:id="rId128" display="https://hls-dhs-dss.ch/fr/articles/029095/2005-08-16;Louis" xr:uid="{00000000-0004-0000-0000-00007F000000}"/>
    <hyperlink ref="L64" r:id="rId129" xr:uid="{00000000-0004-0000-0000-000080000000}"/>
    <hyperlink ref="N64" r:id="rId130" xr:uid="{00000000-0004-0000-0000-000081000000}"/>
    <hyperlink ref="AK64" r:id="rId131" display="https://hls-dhs-dss.ch/fr/articles/029095/2005-08-16;Louis" xr:uid="{00000000-0004-0000-0000-000082000000}"/>
    <hyperlink ref="L65" r:id="rId132" xr:uid="{00000000-0004-0000-0000-000083000000}"/>
    <hyperlink ref="N65" r:id="rId133" xr:uid="{00000000-0004-0000-0000-000084000000}"/>
    <hyperlink ref="AK65" r:id="rId134" display="https://viaf.org/viaf/8185896;Philippe" xr:uid="{00000000-0004-0000-0000-000085000000}"/>
    <hyperlink ref="L66" r:id="rId135" xr:uid="{00000000-0004-0000-0000-000086000000}"/>
    <hyperlink ref="N66" r:id="rId136" xr:uid="{00000000-0004-0000-0000-000087000000}"/>
    <hyperlink ref="AK66" r:id="rId137" display="https://hls-dhs-dss.ch/fr/articles/029095/2005-08-16;Jean-Jacques" xr:uid="{00000000-0004-0000-0000-000088000000}"/>
    <hyperlink ref="L67" r:id="rId138" xr:uid="{00000000-0004-0000-0000-000089000000}"/>
    <hyperlink ref="N67" r:id="rId139" xr:uid="{00000000-0004-0000-0000-00008A000000}"/>
    <hyperlink ref="AK67" r:id="rId140" display="https://viaf.org/viaf/8185896;Philippe" xr:uid="{00000000-0004-0000-0000-00008B000000}"/>
    <hyperlink ref="L68" r:id="rId141" xr:uid="{00000000-0004-0000-0000-00008C000000}"/>
    <hyperlink ref="N68" r:id="rId142" xr:uid="{00000000-0004-0000-0000-00008D000000}"/>
    <hyperlink ref="AK68" r:id="rId143" display="https://viaf.org/viaf/8185896;Philippe" xr:uid="{00000000-0004-0000-0000-00008E000000}"/>
    <hyperlink ref="L70" r:id="rId144" xr:uid="{00000000-0004-0000-0000-00008F000000}"/>
    <hyperlink ref="AE70" r:id="rId145" display="filippo.rampazzi@ti.ch" xr:uid="{00000000-0004-0000-0000-000090000000}"/>
    <hyperlink ref="L75" r:id="rId146" xr:uid="{00000000-0004-0000-0000-000091000000}"/>
    <hyperlink ref="L76" r:id="rId147" xr:uid="{00000000-0004-0000-0000-000092000000}"/>
    <hyperlink ref="L77" r:id="rId148" xr:uid="{00000000-0004-0000-0000-000093000000}"/>
    <hyperlink ref="L78" r:id="rId149" xr:uid="{00000000-0004-0000-0000-000094000000}"/>
    <hyperlink ref="L79" r:id="rId150" xr:uid="{00000000-0004-0000-0000-000095000000}"/>
    <hyperlink ref="L80" r:id="rId151" xr:uid="{00000000-0004-0000-0000-000096000000}"/>
    <hyperlink ref="L81" r:id="rId152" xr:uid="{00000000-0004-0000-0000-000097000000}"/>
    <hyperlink ref="L82" r:id="rId153" xr:uid="{00000000-0004-0000-0000-000098000000}"/>
    <hyperlink ref="L83" r:id="rId154" xr:uid="{00000000-0004-0000-0000-000099000000}"/>
    <hyperlink ref="L84" r:id="rId155" xr:uid="{00000000-0004-0000-0000-00009A000000}"/>
    <hyperlink ref="AE84" r:id="rId156" display="elisabeth.danner@lu.ch" xr:uid="{00000000-0004-0000-0000-00009B000000}"/>
    <hyperlink ref="L85" r:id="rId157" xr:uid="{00000000-0004-0000-0000-00009C000000}"/>
    <hyperlink ref="L86" r:id="rId158" xr:uid="{00000000-0004-0000-0000-00009D000000}"/>
    <hyperlink ref="L87" r:id="rId159" xr:uid="{00000000-0004-0000-0000-00009E000000}"/>
    <hyperlink ref="L88" r:id="rId160" xr:uid="{00000000-0004-0000-0000-00009F000000}"/>
    <hyperlink ref="L89" r:id="rId161" xr:uid="{00000000-0004-0000-0000-0000A0000000}"/>
    <hyperlink ref="L90" r:id="rId162" xr:uid="{00000000-0004-0000-0000-0000A1000000}"/>
    <hyperlink ref="L91" r:id="rId163" xr:uid="{00000000-0004-0000-0000-0000A2000000}"/>
    <hyperlink ref="L92" r:id="rId164" xr:uid="{00000000-0004-0000-0000-0000A3000000}"/>
    <hyperlink ref="AK92" r:id="rId165" display="https://www.researchgate.net/profile/Christoph_Germann" xr:uid="{00000000-0004-0000-0000-0000A4000000}"/>
    <hyperlink ref="L93" r:id="rId166" xr:uid="{00000000-0004-0000-0000-0000A5000000}"/>
    <hyperlink ref="L94" r:id="rId167" xr:uid="{00000000-0004-0000-0000-0000A6000000}"/>
    <hyperlink ref="L95" r:id="rId168" xr:uid="{00000000-0004-0000-0000-0000A7000000}"/>
    <hyperlink ref="L96" r:id="rId169" xr:uid="{00000000-0004-0000-0000-0000A8000000}"/>
    <hyperlink ref="L97" r:id="rId170" xr:uid="{00000000-0004-0000-0000-0000A9000000}"/>
    <hyperlink ref="L98" r:id="rId171" xr:uid="{00000000-0004-0000-0000-0000AA000000}"/>
    <hyperlink ref="L99" r:id="rId172" xr:uid="{00000000-0004-0000-0000-0000AB000000}"/>
    <hyperlink ref="L100" r:id="rId173" xr:uid="{00000000-0004-0000-0000-0000AC000000}"/>
    <hyperlink ref="L101" r:id="rId174" xr:uid="{00000000-0004-0000-0000-0000AD000000}"/>
    <hyperlink ref="L102" r:id="rId175" xr:uid="{00000000-0004-0000-0000-0000AE000000}"/>
    <hyperlink ref="L103" r:id="rId176" xr:uid="{00000000-0004-0000-0000-0000AF000000}"/>
    <hyperlink ref="L104" r:id="rId177" xr:uid="{00000000-0004-0000-0000-0000B0000000}"/>
    <hyperlink ref="L105" r:id="rId178" xr:uid="{00000000-0004-0000-0000-0000B1000000}"/>
    <hyperlink ref="AK105" r:id="rId179" display="https://viaf.org/viaf/22669656" xr:uid="{00000000-0004-0000-0000-0000B2000000}"/>
    <hyperlink ref="L106" r:id="rId180" xr:uid="{00000000-0004-0000-0000-0000B3000000}"/>
    <hyperlink ref="L107" r:id="rId181" xr:uid="{00000000-0004-0000-0000-0000B4000000}"/>
    <hyperlink ref="L108" r:id="rId182" xr:uid="{00000000-0004-0000-0000-0000B5000000}"/>
    <hyperlink ref="L109" r:id="rId183" xr:uid="{00000000-0004-0000-0000-0000B6000000}"/>
    <hyperlink ref="L110" r:id="rId184" xr:uid="{00000000-0004-0000-0000-0000B7000000}"/>
    <hyperlink ref="L111" r:id="rId185" xr:uid="{00000000-0004-0000-0000-0000B8000000}"/>
    <hyperlink ref="L112" r:id="rId186" xr:uid="{00000000-0004-0000-0000-0000B9000000}"/>
    <hyperlink ref="L113" r:id="rId187" xr:uid="{00000000-0004-0000-0000-0000BA000000}"/>
    <hyperlink ref="L114" r:id="rId188" xr:uid="{00000000-0004-0000-0000-0000BB000000}"/>
    <hyperlink ref="L115" r:id="rId189" xr:uid="{00000000-0004-0000-0000-0000BC000000}"/>
    <hyperlink ref="L116" r:id="rId190" xr:uid="{00000000-0004-0000-0000-0000BD000000}"/>
    <hyperlink ref="L117" r:id="rId191" xr:uid="{00000000-0004-0000-0000-0000BE000000}"/>
    <hyperlink ref="L118" r:id="rId192" xr:uid="{00000000-0004-0000-0000-0000BF000000}"/>
    <hyperlink ref="L119" r:id="rId193" xr:uid="{00000000-0004-0000-0000-0000C0000000}"/>
    <hyperlink ref="L120" r:id="rId194" xr:uid="{00000000-0004-0000-0000-0000C1000000}"/>
    <hyperlink ref="L121" r:id="rId195" xr:uid="{00000000-0004-0000-0000-0000C2000000}"/>
    <hyperlink ref="L122" r:id="rId196" xr:uid="{00000000-0004-0000-0000-0000C3000000}"/>
    <hyperlink ref="L123" r:id="rId197" xr:uid="{00000000-0004-0000-0000-0000C4000000}"/>
    <hyperlink ref="L124" r:id="rId198" xr:uid="{00000000-0004-0000-0000-0000C5000000}"/>
    <hyperlink ref="L125" r:id="rId199" xr:uid="{00000000-0004-0000-0000-0000C6000000}"/>
    <hyperlink ref="L126" r:id="rId200" xr:uid="{00000000-0004-0000-0000-0000C7000000}"/>
    <hyperlink ref="L127" r:id="rId201" xr:uid="{00000000-0004-0000-0000-0000C8000000}"/>
    <hyperlink ref="L128" r:id="rId202" xr:uid="{00000000-0004-0000-0000-0000C9000000}"/>
    <hyperlink ref="L129" r:id="rId203" xr:uid="{00000000-0004-0000-0000-0000CA000000}"/>
    <hyperlink ref="L130" r:id="rId204" xr:uid="{00000000-0004-0000-0000-0000CB000000}"/>
    <hyperlink ref="L131" r:id="rId205" xr:uid="{00000000-0004-0000-0000-0000CC000000}"/>
    <hyperlink ref="L132" r:id="rId206" xr:uid="{00000000-0004-0000-0000-0000CD000000}"/>
    <hyperlink ref="L133" r:id="rId207" xr:uid="{00000000-0004-0000-0000-0000CE000000}"/>
    <hyperlink ref="L134" r:id="rId208" xr:uid="{00000000-0004-0000-0000-0000CF000000}"/>
    <hyperlink ref="L135" r:id="rId209" xr:uid="{00000000-0004-0000-0000-0000D0000000}"/>
    <hyperlink ref="L136" r:id="rId210" xr:uid="{00000000-0004-0000-0000-0000D1000000}"/>
    <hyperlink ref="AE136" r:id="rId211" display="jason.grant@unine.ch" xr:uid="{00000000-0004-0000-0000-0000D2000000}"/>
    <hyperlink ref="L137" r:id="rId212" xr:uid="{00000000-0004-0000-0000-0000D3000000}"/>
    <hyperlink ref="AE137" r:id="rId213" display="jason.grant@unine.ch" xr:uid="{00000000-0004-0000-0000-0000D4000000}"/>
    <hyperlink ref="L138" r:id="rId214" xr:uid="{00000000-0004-0000-0000-0000D5000000}"/>
    <hyperlink ref="L139" r:id="rId215" xr:uid="{00000000-0004-0000-0000-0000D6000000}"/>
    <hyperlink ref="L140" r:id="rId216" xr:uid="{00000000-0004-0000-0000-0000D7000000}"/>
    <hyperlink ref="L141" r:id="rId217" xr:uid="{00000000-0004-0000-0000-0000D8000000}"/>
    <hyperlink ref="L142" r:id="rId218" xr:uid="{00000000-0004-0000-0000-0000D9000000}"/>
    <hyperlink ref="L143" r:id="rId219" xr:uid="{00000000-0004-0000-0000-0000DA000000}"/>
    <hyperlink ref="L144" r:id="rId220" xr:uid="{00000000-0004-0000-0000-0000DB000000}"/>
    <hyperlink ref="L145" r:id="rId221" xr:uid="{00000000-0004-0000-0000-0000DC000000}"/>
    <hyperlink ref="L146" r:id="rId222" xr:uid="{00000000-0004-0000-0000-0000DD000000}"/>
    <hyperlink ref="AK146" r:id="rId223" display="https://hls-dhs-dss.ch/fr/articles/032000/2010-04-16;Hans" xr:uid="{00000000-0004-0000-0000-0000DE000000}"/>
    <hyperlink ref="L147" r:id="rId224" xr:uid="{00000000-0004-0000-0000-0000DF000000}"/>
    <hyperlink ref="L148" r:id="rId225" xr:uid="{00000000-0004-0000-0000-0000E0000000}"/>
    <hyperlink ref="AK148" r:id="rId226" display="https://viaf.org/viaf/22669656" xr:uid="{00000000-0004-0000-0000-0000E1000000}"/>
    <hyperlink ref="L149" r:id="rId227" xr:uid="{00000000-0004-0000-0000-0000E2000000}"/>
    <hyperlink ref="L150" r:id="rId228" xr:uid="{00000000-0004-0000-0000-0000E3000000}"/>
    <hyperlink ref="L151" r:id="rId229" xr:uid="{00000000-0004-0000-0000-0000E4000000}"/>
    <hyperlink ref="L152" r:id="rId230" xr:uid="{00000000-0004-0000-0000-0000E5000000}"/>
    <hyperlink ref="L153" r:id="rId231" xr:uid="{00000000-0004-0000-0000-0000E6000000}"/>
    <hyperlink ref="L154" r:id="rId232" xr:uid="{00000000-0004-0000-0000-0000E7000000}"/>
    <hyperlink ref="AK154" r:id="rId233" display="https://viaf.org/viaf/22669656" xr:uid="{00000000-0004-0000-0000-0000E8000000}"/>
    <hyperlink ref="L155" r:id="rId234" xr:uid="{00000000-0004-0000-0000-0000E9000000}"/>
    <hyperlink ref="L156" r:id="rId235" xr:uid="{00000000-0004-0000-0000-0000EA000000}"/>
    <hyperlink ref="L157" r:id="rId236" xr:uid="{00000000-0004-0000-0000-0000EB000000}"/>
    <hyperlink ref="L158" r:id="rId237" xr:uid="{00000000-0004-0000-0000-0000EC000000}"/>
    <hyperlink ref="L159" r:id="rId238" xr:uid="{00000000-0004-0000-0000-0000ED000000}"/>
    <hyperlink ref="L160" r:id="rId239" xr:uid="{00000000-0004-0000-0000-0000EE000000}"/>
    <hyperlink ref="L161" r:id="rId240" xr:uid="{00000000-0004-0000-0000-0000EF000000}"/>
    <hyperlink ref="L162" r:id="rId241" xr:uid="{00000000-0004-0000-0000-0000F0000000}"/>
    <hyperlink ref="AK162" r:id="rId242" display="https://viaf.org/viaf/22669656" xr:uid="{00000000-0004-0000-0000-0000F1000000}"/>
    <hyperlink ref="L163" r:id="rId243" xr:uid="{00000000-0004-0000-0000-0000F2000000}"/>
    <hyperlink ref="L164" r:id="rId244" xr:uid="{00000000-0004-0000-0000-0000F3000000}"/>
    <hyperlink ref="L165" r:id="rId245" xr:uid="{00000000-0004-0000-0000-0000F4000000}"/>
    <hyperlink ref="L166" r:id="rId246" xr:uid="{00000000-0004-0000-0000-0000F5000000}"/>
    <hyperlink ref="L167" r:id="rId247" xr:uid="{00000000-0004-0000-0000-0000F6000000}"/>
    <hyperlink ref="L168" r:id="rId248" xr:uid="{00000000-0004-0000-0000-0000F7000000}"/>
    <hyperlink ref="L169" r:id="rId249" xr:uid="{00000000-0004-0000-0000-0000F8000000}"/>
    <hyperlink ref="L170" r:id="rId250" xr:uid="{00000000-0004-0000-0000-0000F9000000}"/>
    <hyperlink ref="L171" r:id="rId251" xr:uid="{00000000-0004-0000-0000-0000FA000000}"/>
    <hyperlink ref="L172" r:id="rId252" xr:uid="{00000000-0004-0000-0000-0000FB000000}"/>
    <hyperlink ref="L173" r:id="rId253" xr:uid="{00000000-0004-0000-0000-0000FC000000}"/>
    <hyperlink ref="L174" r:id="rId254" xr:uid="{00000000-0004-0000-0000-0000FD000000}"/>
    <hyperlink ref="AK174" r:id="rId255" display="https://viaf.org/viaf/22669656" xr:uid="{00000000-0004-0000-0000-0000FE000000}"/>
    <hyperlink ref="L175" r:id="rId256" xr:uid="{00000000-0004-0000-0000-0000FF000000}"/>
    <hyperlink ref="AK175" r:id="rId257" display="https://viaf.org/viaf/22669656" xr:uid="{00000000-0004-0000-0000-000000010000}"/>
    <hyperlink ref="L176" r:id="rId258" xr:uid="{00000000-0004-0000-0000-000001010000}"/>
    <hyperlink ref="L177" r:id="rId259" xr:uid="{00000000-0004-0000-0000-000002010000}"/>
    <hyperlink ref="AK177" r:id="rId260" display="https://viaf.org/viaf/22669656" xr:uid="{00000000-0004-0000-0000-000003010000}"/>
    <hyperlink ref="L178" r:id="rId261" xr:uid="{00000000-0004-0000-0000-000004010000}"/>
    <hyperlink ref="L179" r:id="rId262" xr:uid="{00000000-0004-0000-0000-000005010000}"/>
    <hyperlink ref="L180" r:id="rId263" xr:uid="{00000000-0004-0000-0000-000006010000}"/>
    <hyperlink ref="AK180" r:id="rId264" display="https://viaf.org/viaf/22669656" xr:uid="{00000000-0004-0000-0000-000007010000}"/>
    <hyperlink ref="L181" r:id="rId265" xr:uid="{00000000-0004-0000-0000-000008010000}"/>
    <hyperlink ref="L182" r:id="rId266" xr:uid="{00000000-0004-0000-0000-000009010000}"/>
    <hyperlink ref="L183" r:id="rId267" xr:uid="{00000000-0004-0000-0000-00000A010000}"/>
    <hyperlink ref="L184" r:id="rId268" xr:uid="{00000000-0004-0000-0000-00000B010000}"/>
    <hyperlink ref="L185" r:id="rId269" xr:uid="{00000000-0004-0000-0000-00000C010000}"/>
    <hyperlink ref="AK185" r:id="rId270" display="https://viaf.org/viaf/22669656" xr:uid="{00000000-0004-0000-0000-00000D010000}"/>
    <hyperlink ref="L186" r:id="rId271" xr:uid="{00000000-0004-0000-0000-00000E010000}"/>
    <hyperlink ref="L187" r:id="rId272" xr:uid="{00000000-0004-0000-0000-00000F010000}"/>
    <hyperlink ref="L188" r:id="rId273" xr:uid="{00000000-0004-0000-0000-000010010000}"/>
    <hyperlink ref="L189" r:id="rId274" xr:uid="{00000000-0004-0000-0000-000011010000}"/>
    <hyperlink ref="L190" r:id="rId275" display="saskia.klaassen@bl.ch" xr:uid="{00000000-0004-0000-0000-000012010000}"/>
    <hyperlink ref="L191" r:id="rId276" display="saskia.klaassen@bl.ch" xr:uid="{00000000-0004-0000-0000-000013010000}"/>
    <hyperlink ref="L192" r:id="rId277" xr:uid="{00000000-0004-0000-0000-000014010000}"/>
    <hyperlink ref="N192" r:id="rId278" xr:uid="{00000000-0004-0000-0000-000015010000}"/>
    <hyperlink ref="L193" r:id="rId279" xr:uid="{00000000-0004-0000-0000-000016010000}"/>
    <hyperlink ref="N193" r:id="rId280" xr:uid="{00000000-0004-0000-0000-000017010000}"/>
    <hyperlink ref="L194" r:id="rId281" xr:uid="{00000000-0004-0000-0000-000018010000}"/>
    <hyperlink ref="N194" r:id="rId282" xr:uid="{00000000-0004-0000-0000-000019010000}"/>
    <hyperlink ref="L195" r:id="rId283" xr:uid="{00000000-0004-0000-0000-00001A010000}"/>
    <hyperlink ref="N195" r:id="rId284" xr:uid="{00000000-0004-0000-0000-00001B010000}"/>
    <hyperlink ref="AK195" r:id="rId285" display="https://viaf.org/viaf/310654525;Louis" xr:uid="{00000000-0004-0000-0000-00001C010000}"/>
    <hyperlink ref="L196" r:id="rId286" xr:uid="{00000000-0004-0000-0000-00001D010000}"/>
    <hyperlink ref="N196" r:id="rId287" xr:uid="{00000000-0004-0000-0000-00001E010000}"/>
    <hyperlink ref="AK196" r:id="rId288" display="https://viaf.org/viaf/42606656;Ayer" xr:uid="{00000000-0004-0000-0000-00001F010000}"/>
    <hyperlink ref="L197" r:id="rId289" xr:uid="{00000000-0004-0000-0000-000020010000}"/>
    <hyperlink ref="N197" r:id="rId290" xr:uid="{00000000-0004-0000-0000-000021010000}"/>
    <hyperlink ref="L198" r:id="rId291" xr:uid="{00000000-0004-0000-0000-000022010000}"/>
    <hyperlink ref="N198" r:id="rId292" xr:uid="{00000000-0004-0000-0000-000023010000}"/>
    <hyperlink ref="L199" r:id="rId293" xr:uid="{00000000-0004-0000-0000-000024010000}"/>
    <hyperlink ref="N199" r:id="rId294" xr:uid="{00000000-0004-0000-0000-000025010000}"/>
    <hyperlink ref="L200" r:id="rId295" xr:uid="{00000000-0004-0000-0000-000026010000}"/>
    <hyperlink ref="N200" r:id="rId296" xr:uid="{00000000-0004-0000-0000-000027010000}"/>
    <hyperlink ref="L201" r:id="rId297" xr:uid="{00000000-0004-0000-0000-000028010000}"/>
    <hyperlink ref="N201" r:id="rId298" xr:uid="{00000000-0004-0000-0000-000029010000}"/>
    <hyperlink ref="L202" r:id="rId299" xr:uid="{00000000-0004-0000-0000-00002A010000}"/>
    <hyperlink ref="N202" r:id="rId300" xr:uid="{00000000-0004-0000-0000-00002B010000}"/>
    <hyperlink ref="L203" r:id="rId301" xr:uid="{00000000-0004-0000-0000-00002C010000}"/>
    <hyperlink ref="N203" r:id="rId302" xr:uid="{00000000-0004-0000-0000-00002D010000}"/>
    <hyperlink ref="L204" r:id="rId303" xr:uid="{00000000-0004-0000-0000-00002E010000}"/>
    <hyperlink ref="N204" r:id="rId304" xr:uid="{00000000-0004-0000-0000-00002F010000}"/>
    <hyperlink ref="L205" r:id="rId305" xr:uid="{00000000-0004-0000-0000-000030010000}"/>
    <hyperlink ref="N205" r:id="rId306" xr:uid="{00000000-0004-0000-0000-000031010000}"/>
    <hyperlink ref="L206" r:id="rId307" xr:uid="{00000000-0004-0000-0000-000032010000}"/>
    <hyperlink ref="N206" r:id="rId308" xr:uid="{00000000-0004-0000-0000-000033010000}"/>
    <hyperlink ref="L207" r:id="rId309" xr:uid="{00000000-0004-0000-0000-000034010000}"/>
    <hyperlink ref="N207" r:id="rId310" xr:uid="{00000000-0004-0000-0000-000035010000}"/>
    <hyperlink ref="L208" r:id="rId311" xr:uid="{00000000-0004-0000-0000-000036010000}"/>
    <hyperlink ref="N208" r:id="rId312" xr:uid="{00000000-0004-0000-0000-000037010000}"/>
    <hyperlink ref="L209" r:id="rId313" xr:uid="{00000000-0004-0000-0000-000038010000}"/>
    <hyperlink ref="N209" r:id="rId314" xr:uid="{00000000-0004-0000-0000-000039010000}"/>
    <hyperlink ref="L210" r:id="rId315" xr:uid="{00000000-0004-0000-0000-00003A010000}"/>
    <hyperlink ref="L211" r:id="rId316" xr:uid="{00000000-0004-0000-0000-00003B010000}"/>
    <hyperlink ref="N211" r:id="rId317" xr:uid="{00000000-0004-0000-0000-00003C010000}"/>
    <hyperlink ref="L212" r:id="rId318" xr:uid="{00000000-0004-0000-0000-00003D010000}"/>
    <hyperlink ref="N212" r:id="rId319" xr:uid="{00000000-0004-0000-0000-00003E010000}"/>
    <hyperlink ref="L213" r:id="rId320" xr:uid="{00000000-0004-0000-0000-00003F010000}"/>
    <hyperlink ref="N213" r:id="rId321" xr:uid="{00000000-0004-0000-0000-000040010000}"/>
    <hyperlink ref="L214" r:id="rId322" xr:uid="{00000000-0004-0000-0000-000041010000}"/>
    <hyperlink ref="N214" r:id="rId323" xr:uid="{00000000-0004-0000-0000-000042010000}"/>
    <hyperlink ref="L215" r:id="rId324" xr:uid="{00000000-0004-0000-0000-000043010000}"/>
    <hyperlink ref="L216" r:id="rId325" xr:uid="{00000000-0004-0000-0000-000044010000}"/>
    <hyperlink ref="AE217" r:id="rId326" display="stephan.liersch@bnm.gr.ch" xr:uid="{00000000-0004-0000-0000-000045010000}"/>
    <hyperlink ref="AK217" r:id="rId327" display="https://hls-dhs-dss.ch/fr/articles/044916/2004-05-06;Robert" xr:uid="{00000000-0004-0000-0000-000046010000}"/>
    <hyperlink ref="AE218" r:id="rId328" display="stephan.liersch@bnm.gr.ch" xr:uid="{00000000-0004-0000-0000-000047010000}"/>
    <hyperlink ref="AK218" r:id="rId329" display="https://hls-dhs-dss.ch/fr/articles/014271/2001-07-10;Rudolf" xr:uid="{00000000-0004-0000-0000-000048010000}"/>
    <hyperlink ref="L219" r:id="rId330" xr:uid="{00000000-0004-0000-0000-000049010000}"/>
    <hyperlink ref="N219" r:id="rId331" xr:uid="{00000000-0004-0000-0000-00004A010000}"/>
    <hyperlink ref="AE219" r:id="rId332" display="alfred.bruelisauer@naturmuseum.ch" xr:uid="{00000000-0004-0000-0000-00004B010000}"/>
    <hyperlink ref="L220" r:id="rId333" xr:uid="{00000000-0004-0000-0000-00004C010000}"/>
    <hyperlink ref="AE220" r:id="rId334" display="madeleine.geiger@naturmuseumsg.ch" xr:uid="{00000000-0004-0000-0000-00004D010000}"/>
    <hyperlink ref="L221" r:id="rId335" xr:uid="{00000000-0004-0000-0000-00004E010000}"/>
    <hyperlink ref="AE221" r:id="rId336" display="madeleine.geiger@naturmuseumsg.ch" xr:uid="{00000000-0004-0000-0000-00004F010000}"/>
    <hyperlink ref="L222" r:id="rId337" xr:uid="{00000000-0004-0000-0000-000050010000}"/>
    <hyperlink ref="AE222" r:id="rId338" display="madeleine.geiger@naturmuseumsg.ch" xr:uid="{00000000-0004-0000-0000-000051010000}"/>
    <hyperlink ref="L223" r:id="rId339" xr:uid="{00000000-0004-0000-0000-000052010000}"/>
    <hyperlink ref="AE223" r:id="rId340" display="madeleine.geiger@naturmuseumsg.ch" xr:uid="{00000000-0004-0000-0000-000053010000}"/>
    <hyperlink ref="L224" r:id="rId341" xr:uid="{00000000-0004-0000-0000-000054010000}"/>
    <hyperlink ref="AE224" r:id="rId342" display="madeleine.geiger@naturmuseumsg.ch" xr:uid="{00000000-0004-0000-0000-000055010000}"/>
    <hyperlink ref="AK224" r:id="rId343" display="https://viaf.org/viaf/76692655" xr:uid="{00000000-0004-0000-0000-000056010000}"/>
    <hyperlink ref="L225" r:id="rId344" xr:uid="{00000000-0004-0000-0000-000057010000}"/>
    <hyperlink ref="AE225" r:id="rId345" display="madeleine.geiger@naturmuseumsg.ch" xr:uid="{00000000-0004-0000-0000-000058010000}"/>
    <hyperlink ref="AK225" r:id="rId346" display="https://viaf.org/viaf/76692655" xr:uid="{00000000-0004-0000-0000-000059010000}"/>
    <hyperlink ref="L226" r:id="rId347" xr:uid="{00000000-0004-0000-0000-00005A010000}"/>
    <hyperlink ref="AE226" r:id="rId348" display="madeleine.geiger@naturmuseumsg.ch" xr:uid="{00000000-0004-0000-0000-00005B010000}"/>
    <hyperlink ref="L227" r:id="rId349" xr:uid="{00000000-0004-0000-0000-00005C010000}"/>
    <hyperlink ref="AE227" r:id="rId350" display="madeleine.geiger@naturmuseumsg.ch" xr:uid="{00000000-0004-0000-0000-00005D010000}"/>
    <hyperlink ref="L228" r:id="rId351" xr:uid="{00000000-0004-0000-0000-00005E010000}"/>
    <hyperlink ref="AK228" r:id="rId352" display="https://www.researchgate.net/profile/Charles_Huber4;Axel" xr:uid="{00000000-0004-0000-0000-00005F010000}"/>
    <hyperlink ref="L229" r:id="rId353" xr:uid="{00000000-0004-0000-0000-000060010000}"/>
    <hyperlink ref="N229" r:id="rId354" xr:uid="{00000000-0004-0000-0000-000061010000}"/>
    <hyperlink ref="L230" r:id="rId355" xr:uid="{00000000-0004-0000-0000-000062010000}"/>
    <hyperlink ref="N230" r:id="rId356" xr:uid="{00000000-0004-0000-0000-000063010000}"/>
    <hyperlink ref="L231" r:id="rId357" xr:uid="{00000000-0004-0000-0000-000064010000}"/>
    <hyperlink ref="N231" r:id="rId358" xr:uid="{00000000-0004-0000-0000-000065010000}"/>
    <hyperlink ref="L232" r:id="rId359" xr:uid="{00000000-0004-0000-0000-000066010000}"/>
    <hyperlink ref="AK232" r:id="rId360" display="https://www.researchgate.net/scientific-contributions/2136918060_Felix_Amiet;Paul" xr:uid="{00000000-0004-0000-0000-000067010000}"/>
    <hyperlink ref="L233" r:id="rId361" xr:uid="{00000000-0004-0000-0000-000068010000}"/>
    <hyperlink ref="N233" r:id="rId362" xr:uid="{00000000-0004-0000-0000-000069010000}"/>
    <hyperlink ref="AE233" r:id="rId363" display="urs.weibel@stsh.ch" xr:uid="{00000000-0004-0000-0000-00006A010000}"/>
    <hyperlink ref="L234" r:id="rId364" xr:uid="{00000000-0004-0000-0000-00006B010000}"/>
    <hyperlink ref="L235" r:id="rId365" xr:uid="{00000000-0004-0000-0000-00006C010000}"/>
    <hyperlink ref="AK235" r:id="rId366" display="https://hls-dhs-dss.ch/de/articles/041390/2013-01-10" xr:uid="{00000000-0004-0000-0000-00006D010000}"/>
    <hyperlink ref="L236" r:id="rId367" xr:uid="{00000000-0004-0000-0000-00006E010000}"/>
    <hyperlink ref="N236" r:id="rId368" xr:uid="{00000000-0004-0000-0000-00006F010000}"/>
    <hyperlink ref="L237" r:id="rId369" xr:uid="{00000000-0004-0000-0000-000070010000}"/>
    <hyperlink ref="N237" r:id="rId370" xr:uid="{00000000-0004-0000-0000-000071010000}"/>
    <hyperlink ref="L238" r:id="rId371" xr:uid="{00000000-0004-0000-0000-000072010000}"/>
    <hyperlink ref="L239" r:id="rId372" xr:uid="{00000000-0004-0000-0000-000073010000}"/>
    <hyperlink ref="L240" r:id="rId373" xr:uid="{00000000-0004-0000-0000-000074010000}"/>
    <hyperlink ref="L241" r:id="rId374" xr:uid="{00000000-0004-0000-0000-000075010000}"/>
    <hyperlink ref="L242" r:id="rId375" xr:uid="{00000000-0004-0000-0000-000076010000}"/>
    <hyperlink ref="L243" r:id="rId376" xr:uid="{00000000-0004-0000-0000-000077010000}"/>
    <hyperlink ref="L244" r:id="rId377" xr:uid="{00000000-0004-0000-0000-000078010000}"/>
    <hyperlink ref="L245" r:id="rId378" xr:uid="{00000000-0004-0000-0000-000079010000}"/>
    <hyperlink ref="L246" r:id="rId379" xr:uid="{00000000-0004-0000-0000-00007A010000}"/>
    <hyperlink ref="L247" r:id="rId380" xr:uid="{00000000-0004-0000-0000-00007B010000}"/>
    <hyperlink ref="L248" r:id="rId381" xr:uid="{00000000-0004-0000-0000-00007C010000}"/>
    <hyperlink ref="L249" r:id="rId382" xr:uid="{00000000-0004-0000-0000-00007D010000}"/>
    <hyperlink ref="L250" r:id="rId383" xr:uid="{00000000-0004-0000-0000-00007E010000}"/>
    <hyperlink ref="L251" r:id="rId384" xr:uid="{00000000-0004-0000-0000-00007F010000}"/>
    <hyperlink ref="L252" r:id="rId385" xr:uid="{00000000-0004-0000-0000-000080010000}"/>
    <hyperlink ref="L253" r:id="rId386" xr:uid="{00000000-0004-0000-0000-000081010000}"/>
    <hyperlink ref="L254" r:id="rId387" xr:uid="{00000000-0004-0000-0000-000082010000}"/>
    <hyperlink ref="L255" r:id="rId388" xr:uid="{00000000-0004-0000-0000-000083010000}"/>
    <hyperlink ref="L256" r:id="rId389" xr:uid="{00000000-0004-0000-0000-000084010000}"/>
    <hyperlink ref="L257" r:id="rId390" xr:uid="{00000000-0004-0000-0000-000085010000}"/>
    <hyperlink ref="N257" r:id="rId391" xr:uid="{00000000-0004-0000-0000-000086010000}"/>
    <hyperlink ref="L258" r:id="rId392" xr:uid="{00000000-0004-0000-0000-000087010000}"/>
    <hyperlink ref="N258" r:id="rId393" xr:uid="{00000000-0004-0000-0000-000088010000}"/>
    <hyperlink ref="L259" r:id="rId394" xr:uid="{00000000-0004-0000-0000-000089010000}"/>
    <hyperlink ref="N259" r:id="rId395" xr:uid="{00000000-0004-0000-0000-00008A010000}"/>
    <hyperlink ref="L260" r:id="rId396" xr:uid="{00000000-0004-0000-0000-00008B010000}"/>
    <hyperlink ref="N260" r:id="rId397" xr:uid="{00000000-0004-0000-0000-00008C010000}"/>
    <hyperlink ref="L261" r:id="rId398" xr:uid="{00000000-0004-0000-0000-00008D010000}"/>
    <hyperlink ref="N261" r:id="rId399" xr:uid="{00000000-0004-0000-0000-00008E010000}"/>
    <hyperlink ref="L262" r:id="rId400" xr:uid="{00000000-0004-0000-0000-00008F010000}"/>
    <hyperlink ref="N262" r:id="rId401" xr:uid="{00000000-0004-0000-0000-000090010000}"/>
    <hyperlink ref="L263" r:id="rId402" xr:uid="{00000000-0004-0000-0000-000091010000}"/>
    <hyperlink ref="N263" r:id="rId403" xr:uid="{00000000-0004-0000-0000-000092010000}"/>
    <hyperlink ref="L264" r:id="rId404" xr:uid="{00000000-0004-0000-0000-000093010000}"/>
    <hyperlink ref="N264" r:id="rId405" xr:uid="{00000000-0004-0000-0000-000094010000}"/>
    <hyperlink ref="L265" r:id="rId406" xr:uid="{00000000-0004-0000-0000-000095010000}"/>
    <hyperlink ref="L266" r:id="rId407" xr:uid="{00000000-0004-0000-0000-000096010000}"/>
    <hyperlink ref="AK266" r:id="rId408" display="https://viaf.org/viaf/109945420" xr:uid="{00000000-0004-0000-0000-000097010000}"/>
    <hyperlink ref="L267" r:id="rId409" xr:uid="{00000000-0004-0000-0000-000098010000}"/>
    <hyperlink ref="L268" r:id="rId410" xr:uid="{00000000-0004-0000-0000-000099010000}"/>
    <hyperlink ref="L269" r:id="rId411" xr:uid="{00000000-0004-0000-0000-00009A010000}"/>
    <hyperlink ref="AK269" r:id="rId412" display="https://viaf.org/viaf/109945420;Pierre" xr:uid="{00000000-0004-0000-0000-00009B010000}"/>
    <hyperlink ref="L270" r:id="rId413" xr:uid="{00000000-0004-0000-0000-00009C010000}"/>
    <hyperlink ref="AK270" r:id="rId414" display="https://viaf.org/viaf/109945420;J" xr:uid="{00000000-0004-0000-0000-00009D010000}"/>
    <hyperlink ref="L271" r:id="rId415" xr:uid="{00000000-0004-0000-0000-00009E010000}"/>
    <hyperlink ref="N271" r:id="rId416" xr:uid="{00000000-0004-0000-0000-00009F010000}"/>
    <hyperlink ref="AE271" r:id="rId417" display="patrice.descombes@vd.ch" xr:uid="{00000000-0004-0000-0000-0000A0010000}"/>
    <hyperlink ref="L272" r:id="rId418" xr:uid="{00000000-0004-0000-0000-0000A1010000}"/>
    <hyperlink ref="L273" r:id="rId419" xr:uid="{00000000-0004-0000-0000-0000A2010000}"/>
    <hyperlink ref="L274" r:id="rId420" xr:uid="{00000000-0004-0000-0000-0000A3010000}"/>
    <hyperlink ref="L275" r:id="rId421" xr:uid="{00000000-0004-0000-0000-0000A4010000}"/>
    <hyperlink ref="L276" r:id="rId422" xr:uid="{00000000-0004-0000-0000-0000A5010000}"/>
    <hyperlink ref="L277" r:id="rId423" xr:uid="{00000000-0004-0000-0000-0000A6010000}"/>
    <hyperlink ref="L278" r:id="rId424" xr:uid="{00000000-0004-0000-0000-0000A7010000}"/>
    <hyperlink ref="L279" r:id="rId425" xr:uid="{00000000-0004-0000-0000-0000A8010000}"/>
    <hyperlink ref="L280" r:id="rId426" xr:uid="{00000000-0004-0000-0000-0000A9010000}"/>
    <hyperlink ref="L281" r:id="rId427" xr:uid="{00000000-0004-0000-0000-0000AA010000}"/>
    <hyperlink ref="L282" r:id="rId428" xr:uid="{00000000-0004-0000-0000-0000AB010000}"/>
    <hyperlink ref="L283" r:id="rId429" xr:uid="{00000000-0004-0000-0000-0000AC010000}"/>
    <hyperlink ref="L284" r:id="rId430" xr:uid="{00000000-0004-0000-0000-0000AD010000}"/>
    <hyperlink ref="L285" r:id="rId431" xr:uid="{00000000-0004-0000-0000-0000AE010000}"/>
    <hyperlink ref="L286" r:id="rId432" xr:uid="{00000000-0004-0000-0000-0000AF010000}"/>
    <hyperlink ref="L287" r:id="rId433" xr:uid="{00000000-0004-0000-0000-0000B0010000}"/>
    <hyperlink ref="L288" r:id="rId434" xr:uid="{00000000-0004-0000-0000-0000B1010000}"/>
    <hyperlink ref="L289" r:id="rId435" xr:uid="{00000000-0004-0000-0000-0000B2010000}"/>
    <hyperlink ref="L290" r:id="rId436" xr:uid="{00000000-0004-0000-0000-0000B3010000}"/>
    <hyperlink ref="L291" r:id="rId437" xr:uid="{00000000-0004-0000-0000-0000B4010000}"/>
    <hyperlink ref="L292" r:id="rId438" xr:uid="{00000000-0004-0000-0000-0000B5010000}"/>
    <hyperlink ref="L293" r:id="rId439" xr:uid="{00000000-0004-0000-0000-0000B6010000}"/>
    <hyperlink ref="L294" r:id="rId440" xr:uid="{00000000-0004-0000-0000-0000B7010000}"/>
    <hyperlink ref="L295" r:id="rId441" xr:uid="{00000000-0004-0000-0000-0000B8010000}"/>
    <hyperlink ref="L296" r:id="rId442" xr:uid="{00000000-0004-0000-0000-0000B9010000}"/>
    <hyperlink ref="L297" r:id="rId443" xr:uid="{00000000-0004-0000-0000-0000BA010000}"/>
    <hyperlink ref="L298" r:id="rId444" xr:uid="{00000000-0004-0000-0000-0000BB010000}"/>
    <hyperlink ref="L299" r:id="rId445" xr:uid="{00000000-0004-0000-0000-0000BC010000}"/>
    <hyperlink ref="L300" r:id="rId446" xr:uid="{00000000-0004-0000-0000-0000BD010000}"/>
    <hyperlink ref="L301" r:id="rId447" xr:uid="{00000000-0004-0000-0000-0000BE010000}"/>
    <hyperlink ref="L302" r:id="rId448" xr:uid="{00000000-0004-0000-0000-0000BF010000}"/>
    <hyperlink ref="L303" r:id="rId449" xr:uid="{00000000-0004-0000-0000-0000C0010000}"/>
    <hyperlink ref="L304" r:id="rId450" xr:uid="{00000000-0004-0000-0000-0000C1010000}"/>
    <hyperlink ref="L305" r:id="rId451" xr:uid="{00000000-0004-0000-0000-0000C2010000}"/>
    <hyperlink ref="L306" r:id="rId452" xr:uid="{00000000-0004-0000-0000-0000C3010000}"/>
    <hyperlink ref="L307" r:id="rId453" xr:uid="{00000000-0004-0000-0000-0000C4010000}"/>
    <hyperlink ref="L308" r:id="rId454" xr:uid="{00000000-0004-0000-0000-0000C5010000}"/>
    <hyperlink ref="L309" r:id="rId455" xr:uid="{00000000-0004-0000-0000-0000C6010000}"/>
    <hyperlink ref="N309" r:id="rId456" xr:uid="{00000000-0004-0000-0000-0000C7010000}"/>
    <hyperlink ref="AE309" r:id="rId457" display="kozlowskig@fr.ch" xr:uid="{00000000-0004-0000-0000-0000C8010000}"/>
    <hyperlink ref="L310" r:id="rId458" xr:uid="{00000000-0004-0000-0000-0000C9010000}"/>
    <hyperlink ref="L311" r:id="rId459" xr:uid="{00000000-0004-0000-0000-0000CA010000}"/>
    <hyperlink ref="L312" r:id="rId460" xr:uid="{00000000-0004-0000-0000-0000CB010000}"/>
    <hyperlink ref="L313" r:id="rId461" xr:uid="{00000000-0004-0000-0000-0000CC010000}"/>
    <hyperlink ref="L314" r:id="rId462" xr:uid="{00000000-0004-0000-0000-0000CD010000}"/>
    <hyperlink ref="L315" r:id="rId463" xr:uid="{00000000-0004-0000-0000-0000CE010000}"/>
    <hyperlink ref="L316" r:id="rId464" xr:uid="{00000000-0004-0000-0000-0000CF010000}"/>
    <hyperlink ref="L317" r:id="rId465" xr:uid="{00000000-0004-0000-0000-0000D0010000}"/>
    <hyperlink ref="L318" r:id="rId466" xr:uid="{00000000-0004-0000-0000-0000D1010000}"/>
    <hyperlink ref="L319" r:id="rId467" xr:uid="{00000000-0004-0000-0000-0000D2010000}"/>
    <hyperlink ref="L320" r:id="rId468" xr:uid="{00000000-0004-0000-0000-0000D3010000}"/>
    <hyperlink ref="L321" r:id="rId469" xr:uid="{00000000-0004-0000-0000-0000D4010000}"/>
    <hyperlink ref="L322" r:id="rId470" xr:uid="{00000000-0004-0000-0000-0000D5010000}"/>
    <hyperlink ref="L323" r:id="rId471" xr:uid="{00000000-0004-0000-0000-0000D6010000}"/>
    <hyperlink ref="L324" r:id="rId472" xr:uid="{00000000-0004-0000-0000-0000D7010000}"/>
    <hyperlink ref="L325" r:id="rId473" xr:uid="{00000000-0004-0000-0000-0000D8010000}"/>
    <hyperlink ref="L326" r:id="rId474" xr:uid="{00000000-0004-0000-0000-0000D9010000}"/>
    <hyperlink ref="L327" r:id="rId475" xr:uid="{00000000-0004-0000-0000-0000DA010000}"/>
    <hyperlink ref="L328" r:id="rId476" xr:uid="{00000000-0004-0000-0000-0000DB010000}"/>
    <hyperlink ref="L329" r:id="rId477" xr:uid="{00000000-0004-0000-0000-0000DC010000}"/>
    <hyperlink ref="L330" r:id="rId478" xr:uid="{00000000-0004-0000-0000-0000DD010000}"/>
    <hyperlink ref="L331" r:id="rId479" xr:uid="{00000000-0004-0000-0000-0000DE010000}"/>
    <hyperlink ref="L332" r:id="rId480" xr:uid="{00000000-0004-0000-0000-0000DF010000}"/>
    <hyperlink ref="L333" r:id="rId481" xr:uid="{00000000-0004-0000-0000-0000E0010000}"/>
    <hyperlink ref="L334" r:id="rId482" xr:uid="{00000000-0004-0000-0000-0000E1010000}"/>
    <hyperlink ref="L335" r:id="rId483" xr:uid="{00000000-0004-0000-0000-0000E2010000}"/>
    <hyperlink ref="L336" r:id="rId484" xr:uid="{00000000-0004-0000-0000-0000E3010000}"/>
    <hyperlink ref="L337" r:id="rId485" xr:uid="{00000000-0004-0000-0000-0000E4010000}"/>
    <hyperlink ref="L338" r:id="rId486" xr:uid="{00000000-0004-0000-0000-0000E5010000}"/>
    <hyperlink ref="L339" r:id="rId487" xr:uid="{00000000-0004-0000-0000-0000E6010000}"/>
    <hyperlink ref="L340" r:id="rId488" xr:uid="{00000000-0004-0000-0000-0000E7010000}"/>
    <hyperlink ref="L341" r:id="rId489" xr:uid="{00000000-0004-0000-0000-0000E8010000}"/>
    <hyperlink ref="L342" r:id="rId490" xr:uid="{00000000-0004-0000-0000-0000E9010000}"/>
    <hyperlink ref="L343" r:id="rId491" xr:uid="{00000000-0004-0000-0000-0000EA010000}"/>
    <hyperlink ref="L344" r:id="rId492" xr:uid="{00000000-0004-0000-0000-0000EB010000}"/>
    <hyperlink ref="AK344" r:id="rId493" display="https://viaf.org/viaf/42606656;M" xr:uid="{00000000-0004-0000-0000-0000EC010000}"/>
    <hyperlink ref="L345" r:id="rId494" xr:uid="{00000000-0004-0000-0000-0000ED010000}"/>
    <hyperlink ref="L346" r:id="rId495" xr:uid="{00000000-0004-0000-0000-0000EE010000}"/>
    <hyperlink ref="L347" r:id="rId496" xr:uid="{00000000-0004-0000-0000-0000EF010000}"/>
    <hyperlink ref="L348" r:id="rId497" xr:uid="{00000000-0004-0000-0000-0000F0010000}"/>
    <hyperlink ref="L349" r:id="rId498" xr:uid="{00000000-0004-0000-0000-0000F1010000}"/>
    <hyperlink ref="L350" r:id="rId499" xr:uid="{00000000-0004-0000-0000-0000F2010000}"/>
    <hyperlink ref="L351" r:id="rId500" xr:uid="{00000000-0004-0000-0000-0000F3010000}"/>
    <hyperlink ref="AK351" r:id="rId501" display="https://viaf.org/viaf/42606656" xr:uid="{00000000-0004-0000-0000-0000F4010000}"/>
    <hyperlink ref="L352" r:id="rId502" xr:uid="{00000000-0004-0000-0000-0000F5010000}"/>
    <hyperlink ref="L353" r:id="rId503" xr:uid="{00000000-0004-0000-0000-0000F6010000}"/>
    <hyperlink ref="L354" r:id="rId504" xr:uid="{00000000-0004-0000-0000-0000F7010000}"/>
    <hyperlink ref="L355" r:id="rId505" xr:uid="{00000000-0004-0000-0000-0000F8010000}"/>
    <hyperlink ref="L356" r:id="rId506" xr:uid="{00000000-0004-0000-0000-0000F9010000}"/>
    <hyperlink ref="L357" r:id="rId507" xr:uid="{00000000-0004-0000-0000-0000FA010000}"/>
    <hyperlink ref="N357" r:id="rId508" location="kulturama" xr:uid="{00000000-0004-0000-0000-0000FB010000}"/>
    <hyperlink ref="L358" r:id="rId509" xr:uid="{00000000-0004-0000-0000-0000FC010000}"/>
    <hyperlink ref="N358" r:id="rId510" location="kulturama" xr:uid="{00000000-0004-0000-0000-0000FD010000}"/>
    <hyperlink ref="L359" r:id="rId511" xr:uid="{00000000-0004-0000-0000-0000FE010000}"/>
    <hyperlink ref="AE360" r:id="rId512" display="stephan.liersch@bnm.gr.ch" xr:uid="{00000000-0004-0000-0000-0000FF010000}"/>
    <hyperlink ref="L361" r:id="rId513" xr:uid="{00000000-0004-0000-0000-000000020000}"/>
    <hyperlink ref="AE361" r:id="rId514" display="katja.rembold@boga.unibe.ch" xr:uid="{00000000-0004-0000-0000-000001020000}"/>
    <hyperlink ref="L362" r:id="rId515" xr:uid="{00000000-0004-0000-0000-000002020000}"/>
    <hyperlink ref="AE362" r:id="rId516" display="katja.rembold@boga.unibe.ch" xr:uid="{00000000-0004-0000-0000-000003020000}"/>
    <hyperlink ref="L363" r:id="rId517" xr:uid="{00000000-0004-0000-0000-000004020000}"/>
    <hyperlink ref="AE363" r:id="rId518" display="katja.rembold@boga.unibe.ch" xr:uid="{00000000-0004-0000-0000-000005020000}"/>
    <hyperlink ref="L364" r:id="rId519" xr:uid="{00000000-0004-0000-0000-000006020000}"/>
    <hyperlink ref="N364" r:id="rId520" xr:uid="{00000000-0004-0000-0000-000007020000}"/>
    <hyperlink ref="AE364" r:id="rId521" display="katja.rembold@boga.unibe.ch" xr:uid="{00000000-0004-0000-0000-000008020000}"/>
    <hyperlink ref="L365" r:id="rId522" xr:uid="{00000000-0004-0000-0000-000009020000}"/>
    <hyperlink ref="AE365" r:id="rId523" display="katja.rembold@boga.unibe.ch" xr:uid="{00000000-0004-0000-0000-00000A020000}"/>
    <hyperlink ref="L366" r:id="rId524" xr:uid="{00000000-0004-0000-0000-00000B020000}"/>
    <hyperlink ref="N366" r:id="rId525" xr:uid="{00000000-0004-0000-0000-00000C020000}"/>
    <hyperlink ref="AE366" r:id="rId526" display="celia.bueno@unine.ch" xr:uid="{00000000-0004-0000-0000-00000D020000}"/>
    <hyperlink ref="AK366" r:id="rId527" display="https://viaf.org/viaf/15547084;Carl" xr:uid="{00000000-0004-0000-0000-00000E020000}"/>
    <hyperlink ref="L367" r:id="rId528" display="jessica.litman@ne.ch" xr:uid="{00000000-0004-0000-0000-00000F020000}"/>
    <hyperlink ref="N367" r:id="rId529" xr:uid="{00000000-0004-0000-0000-000010020000}"/>
    <hyperlink ref="AE367" r:id="rId530" display="jessica.litman@unine.ch" xr:uid="{00000000-0004-0000-0000-000011020000}"/>
    <hyperlink ref="AK367" r:id="rId531" display="https://hls-dhs-dss.ch/fr/articles/029095/2005-08-16" xr:uid="{00000000-0004-0000-0000-000012020000}"/>
    <hyperlink ref="L368" r:id="rId532" xr:uid="{00000000-0004-0000-0000-000013020000}"/>
    <hyperlink ref="N368" r:id="rId533" xr:uid="{00000000-0004-0000-0000-000014020000}"/>
    <hyperlink ref="AE368" r:id="rId534" display="celia.bueno@unine.ch" xr:uid="{00000000-0004-0000-0000-000015020000}"/>
    <hyperlink ref="L369" r:id="rId535" xr:uid="{00000000-0004-0000-0000-000016020000}"/>
    <hyperlink ref="AE369" r:id="rId536" display="christian.kropf@nmbe.ch" xr:uid="{00000000-0004-0000-0000-000017020000}"/>
    <hyperlink ref="L370" r:id="rId537" xr:uid="{00000000-0004-0000-0000-000018020000}"/>
    <hyperlink ref="AE370" r:id="rId538" display="hannes.baur@nmbe.ch" xr:uid="{00000000-0004-0000-0000-000019020000}"/>
    <hyperlink ref="L371" r:id="rId539" xr:uid="{00000000-0004-0000-0000-00001A020000}"/>
    <hyperlink ref="AE371" r:id="rId540" display="lukas.ruber@nmbe.ch" xr:uid="{00000000-0004-0000-0000-00001B020000}"/>
    <hyperlink ref="L372" r:id="rId541" xr:uid="{00000000-0004-0000-0000-00001C020000}"/>
    <hyperlink ref="AE372" r:id="rId542" display="ursula.menkveld@nmbe.ch" xr:uid="{00000000-0004-0000-0000-00001D020000}"/>
    <hyperlink ref="L373" r:id="rId543" xr:uid="{00000000-0004-0000-0000-00001E020000}"/>
    <hyperlink ref="AE373" r:id="rId544" display="beda.hofmann@nmbe.ch" xr:uid="{00000000-0004-0000-0000-00001F020000}"/>
    <hyperlink ref="L374" r:id="rId545" xr:uid="{00000000-0004-0000-0000-000020020000}"/>
    <hyperlink ref="AE374" r:id="rId546" display="sabrina.schnurrenberger@win.ch" xr:uid="{00000000-0004-0000-0000-000021020000}"/>
    <hyperlink ref="AK374" r:id="rId547" display="https://hls-dhs-dss.ch/fr/articles/025147/2006-11-23;Heinrich" xr:uid="{00000000-0004-0000-0000-000022020000}"/>
    <hyperlink ref="L375" r:id="rId548" xr:uid="{00000000-0004-0000-0000-000023020000}"/>
    <hyperlink ref="AE375" r:id="rId549" display="sabrina.schnurrenberger@win.ch" xr:uid="{00000000-0004-0000-0000-000024020000}"/>
    <hyperlink ref="L376" r:id="rId550" xr:uid="{00000000-0004-0000-0000-000025020000}"/>
    <hyperlink ref="AE376" r:id="rId551" display="sabrina.schnurrenberger@win.ch" xr:uid="{00000000-0004-0000-0000-000026020000}"/>
    <hyperlink ref="L377" r:id="rId552" xr:uid="{00000000-0004-0000-0000-000027020000}"/>
    <hyperlink ref="AE377" r:id="rId553" display="sandra.scherrer@win.ch" xr:uid="{00000000-0004-0000-0000-000028020000}"/>
    <hyperlink ref="AK377" r:id="rId554" display="https://viaf.org/viaf/317147511;Emil" xr:uid="{00000000-0004-0000-0000-000029020000}"/>
    <hyperlink ref="L378" r:id="rId555" xr:uid="{00000000-0004-0000-0000-00002A020000}"/>
    <hyperlink ref="AE378" r:id="rId556" display="sandra.scherrer@win.ch" xr:uid="{00000000-0004-0000-0000-00002B020000}"/>
    <hyperlink ref="L379" r:id="rId557" xr:uid="{00000000-0004-0000-0000-00002C020000}"/>
    <hyperlink ref="AE379" r:id="rId558" display="barbara.richner@tg.ch" xr:uid="{00000000-0004-0000-0000-00002D020000}"/>
    <hyperlink ref="L380" r:id="rId559" xr:uid="{00000000-0004-0000-0000-00002E020000}"/>
    <hyperlink ref="AE380" r:id="rId560" display="barbara.richner@tg.ch" xr:uid="{00000000-0004-0000-0000-00002F020000}"/>
    <hyperlink ref="L381" r:id="rId561" xr:uid="{00000000-0004-0000-0000-000030020000}"/>
    <hyperlink ref="AE381" r:id="rId562" display="barbara.richner@tg.ch" xr:uid="{00000000-0004-0000-0000-000031020000}"/>
    <hyperlink ref="AK381" r:id="rId563" display="https://viaf.org/viaf/27865157;Walter" xr:uid="{00000000-0004-0000-0000-000032020000}"/>
    <hyperlink ref="L382" r:id="rId564" xr:uid="{00000000-0004-0000-0000-000033020000}"/>
    <hyperlink ref="AE382" r:id="rId565" display="barbara.richner@tg.ch" xr:uid="{00000000-0004-0000-0000-000034020000}"/>
    <hyperlink ref="L383" r:id="rId566" xr:uid="{00000000-0004-0000-0000-000035020000}"/>
    <hyperlink ref="AE383" r:id="rId567" display="barbara.richner@tg.ch" xr:uid="{00000000-0004-0000-0000-000036020000}"/>
    <hyperlink ref="L384" r:id="rId568" xr:uid="{00000000-0004-0000-0000-000037020000}"/>
    <hyperlink ref="AE384" r:id="rId569" display="barbara.richner@tg.ch" xr:uid="{00000000-0004-0000-0000-000038020000}"/>
    <hyperlink ref="L385" r:id="rId570" xr:uid="{00000000-0004-0000-0000-000039020000}"/>
    <hyperlink ref="AE385" r:id="rId571" display="barbara.richner@tg.ch" xr:uid="{00000000-0004-0000-0000-00003A020000}"/>
    <hyperlink ref="L386" r:id="rId572" xr:uid="{00000000-0004-0000-0000-00003B020000}"/>
    <hyperlink ref="AE386" r:id="rId573" display="barbara.richner@tg.ch" xr:uid="{00000000-0004-0000-0000-00003C020000}"/>
    <hyperlink ref="L387" r:id="rId574" xr:uid="{00000000-0004-0000-0000-00003D020000}"/>
    <hyperlink ref="AE387" r:id="rId575" display="barbara.richner@tg.ch" xr:uid="{00000000-0004-0000-0000-00003E020000}"/>
    <hyperlink ref="L388" r:id="rId576" xr:uid="{00000000-0004-0000-0000-00003F020000}"/>
    <hyperlink ref="AE388" r:id="rId577" display="helene.gabioud-duinat@admin.vs.ch" xr:uid="{00000000-0004-0000-0000-000040020000}"/>
    <hyperlink ref="L389" r:id="rId578" xr:uid="{00000000-0004-0000-0000-000041020000}"/>
    <hyperlink ref="N389" r:id="rId579" location="2-botanique" xr:uid="{00000000-0004-0000-0000-000042020000}"/>
    <hyperlink ref="AE389" r:id="rId580" display="helene.gabioud-duinat@admin.vs.ch" xr:uid="{00000000-0004-0000-0000-000043020000}"/>
    <hyperlink ref="L390" r:id="rId581" xr:uid="{00000000-0004-0000-0000-000044020000}"/>
    <hyperlink ref="AE390" r:id="rId582" display="helene.gabioud-duinat@admin.vs.ch" xr:uid="{00000000-0004-0000-0000-000045020000}"/>
    <hyperlink ref="L391" r:id="rId583" xr:uid="{00000000-0004-0000-0000-000046020000}"/>
    <hyperlink ref="AE391" r:id="rId584" display="helene.gabioud-duinat@admin.vs.ch" xr:uid="{00000000-0004-0000-0000-000047020000}"/>
    <hyperlink ref="L392" r:id="rId585" xr:uid="{00000000-0004-0000-0000-000048020000}"/>
    <hyperlink ref="AE392" r:id="rId586" display="helene.gabioud-duinat@admin.vs.ch" xr:uid="{00000000-0004-0000-0000-000049020000}"/>
    <hyperlink ref="L393" r:id="rId587" xr:uid="{00000000-0004-0000-0000-00004A020000}"/>
    <hyperlink ref="AE393" r:id="rId588" display="helene.gabioud-duinat@admin.vs.ch" xr:uid="{00000000-0004-0000-0000-00004B020000}"/>
    <hyperlink ref="L394" r:id="rId589" xr:uid="{00000000-0004-0000-0000-00004C020000}"/>
    <hyperlink ref="AE394" r:id="rId590" display="helene.gabioud-duinat@admin.vs.ch" xr:uid="{00000000-0004-0000-0000-00004D020000}"/>
    <hyperlink ref="L395" r:id="rId591" xr:uid="{00000000-0004-0000-0000-00004E020000}"/>
    <hyperlink ref="AE395" r:id="rId592" display="helene.gabioud-duinat@admin.vs.ch" xr:uid="{00000000-0004-0000-0000-00004F020000}"/>
    <hyperlink ref="L396" r:id="rId593" xr:uid="{00000000-0004-0000-0000-000050020000}"/>
    <hyperlink ref="AE396" r:id="rId594" display="helene.gabioud-duinat@admin.vs.ch" xr:uid="{00000000-0004-0000-0000-000051020000}"/>
    <hyperlink ref="L397" r:id="rId595" xr:uid="{00000000-0004-0000-0000-000052020000}"/>
    <hyperlink ref="AE397" r:id="rId596" display="helene.gabioud-duinat@admin.vs.ch" xr:uid="{00000000-0004-0000-0000-000053020000}"/>
    <hyperlink ref="L398" r:id="rId597" xr:uid="{00000000-0004-0000-0000-000054020000}"/>
    <hyperlink ref="N398" r:id="rId598" xr:uid="{00000000-0004-0000-0000-000055020000}"/>
    <hyperlink ref="AE398" r:id="rId599" display="holger.frick@bs.ch" xr:uid="{00000000-0004-0000-0000-000056020000}"/>
    <hyperlink ref="AK398" r:id="rId600" display="https://viaf.org/viaf/295519951;Elisabeth" xr:uid="{00000000-0004-0000-0000-000057020000}"/>
    <hyperlink ref="L399" r:id="rId601" xr:uid="{00000000-0004-0000-0000-000058020000}"/>
    <hyperlink ref="N399" r:id="rId602" xr:uid="{00000000-0004-0000-0000-000059020000}"/>
    <hyperlink ref="AE399" r:id="rId603" display="matthias.borer@bs.ch" xr:uid="{00000000-0004-0000-0000-00005A020000}"/>
    <hyperlink ref="AK399" r:id="rId604" display="https://viaf.org/viaf/3351153596634251900001;Michel" xr:uid="{00000000-0004-0000-0000-00005B020000}"/>
    <hyperlink ref="L400" r:id="rId605" xr:uid="{00000000-0004-0000-0000-00005C020000}"/>
    <hyperlink ref="N400" r:id="rId606" xr:uid="{00000000-0004-0000-0000-00005D020000}"/>
    <hyperlink ref="AE400" r:id="rId607" display="eduard.stoeckli@bs.ch" xr:uid="{00000000-0004-0000-0000-00005E020000}"/>
    <hyperlink ref="AK400" r:id="rId608" display="https://viaf.org/viaf/64167248;Alfred" xr:uid="{00000000-0004-0000-0000-00005F020000}"/>
    <hyperlink ref="L401" r:id="rId609" xr:uid="{00000000-0004-0000-0000-000060020000}"/>
    <hyperlink ref="N401" r:id="rId610" xr:uid="{00000000-0004-0000-0000-000061020000}"/>
    <hyperlink ref="AE401" r:id="rId611" display="seraina.klopfstein@bs.ch" xr:uid="{00000000-0004-0000-0000-000062020000}"/>
    <hyperlink ref="AK401" r:id="rId612" display="https://hls-dhs-dss.ch/fr/articles/044917/2007-11-27;William" xr:uid="{00000000-0004-0000-0000-000063020000}"/>
    <hyperlink ref="L402" r:id="rId613" xr:uid="{00000000-0004-0000-0000-000064020000}"/>
    <hyperlink ref="N402" r:id="rId614" xr:uid="{00000000-0004-0000-0000-000065020000}"/>
    <hyperlink ref="AE402" r:id="rId615" display="christoph.germann@bs.ch" xr:uid="{00000000-0004-0000-0000-000066020000}"/>
    <hyperlink ref="AK402" r:id="rId616" display="https://viaf.org/viaf/160032011" xr:uid="{00000000-0004-0000-0000-000067020000}"/>
    <hyperlink ref="L403" r:id="rId617" xr:uid="{00000000-0004-0000-0000-000068020000}"/>
    <hyperlink ref="N403" r:id="rId618" xr:uid="{00000000-0004-0000-0000-000069020000}"/>
    <hyperlink ref="AE403" r:id="rId619" display="seraina.klopfstein@bs.ch" xr:uid="{00000000-0004-0000-0000-00006A020000}"/>
    <hyperlink ref="L404" r:id="rId620" xr:uid="{00000000-0004-0000-0000-00006B020000}"/>
    <hyperlink ref="N404" r:id="rId621" xr:uid="{00000000-0004-0000-0000-00006C020000}"/>
    <hyperlink ref="AE404" r:id="rId622" display="seraina.klopfstein@bs.ch" xr:uid="{00000000-0004-0000-0000-00006D020000}"/>
    <hyperlink ref="L405" r:id="rId623" xr:uid="{00000000-0004-0000-0000-00006E020000}"/>
    <hyperlink ref="N405" r:id="rId624" xr:uid="{00000000-0004-0000-0000-00006F020000}"/>
    <hyperlink ref="AE405" r:id="rId625" display="seraina.klopfstein@bs.ch" xr:uid="{00000000-0004-0000-0000-000070020000}"/>
    <hyperlink ref="AK405" r:id="rId626" display="https://hls-dhs-dss.ch/fr/articles/044917/2007-11-27;Willy" xr:uid="{00000000-0004-0000-0000-000071020000}"/>
    <hyperlink ref="L406" r:id="rId627" xr:uid="{00000000-0004-0000-0000-000072020000}"/>
    <hyperlink ref="N406" r:id="rId628" xr:uid="{00000000-0004-0000-0000-000073020000}"/>
    <hyperlink ref="AE406" r:id="rId629" display="eduard.stoeckli@bs.ch" xr:uid="{00000000-0004-0000-0000-000074020000}"/>
    <hyperlink ref="AK406" r:id="rId630" display="https://viaf.org/viaf/64167248;Jean" xr:uid="{00000000-0004-0000-0000-000075020000}"/>
    <hyperlink ref="L407" r:id="rId631" xr:uid="{00000000-0004-0000-0000-000076020000}"/>
    <hyperlink ref="N407" r:id="rId632" xr:uid="{00000000-0004-0000-0000-000077020000}"/>
    <hyperlink ref="AE407" r:id="rId633" display="seraina.klopfstein@bs.ch" xr:uid="{00000000-0004-0000-0000-000078020000}"/>
    <hyperlink ref="AK407" r:id="rId634" display="https://hls-dhs-dss.ch/de/articles/029911/2010-11-05;Ludwig" xr:uid="{00000000-0004-0000-0000-000079020000}"/>
    <hyperlink ref="L408" r:id="rId635" xr:uid="{00000000-0004-0000-0000-00007A020000}"/>
    <hyperlink ref="N408" r:id="rId636" xr:uid="{00000000-0004-0000-0000-00007B020000}"/>
    <hyperlink ref="AE408" r:id="rId637" display="holger.frick@bs.ch" xr:uid="{00000000-0004-0000-0000-00007C020000}"/>
    <hyperlink ref="AK408" r:id="rId638" display="https://viaf.org/viaf/64167248" xr:uid="{00000000-0004-0000-0000-00007D020000}"/>
    <hyperlink ref="L409" r:id="rId639" xr:uid="{00000000-0004-0000-0000-00007E020000}"/>
    <hyperlink ref="N409" r:id="rId640" xr:uid="{00000000-0004-0000-0000-00007F020000}"/>
    <hyperlink ref="AE409" r:id="rId641" display="david.marques@bs.ch" xr:uid="{00000000-0004-0000-0000-000080020000}"/>
    <hyperlink ref="AK409" r:id="rId642" display="https://viaf.org/viaf/64167248;Albert" xr:uid="{00000000-0004-0000-0000-000081020000}"/>
    <hyperlink ref="L410" r:id="rId643" xr:uid="{00000000-0004-0000-0000-000082020000}"/>
    <hyperlink ref="N410" r:id="rId644" xr:uid="{00000000-0004-0000-0000-000083020000}"/>
    <hyperlink ref="AE410" r:id="rId645" display="david.marques@bs.ch" xr:uid="{00000000-0004-0000-0000-000084020000}"/>
    <hyperlink ref="AK410" r:id="rId646" display="https://viaf.org/viaf/64167248;Alfred" xr:uid="{00000000-0004-0000-0000-000085020000}"/>
    <hyperlink ref="L411" r:id="rId647" xr:uid="{00000000-0004-0000-0000-000086020000}"/>
    <hyperlink ref="N411" r:id="rId648" xr:uid="{00000000-0004-0000-0000-000087020000}"/>
    <hyperlink ref="AE411" r:id="rId649" display="david.marques@bs.ch" xr:uid="{00000000-0004-0000-0000-000088020000}"/>
    <hyperlink ref="AK411" r:id="rId650" display="https://viaf.org/viaf/64167248;Jean" xr:uid="{00000000-0004-0000-0000-000089020000}"/>
    <hyperlink ref="L412" r:id="rId651" xr:uid="{00000000-0004-0000-0000-00008A020000}"/>
    <hyperlink ref="N412" r:id="rId652" xr:uid="{00000000-0004-0000-0000-00008B020000}"/>
    <hyperlink ref="AE412" r:id="rId653" display="david.marques@bs.ch" xr:uid="{00000000-0004-0000-0000-00008C020000}"/>
    <hyperlink ref="AK412" r:id="rId654" display="https://viaf.org/viaf/110897029;Ernst" xr:uid="{00000000-0004-0000-0000-00008D020000}"/>
    <hyperlink ref="L413" r:id="rId655" xr:uid="{00000000-0004-0000-0000-00008E020000}"/>
    <hyperlink ref="N413" r:id="rId656" xr:uid="{00000000-0004-0000-0000-00008F020000}"/>
    <hyperlink ref="AE413" r:id="rId657" display="david.marques@bs.ch" xr:uid="{00000000-0004-0000-0000-000090020000}"/>
    <hyperlink ref="AK413" r:id="rId658" display="https://viaf.org/viaf/64167248;Jean" xr:uid="{00000000-0004-0000-0000-000091020000}"/>
    <hyperlink ref="L414" r:id="rId659" xr:uid="{00000000-0004-0000-0000-000092020000}"/>
    <hyperlink ref="N414" r:id="rId660" xr:uid="{00000000-0004-0000-0000-000093020000}"/>
    <hyperlink ref="AE414" r:id="rId661" display="florian.dammeyer@bs.ch" xr:uid="{00000000-0004-0000-0000-000094020000}"/>
    <hyperlink ref="AK414" r:id="rId662" display="https://viaf.org/viaf/64167248;Gustav" xr:uid="{00000000-0004-0000-0000-000095020000}"/>
    <hyperlink ref="L415" r:id="rId663" xr:uid="{00000000-0004-0000-0000-000096020000}"/>
    <hyperlink ref="N415" r:id="rId664" xr:uid="{00000000-0004-0000-0000-000097020000}"/>
    <hyperlink ref="AE415" r:id="rId665" display="florian.dammeyer@bs.ch" xr:uid="{00000000-0004-0000-0000-000098020000}"/>
    <hyperlink ref="AK415" r:id="rId666" display="https://viaf.org/viaf/204798629;Pierre" xr:uid="{00000000-0004-0000-0000-000099020000}"/>
    <hyperlink ref="L416" r:id="rId667" xr:uid="{00000000-0004-0000-0000-00009A020000}"/>
    <hyperlink ref="N416" r:id="rId668" xr:uid="{00000000-0004-0000-0000-00009B020000}"/>
    <hyperlink ref="AE416" r:id="rId669" display="janine.mazenauer@bs.ch" xr:uid="{00000000-0004-0000-0000-00009C020000}"/>
    <hyperlink ref="AK416" r:id="rId670" display="https://www.wikidata.org/wiki/Q2077023;Johann" xr:uid="{00000000-0004-0000-0000-00009D020000}"/>
    <hyperlink ref="L417" r:id="rId671" xr:uid="{00000000-0004-0000-0000-00009E020000}"/>
    <hyperlink ref="N417" r:id="rId672" xr:uid="{00000000-0004-0000-0000-00009F020000}"/>
    <hyperlink ref="AE417" r:id="rId673" display="michael.knappertsbusch@bs.ch" xr:uid="{00000000-0004-0000-0000-0000A0020000}"/>
    <hyperlink ref="L418" r:id="rId674" xr:uid="{00000000-0004-0000-0000-0000A1020000}"/>
    <hyperlink ref="N418" r:id="rId675" xr:uid="{00000000-0004-0000-0000-0000A2020000}"/>
    <hyperlink ref="AE418" r:id="rId676" display="walter.etter@bs.ch" xr:uid="{00000000-0004-0000-0000-0000A3020000}"/>
    <hyperlink ref="AK418" r:id="rId677" display="https://viaf.org/viaf/69702353;John" xr:uid="{00000000-0004-0000-0000-0000A4020000}"/>
    <hyperlink ref="L419" r:id="rId678" xr:uid="{00000000-0004-0000-0000-0000A5020000}"/>
    <hyperlink ref="N419" r:id="rId679" xr:uid="{00000000-0004-0000-0000-0000A6020000}"/>
    <hyperlink ref="AE419" r:id="rId680" display="walter.etter@bs.ch" xr:uid="{00000000-0004-0000-0000-0000A7020000}"/>
    <hyperlink ref="AK419" r:id="rId681" display="https://www.wikidata.org/wiki/Q2077023;Mathieu" xr:uid="{00000000-0004-0000-0000-0000A8020000}"/>
    <hyperlink ref="L420" r:id="rId682" xr:uid="{00000000-0004-0000-0000-0000A9020000}"/>
    <hyperlink ref="N420" r:id="rId683" xr:uid="{00000000-0004-0000-0000-0000AA020000}"/>
    <hyperlink ref="AE420" r:id="rId684" display="walter.etter@bs.ch" xr:uid="{00000000-0004-0000-0000-0000AB020000}"/>
    <hyperlink ref="AK420" r:id="rId685" display="https://www.wikidata.org/wiki/Q2077023;Johann" xr:uid="{00000000-0004-0000-0000-0000AC020000}"/>
    <hyperlink ref="L421" r:id="rId686" xr:uid="{00000000-0004-0000-0000-0000AD020000}"/>
    <hyperlink ref="N421" r:id="rId687" xr:uid="{00000000-0004-0000-0000-0000AE020000}"/>
    <hyperlink ref="AE421" r:id="rId688" display="janine.mazenauer@bs.ch" xr:uid="{00000000-0004-0000-0000-0000AF020000}"/>
    <hyperlink ref="L422" r:id="rId689" xr:uid="{00000000-0004-0000-0000-0000B0020000}"/>
    <hyperlink ref="N422" r:id="rId690" xr:uid="{00000000-0004-0000-0000-0000B1020000}"/>
    <hyperlink ref="AE422" r:id="rId691" display="gerhard.hotz@bs.ch" xr:uid="{00000000-0004-0000-0000-0000B2020000}"/>
    <hyperlink ref="AK422" r:id="rId692" display="https://viaf.org/viaf/64167248;Paul" xr:uid="{00000000-0004-0000-0000-0000B3020000}"/>
    <hyperlink ref="L423" r:id="rId693" xr:uid="{00000000-0004-0000-0000-0000B4020000}"/>
    <hyperlink ref="AE423" r:id="rId694" display="andre.puschnig@bs.ch" xr:uid="{00000000-0004-0000-0000-0000B5020000}"/>
    <hyperlink ref="AK423" r:id="rId695" display="https://www.wikidata.org/wiki/Q2077023;Friedrich" xr:uid="{00000000-0004-0000-0000-0000B6020000}"/>
    <hyperlink ref="L424" r:id="rId696" xr:uid="{00000000-0004-0000-0000-0000B7020000}"/>
    <hyperlink ref="N424" r:id="rId697" xr:uid="{00000000-0004-0000-0000-0000B8020000}"/>
    <hyperlink ref="AE424" r:id="rId698" display="sandra.scherrer@win.ch" xr:uid="{00000000-0004-0000-0000-0000B9020000}"/>
    <hyperlink ref="L425" r:id="rId699" xr:uid="{00000000-0004-0000-0000-0000BA020000}"/>
    <hyperlink ref="N425" r:id="rId700" xr:uid="{00000000-0004-0000-0000-0000BB020000}"/>
    <hyperlink ref="AE425" r:id="rId701" display="sabrina.schnurrenberger@win.ch" xr:uid="{00000000-0004-0000-0000-0000BC020000}"/>
    <hyperlink ref="AK425" r:id="rId702" display="https://hls-dhs-dss.ch/fr/articles/023361/2013-11-26;Theodor" xr:uid="{00000000-0004-0000-0000-0000BD020000}"/>
    <hyperlink ref="L426" r:id="rId703" xr:uid="{00000000-0004-0000-0000-0000BE020000}"/>
    <hyperlink ref="N426" r:id="rId704" xr:uid="{00000000-0004-0000-0000-0000BF020000}"/>
    <hyperlink ref="AE426" r:id="rId705" display="holger.frick@bs.ch" xr:uid="{00000000-0004-0000-0000-0000C0020000}"/>
    <hyperlink ref="L427" r:id="rId706" xr:uid="{00000000-0004-0000-0000-0000C1020000}"/>
    <hyperlink ref="N427" r:id="rId707" xr:uid="{00000000-0004-0000-0000-0000C2020000}"/>
    <hyperlink ref="AE427" r:id="rId708" display="urs.eggli@zuerich.ch" xr:uid="{00000000-0004-0000-0000-0000C3020000}"/>
    <hyperlink ref="AG427" r:id="rId709" display="ih.gbif.org" xr:uid="{00000000-0004-0000-0000-0000C4020000}"/>
    <hyperlink ref="L428" r:id="rId710" xr:uid="{00000000-0004-0000-0000-0000C5020000}"/>
    <hyperlink ref="N428" r:id="rId711" xr:uid="{00000000-0004-0000-0000-0000C6020000}"/>
    <hyperlink ref="AE428" r:id="rId712" display="jurriaan.devos@unibas.ch" xr:uid="{00000000-0004-0000-0000-0000C7020000}"/>
    <hyperlink ref="L429" r:id="rId713" xr:uid="{00000000-0004-0000-0000-0000C8020000}"/>
    <hyperlink ref="N429" r:id="rId714" xr:uid="{00000000-0004-0000-0000-0000C9020000}"/>
    <hyperlink ref="AE429" r:id="rId715" display="louis.nusbaumer@geneve.ch" xr:uid="{00000000-0004-0000-0000-0000CA020000}"/>
    <hyperlink ref="L430" r:id="rId716" xr:uid="{00000000-0004-0000-0000-0000CB020000}"/>
    <hyperlink ref="N430" r:id="rId717" xr:uid="{00000000-0004-0000-0000-0000CC020000}"/>
    <hyperlink ref="AE430" r:id="rId718" display="alessia.guggisberg@env.ethz.ch" xr:uid="{00000000-0004-0000-0000-0000CD020000}"/>
    <hyperlink ref="AJ430" r:id="rId719" display="https://www.peg.ethz.ch/herbaria.html" xr:uid="{00000000-0004-0000-0000-0000CE020000}"/>
    <hyperlink ref="L431" r:id="rId720" xr:uid="{00000000-0004-0000-0000-0000CF020000}"/>
    <hyperlink ref="N431" r:id="rId721" xr:uid="{00000000-0004-0000-0000-0000D0020000}"/>
    <hyperlink ref="AE431" r:id="rId722" display="jurriaan.devos@unibas.ch" xr:uid="{00000000-0004-0000-0000-0000D1020000}"/>
    <hyperlink ref="L432" r:id="rId723" xr:uid="{00000000-0004-0000-0000-0000D2020000}"/>
    <hyperlink ref="N432" r:id="rId724" xr:uid="{00000000-0004-0000-0000-0000D3020000}"/>
    <hyperlink ref="AE432" r:id="rId725" display="reto.nyffeler@systbot.uzh.ch" xr:uid="{00000000-0004-0000-0000-0000D4020000}"/>
    <hyperlink ref="AJ432" r:id="rId726" display="https://www.herbarien.uzh.ch" xr:uid="{00000000-0004-0000-0000-0000D5020000}"/>
    <hyperlink ref="L433" r:id="rId727" xr:uid="{00000000-0004-0000-0000-0000D6020000}"/>
    <hyperlink ref="N433" r:id="rId728" xr:uid="{00000000-0004-0000-0000-0000D7020000}"/>
    <hyperlink ref="AE433" r:id="rId729" display="orchid@unibas.ch" xr:uid="{00000000-0004-0000-0000-0000D8020000}"/>
    <hyperlink ref="AE434" r:id="rId730" display="praeparator@bluewin.ch" xr:uid="{00000000-0004-0000-0000-0000D9020000}"/>
    <hyperlink ref="L437" r:id="rId731" xr:uid="{00000000-0004-0000-0000-0000DA020000}"/>
    <hyperlink ref="N437" r:id="rId732" xr:uid="{00000000-0004-0000-0000-0000DB020000}"/>
    <hyperlink ref="AE437" r:id="rId733" display="andreas.mueller@library.ethz.ch" xr:uid="{00000000-0004-0000-0000-0000DC020000}"/>
    <hyperlink ref="L438" r:id="rId734" xr:uid="{00000000-0004-0000-0000-0000DD020000}"/>
    <hyperlink ref="N438" r:id="rId735" xr:uid="{00000000-0004-0000-0000-0000DE020000}"/>
    <hyperlink ref="AE438" r:id="rId736" display="michael.greeff@usys.ethz.ch" xr:uid="{00000000-0004-0000-0000-0000DF020000}"/>
    <hyperlink ref="AK438" r:id="rId737" display="https://viaf.org/viaf/64454423;Max" xr:uid="{00000000-0004-0000-0000-0000E0020000}"/>
    <hyperlink ref="AD439" r:id="rId738" xr:uid="{00000000-0004-0000-0000-0000E1020000}"/>
    <hyperlink ref="AD440" r:id="rId739" xr:uid="{00000000-0004-0000-0000-0000E2020000}"/>
    <hyperlink ref="AD441" r:id="rId740" xr:uid="{00000000-0004-0000-0000-0000E3020000}"/>
    <hyperlink ref="AD442" r:id="rId741" xr:uid="{00000000-0004-0000-0000-0000E4020000}"/>
    <hyperlink ref="AD443" r:id="rId742" xr:uid="{00000000-0004-0000-0000-0000E5020000}"/>
    <hyperlink ref="AD444" r:id="rId743" xr:uid="{00000000-0004-0000-0000-0000E6020000}"/>
    <hyperlink ref="AD445" r:id="rId744" xr:uid="{00000000-0004-0000-0000-0000E7020000}"/>
    <hyperlink ref="D446" r:id="rId745" display="m.cock@cabi.org" xr:uid="{00000000-0004-0000-0000-0000E8020000}"/>
    <hyperlink ref="AD446" r:id="rId746" xr:uid="{00000000-0004-0000-0000-0000E902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EA1F-3819-7645-91D6-DE1C415B4A8F}">
  <dimension ref="A1:AW139"/>
  <sheetViews>
    <sheetView tabSelected="1" topLeftCell="B1" zoomScale="151" zoomScaleNormal="151" workbookViewId="0">
      <selection activeCell="B51" sqref="A51:XFD51"/>
    </sheetView>
  </sheetViews>
  <sheetFormatPr baseColWidth="10" defaultRowHeight="13" x14ac:dyDescent="0.15"/>
  <cols>
    <col min="1" max="1" width="34.6640625" hidden="1" customWidth="1"/>
    <col min="2" max="2" width="27" customWidth="1"/>
    <col min="3" max="3" width="47" customWidth="1"/>
    <col min="4" max="4" width="166.6640625" customWidth="1"/>
    <col min="5" max="7" width="0" hidden="1" customWidth="1"/>
    <col min="8" max="8" width="21" customWidth="1"/>
    <col min="9" max="11" width="0" hidden="1" customWidth="1"/>
    <col min="13" max="18" width="0" hidden="1" customWidth="1"/>
    <col min="19" max="19" width="37" customWidth="1"/>
    <col min="21" max="30" width="0" hidden="1" customWidth="1"/>
    <col min="32" max="32" width="19.6640625" style="16" customWidth="1"/>
    <col min="33" max="47" width="0" hidden="1" customWidth="1"/>
    <col min="48" max="48" width="30.33203125" customWidth="1"/>
  </cols>
  <sheetData>
    <row r="1" spans="1:49" x14ac:dyDescent="0.15">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2" t="s">
        <v>31</v>
      </c>
      <c r="AF1" s="26" t="s">
        <v>32</v>
      </c>
      <c r="AG1" s="2" t="s">
        <v>33</v>
      </c>
      <c r="AH1" s="2" t="s">
        <v>34</v>
      </c>
      <c r="AI1" s="2" t="s">
        <v>35</v>
      </c>
      <c r="AJ1" s="2" t="s">
        <v>36</v>
      </c>
      <c r="AK1" s="2" t="s">
        <v>37</v>
      </c>
      <c r="AL1" s="2" t="s">
        <v>38</v>
      </c>
      <c r="AM1" s="2" t="s">
        <v>39</v>
      </c>
      <c r="AN1" s="2" t="s">
        <v>40</v>
      </c>
      <c r="AO1" s="2" t="s">
        <v>41</v>
      </c>
      <c r="AP1" s="2" t="s">
        <v>42</v>
      </c>
      <c r="AQ1" s="2" t="s">
        <v>43</v>
      </c>
      <c r="AR1" s="2" t="s">
        <v>44</v>
      </c>
      <c r="AS1" s="2" t="s">
        <v>45</v>
      </c>
      <c r="AT1" s="2" t="s">
        <v>46</v>
      </c>
      <c r="AV1" s="30" t="s">
        <v>4063</v>
      </c>
      <c r="AW1" s="30" t="s">
        <v>4073</v>
      </c>
    </row>
    <row r="2" spans="1:49" x14ac:dyDescent="0.15">
      <c r="A2" s="8" t="s">
        <v>2594</v>
      </c>
      <c r="B2" s="20" t="s">
        <v>2595</v>
      </c>
      <c r="C2" s="10" t="s">
        <v>2596</v>
      </c>
      <c r="D2" s="10" t="s">
        <v>2597</v>
      </c>
      <c r="E2" s="10" t="s">
        <v>51</v>
      </c>
      <c r="F2" s="10" t="s">
        <v>2501</v>
      </c>
      <c r="G2" s="11"/>
      <c r="H2" s="10" t="s">
        <v>552</v>
      </c>
      <c r="I2" s="10" t="s">
        <v>53</v>
      </c>
      <c r="J2" s="10" t="s">
        <v>54</v>
      </c>
      <c r="K2" s="11"/>
      <c r="L2" s="10" t="s">
        <v>2502</v>
      </c>
      <c r="M2" s="11"/>
      <c r="N2" s="11"/>
      <c r="O2" s="11"/>
      <c r="P2" s="11"/>
      <c r="Q2" s="10" t="s">
        <v>75</v>
      </c>
      <c r="R2" s="11"/>
      <c r="S2" s="10" t="s">
        <v>2503</v>
      </c>
      <c r="T2" s="10" t="s">
        <v>2504</v>
      </c>
      <c r="U2" s="10" t="s">
        <v>2505</v>
      </c>
      <c r="V2" s="11"/>
      <c r="W2" s="10" t="s">
        <v>2506</v>
      </c>
      <c r="X2" s="10" t="s">
        <v>80</v>
      </c>
      <c r="Y2" s="10" t="s">
        <v>80</v>
      </c>
      <c r="Z2" s="10" t="s">
        <v>2598</v>
      </c>
      <c r="AA2" s="10" t="s">
        <v>2599</v>
      </c>
      <c r="AB2" s="11"/>
      <c r="AC2" s="11"/>
      <c r="AD2" s="11"/>
      <c r="AE2" s="11"/>
      <c r="AF2" s="27">
        <v>18600</v>
      </c>
      <c r="AG2" s="11"/>
      <c r="AH2" s="11"/>
      <c r="AI2" s="11"/>
      <c r="AJ2" s="11"/>
      <c r="AK2" s="11"/>
      <c r="AL2" s="11"/>
      <c r="AM2" s="11"/>
      <c r="AN2" s="11"/>
      <c r="AO2" s="11"/>
      <c r="AP2" s="11"/>
      <c r="AQ2" s="11"/>
      <c r="AR2" s="10" t="s">
        <v>2600</v>
      </c>
      <c r="AS2" s="10" t="s">
        <v>66</v>
      </c>
      <c r="AT2" s="10" t="s">
        <v>53</v>
      </c>
    </row>
    <row r="3" spans="1:49" x14ac:dyDescent="0.15">
      <c r="A3" s="8" t="s">
        <v>2601</v>
      </c>
      <c r="B3" s="9" t="s">
        <v>2602</v>
      </c>
      <c r="C3" s="10" t="s">
        <v>1139</v>
      </c>
      <c r="D3" s="10" t="s">
        <v>2603</v>
      </c>
      <c r="E3" s="10" t="s">
        <v>51</v>
      </c>
      <c r="F3" s="10" t="s">
        <v>2501</v>
      </c>
      <c r="G3" s="11"/>
      <c r="H3" s="10" t="s">
        <v>1683</v>
      </c>
      <c r="I3" s="10" t="s">
        <v>53</v>
      </c>
      <c r="J3" s="10" t="s">
        <v>54</v>
      </c>
      <c r="K3" s="11"/>
      <c r="L3" s="10" t="s">
        <v>2502</v>
      </c>
      <c r="M3" s="11"/>
      <c r="N3" s="11"/>
      <c r="O3" s="11"/>
      <c r="P3" s="11"/>
      <c r="Q3" s="10" t="s">
        <v>75</v>
      </c>
      <c r="R3" s="11"/>
      <c r="S3" s="10" t="s">
        <v>2503</v>
      </c>
      <c r="T3" s="10" t="s">
        <v>2504</v>
      </c>
      <c r="U3" s="10" t="s">
        <v>2505</v>
      </c>
      <c r="V3" s="11"/>
      <c r="W3" s="10" t="s">
        <v>2506</v>
      </c>
      <c r="X3" s="10" t="s">
        <v>80</v>
      </c>
      <c r="Y3" s="10" t="s">
        <v>80</v>
      </c>
      <c r="Z3" s="10" t="s">
        <v>2604</v>
      </c>
      <c r="AA3" s="10" t="s">
        <v>2605</v>
      </c>
      <c r="AB3" s="11"/>
      <c r="AC3" s="11"/>
      <c r="AD3" s="11"/>
      <c r="AE3" s="11"/>
      <c r="AF3" s="27">
        <v>10000</v>
      </c>
      <c r="AG3" s="11"/>
      <c r="AH3" s="11"/>
      <c r="AI3" s="11"/>
      <c r="AJ3" s="11"/>
      <c r="AK3" s="11"/>
      <c r="AL3" s="11"/>
      <c r="AM3" s="11"/>
      <c r="AN3" s="11"/>
      <c r="AO3" s="11"/>
      <c r="AP3" s="11"/>
      <c r="AQ3" s="11"/>
      <c r="AR3" s="10" t="s">
        <v>2606</v>
      </c>
      <c r="AS3" s="10" t="s">
        <v>66</v>
      </c>
      <c r="AT3" s="10" t="s">
        <v>53</v>
      </c>
    </row>
    <row r="4" spans="1:49" ht="14" x14ac:dyDescent="0.15">
      <c r="A4" s="8"/>
      <c r="B4" s="9"/>
      <c r="C4" s="10"/>
      <c r="D4" s="10"/>
      <c r="E4" s="10"/>
      <c r="F4" s="10"/>
      <c r="G4" s="11"/>
      <c r="H4" s="10"/>
      <c r="I4" s="10"/>
      <c r="J4" s="10"/>
      <c r="K4" s="11"/>
      <c r="L4" s="10"/>
      <c r="M4" s="11"/>
      <c r="N4" s="11"/>
      <c r="O4" s="11"/>
      <c r="P4" s="11"/>
      <c r="Q4" s="10"/>
      <c r="R4" s="11"/>
      <c r="S4" s="10"/>
      <c r="T4" s="10"/>
      <c r="U4" s="10"/>
      <c r="V4" s="11"/>
      <c r="W4" s="10"/>
      <c r="X4" s="10"/>
      <c r="Y4" s="10"/>
      <c r="Z4" s="10"/>
      <c r="AA4" s="10"/>
      <c r="AB4" s="11"/>
      <c r="AC4" s="11"/>
      <c r="AD4" s="11"/>
      <c r="AE4" s="11"/>
      <c r="AF4" s="28">
        <f>SUM(AF2:AF3)</f>
        <v>28600</v>
      </c>
      <c r="AG4" s="11"/>
      <c r="AH4" s="11"/>
      <c r="AI4" s="11"/>
      <c r="AJ4" s="11"/>
      <c r="AK4" s="11"/>
      <c r="AL4" s="11"/>
      <c r="AM4" s="11"/>
      <c r="AN4" s="11"/>
      <c r="AO4" s="11"/>
      <c r="AP4" s="11"/>
      <c r="AQ4" s="11"/>
      <c r="AR4" s="10"/>
      <c r="AS4" s="10"/>
      <c r="AT4" s="10"/>
      <c r="AV4" s="23" t="s">
        <v>4064</v>
      </c>
      <c r="AW4" s="23" t="s">
        <v>4074</v>
      </c>
    </row>
    <row r="5" spans="1:49" x14ac:dyDescent="0.15">
      <c r="A5" s="8" t="s">
        <v>1261</v>
      </c>
      <c r="B5" s="20" t="s">
        <v>1262</v>
      </c>
      <c r="C5" s="10" t="s">
        <v>1263</v>
      </c>
      <c r="D5" s="10" t="s">
        <v>1264</v>
      </c>
      <c r="E5" s="10" t="s">
        <v>51</v>
      </c>
      <c r="F5" s="10" t="s">
        <v>1265</v>
      </c>
      <c r="G5" s="11"/>
      <c r="H5" s="10" t="s">
        <v>568</v>
      </c>
      <c r="I5" s="10" t="s">
        <v>53</v>
      </c>
      <c r="J5" s="10" t="s">
        <v>54</v>
      </c>
      <c r="K5" s="11"/>
      <c r="L5" s="10" t="s">
        <v>1266</v>
      </c>
      <c r="M5" s="11"/>
      <c r="N5" s="11"/>
      <c r="O5" s="11"/>
      <c r="P5" s="11"/>
      <c r="Q5" s="10" t="s">
        <v>75</v>
      </c>
      <c r="R5" s="11"/>
      <c r="S5" s="10" t="s">
        <v>1267</v>
      </c>
      <c r="T5" s="10" t="s">
        <v>1268</v>
      </c>
      <c r="U5" s="10" t="s">
        <v>1269</v>
      </c>
      <c r="V5" s="11"/>
      <c r="W5" s="10" t="s">
        <v>1270</v>
      </c>
      <c r="X5" s="10" t="s">
        <v>80</v>
      </c>
      <c r="Y5" s="10" t="s">
        <v>80</v>
      </c>
      <c r="Z5" s="10" t="s">
        <v>1271</v>
      </c>
      <c r="AA5" s="10" t="s">
        <v>1272</v>
      </c>
      <c r="AB5" s="11"/>
      <c r="AC5" s="11"/>
      <c r="AD5" s="11"/>
      <c r="AE5" s="11"/>
      <c r="AF5" s="27">
        <v>1000</v>
      </c>
      <c r="AG5" s="11"/>
      <c r="AH5" s="10" t="s">
        <v>1273</v>
      </c>
      <c r="AI5" s="10" t="s">
        <v>1274</v>
      </c>
      <c r="AJ5" s="10" t="s">
        <v>1203</v>
      </c>
      <c r="AK5" s="10" t="s">
        <v>1220</v>
      </c>
      <c r="AL5" s="11"/>
      <c r="AM5" s="11"/>
      <c r="AN5" s="11"/>
      <c r="AO5" s="11"/>
      <c r="AP5" s="11"/>
      <c r="AQ5" s="11"/>
      <c r="AR5" s="10" t="s">
        <v>563</v>
      </c>
      <c r="AS5" s="10" t="s">
        <v>66</v>
      </c>
      <c r="AT5" s="10" t="s">
        <v>53</v>
      </c>
    </row>
    <row r="6" spans="1:49" ht="14" x14ac:dyDescent="0.15">
      <c r="A6" s="8"/>
      <c r="B6" s="18"/>
      <c r="C6" s="10"/>
      <c r="D6" s="10"/>
      <c r="E6" s="10"/>
      <c r="F6" s="10"/>
      <c r="G6" s="11"/>
      <c r="H6" s="10"/>
      <c r="I6" s="10"/>
      <c r="J6" s="10"/>
      <c r="K6" s="11"/>
      <c r="L6" s="10"/>
      <c r="M6" s="11"/>
      <c r="N6" s="11"/>
      <c r="O6" s="11"/>
      <c r="P6" s="11"/>
      <c r="Q6" s="10"/>
      <c r="R6" s="11"/>
      <c r="S6" s="10"/>
      <c r="T6" s="10"/>
      <c r="U6" s="10"/>
      <c r="V6" s="11"/>
      <c r="W6" s="10"/>
      <c r="X6" s="10"/>
      <c r="Y6" s="10"/>
      <c r="Z6" s="10"/>
      <c r="AA6" s="10"/>
      <c r="AB6" s="11"/>
      <c r="AC6" s="11"/>
      <c r="AD6" s="11"/>
      <c r="AE6" s="11"/>
      <c r="AF6" s="28">
        <f>SUM(AF5)</f>
        <v>1000</v>
      </c>
      <c r="AG6" s="11"/>
      <c r="AH6" s="10"/>
      <c r="AI6" s="10"/>
      <c r="AJ6" s="10"/>
      <c r="AK6" s="10"/>
      <c r="AL6" s="11"/>
      <c r="AM6" s="11"/>
      <c r="AN6" s="11"/>
      <c r="AO6" s="11"/>
      <c r="AP6" s="11"/>
      <c r="AQ6" s="11"/>
      <c r="AR6" s="10"/>
      <c r="AS6" s="10"/>
      <c r="AT6" s="10"/>
      <c r="AV6" s="23" t="s">
        <v>4064</v>
      </c>
    </row>
    <row r="7" spans="1:49" x14ac:dyDescent="0.15">
      <c r="A7" s="8" t="s">
        <v>3697</v>
      </c>
      <c r="B7" s="20" t="s">
        <v>3698</v>
      </c>
      <c r="C7" s="10" t="s">
        <v>3699</v>
      </c>
      <c r="D7" s="10" t="s">
        <v>3700</v>
      </c>
      <c r="E7" s="10" t="s">
        <v>51</v>
      </c>
      <c r="F7" s="10" t="s">
        <v>385</v>
      </c>
      <c r="G7" s="11"/>
      <c r="H7" s="10" t="s">
        <v>72</v>
      </c>
      <c r="I7" s="10" t="s">
        <v>53</v>
      </c>
      <c r="J7" s="10" t="s">
        <v>54</v>
      </c>
      <c r="K7" s="11"/>
      <c r="L7" s="10" t="s">
        <v>3689</v>
      </c>
      <c r="M7" s="11"/>
      <c r="N7" s="10" t="s">
        <v>3701</v>
      </c>
      <c r="O7" s="11"/>
      <c r="P7" s="11"/>
      <c r="Q7" s="10" t="s">
        <v>75</v>
      </c>
      <c r="R7" s="11"/>
      <c r="S7" s="10" t="s">
        <v>3534</v>
      </c>
      <c r="T7" s="10" t="s">
        <v>3535</v>
      </c>
      <c r="U7" s="10" t="s">
        <v>3536</v>
      </c>
      <c r="V7" s="11"/>
      <c r="W7" s="10" t="s">
        <v>3537</v>
      </c>
      <c r="X7" s="10" t="s">
        <v>80</v>
      </c>
      <c r="Y7" s="10" t="s">
        <v>80</v>
      </c>
      <c r="Z7" s="10" t="s">
        <v>3702</v>
      </c>
      <c r="AA7" s="10" t="s">
        <v>3703</v>
      </c>
      <c r="AB7" s="11"/>
      <c r="AC7" s="11"/>
      <c r="AD7" s="11"/>
      <c r="AE7" s="10" t="s">
        <v>3693</v>
      </c>
      <c r="AF7" s="27">
        <v>500000</v>
      </c>
      <c r="AG7" s="11"/>
      <c r="AH7" s="10" t="s">
        <v>538</v>
      </c>
      <c r="AI7" s="10" t="s">
        <v>3704</v>
      </c>
      <c r="AJ7" s="11"/>
      <c r="AK7" s="10" t="s">
        <v>3705</v>
      </c>
      <c r="AL7" s="11"/>
      <c r="AM7" s="11"/>
      <c r="AN7" s="11"/>
      <c r="AO7" s="11"/>
      <c r="AP7" s="11"/>
      <c r="AQ7" s="11"/>
      <c r="AR7" s="10" t="s">
        <v>3706</v>
      </c>
      <c r="AS7" s="10" t="s">
        <v>66</v>
      </c>
      <c r="AT7" s="10" t="s">
        <v>53</v>
      </c>
    </row>
    <row r="8" spans="1:49" x14ac:dyDescent="0.15">
      <c r="A8" s="8" t="s">
        <v>3707</v>
      </c>
      <c r="B8" s="9" t="s">
        <v>3708</v>
      </c>
      <c r="C8" s="10" t="s">
        <v>3709</v>
      </c>
      <c r="D8" s="10" t="s">
        <v>3710</v>
      </c>
      <c r="E8" s="10" t="s">
        <v>51</v>
      </c>
      <c r="F8" s="10" t="s">
        <v>385</v>
      </c>
      <c r="G8" s="11"/>
      <c r="H8" s="10" t="s">
        <v>229</v>
      </c>
      <c r="I8" s="10" t="s">
        <v>53</v>
      </c>
      <c r="J8" s="10" t="s">
        <v>54</v>
      </c>
      <c r="K8" s="11"/>
      <c r="L8" s="10" t="s">
        <v>3711</v>
      </c>
      <c r="M8" s="11"/>
      <c r="N8" s="10" t="s">
        <v>3712</v>
      </c>
      <c r="O8" s="11"/>
      <c r="P8" s="11"/>
      <c r="Q8" s="10" t="s">
        <v>75</v>
      </c>
      <c r="R8" s="11"/>
      <c r="S8" s="10" t="s">
        <v>3534</v>
      </c>
      <c r="T8" s="10" t="s">
        <v>3535</v>
      </c>
      <c r="U8" s="10" t="s">
        <v>3536</v>
      </c>
      <c r="V8" s="11"/>
      <c r="W8" s="10" t="s">
        <v>3537</v>
      </c>
      <c r="X8" s="10" t="s">
        <v>80</v>
      </c>
      <c r="Y8" s="10" t="s">
        <v>80</v>
      </c>
      <c r="Z8" s="10" t="s">
        <v>3713</v>
      </c>
      <c r="AA8" s="10" t="s">
        <v>3714</v>
      </c>
      <c r="AB8" s="11"/>
      <c r="AC8" s="11"/>
      <c r="AD8" s="11"/>
      <c r="AE8" s="10" t="s">
        <v>3715</v>
      </c>
      <c r="AF8" s="27">
        <v>7000</v>
      </c>
      <c r="AG8" s="11"/>
      <c r="AH8" s="10" t="s">
        <v>3716</v>
      </c>
      <c r="AI8" s="10" t="s">
        <v>3717</v>
      </c>
      <c r="AJ8" s="11"/>
      <c r="AK8" s="10" t="s">
        <v>3718</v>
      </c>
      <c r="AL8" s="11"/>
      <c r="AM8" s="11"/>
      <c r="AN8" s="11"/>
      <c r="AO8" s="11"/>
      <c r="AP8" s="11"/>
      <c r="AQ8" s="11"/>
      <c r="AR8" s="10" t="s">
        <v>3719</v>
      </c>
      <c r="AS8" s="10" t="s">
        <v>66</v>
      </c>
      <c r="AT8" s="10" t="s">
        <v>53</v>
      </c>
    </row>
    <row r="9" spans="1:49" x14ac:dyDescent="0.15">
      <c r="A9" s="8" t="s">
        <v>3720</v>
      </c>
      <c r="B9" s="9" t="s">
        <v>3721</v>
      </c>
      <c r="C9" s="10" t="s">
        <v>3722</v>
      </c>
      <c r="D9" s="10" t="s">
        <v>3723</v>
      </c>
      <c r="E9" s="10" t="s">
        <v>51</v>
      </c>
      <c r="F9" s="10" t="s">
        <v>385</v>
      </c>
      <c r="G9" s="11"/>
      <c r="H9" s="10" t="s">
        <v>3724</v>
      </c>
      <c r="I9" s="10" t="s">
        <v>53</v>
      </c>
      <c r="J9" s="10" t="s">
        <v>54</v>
      </c>
      <c r="K9" s="11"/>
      <c r="L9" s="10" t="s">
        <v>3725</v>
      </c>
      <c r="M9" s="11"/>
      <c r="N9" s="10" t="s">
        <v>3726</v>
      </c>
      <c r="O9" s="11"/>
      <c r="P9" s="11"/>
      <c r="Q9" s="10" t="s">
        <v>3727</v>
      </c>
      <c r="R9" s="11"/>
      <c r="S9" s="10" t="s">
        <v>3534</v>
      </c>
      <c r="T9" s="10" t="s">
        <v>3535</v>
      </c>
      <c r="U9" s="10" t="s">
        <v>3536</v>
      </c>
      <c r="V9" s="11"/>
      <c r="W9" s="10" t="s">
        <v>3537</v>
      </c>
      <c r="X9" s="10" t="s">
        <v>80</v>
      </c>
      <c r="Y9" s="10" t="s">
        <v>80</v>
      </c>
      <c r="Z9" s="10" t="s">
        <v>3728</v>
      </c>
      <c r="AA9" s="10" t="s">
        <v>3729</v>
      </c>
      <c r="AB9" s="11"/>
      <c r="AC9" s="11"/>
      <c r="AD9" s="11"/>
      <c r="AE9" s="10" t="s">
        <v>3730</v>
      </c>
      <c r="AF9" s="27">
        <v>600000</v>
      </c>
      <c r="AG9" s="11"/>
      <c r="AH9" s="10" t="s">
        <v>3731</v>
      </c>
      <c r="AI9" s="10" t="s">
        <v>3732</v>
      </c>
      <c r="AJ9" s="11"/>
      <c r="AK9" s="10" t="s">
        <v>3733</v>
      </c>
      <c r="AL9" s="11"/>
      <c r="AM9" s="11"/>
      <c r="AN9" s="11"/>
      <c r="AO9" s="11"/>
      <c r="AP9" s="11"/>
      <c r="AQ9" s="11"/>
      <c r="AR9" s="10" t="s">
        <v>3734</v>
      </c>
      <c r="AS9" s="10" t="s">
        <v>66</v>
      </c>
      <c r="AT9" s="10" t="s">
        <v>53</v>
      </c>
    </row>
    <row r="10" spans="1:49" x14ac:dyDescent="0.15">
      <c r="A10" s="8" t="s">
        <v>3735</v>
      </c>
      <c r="B10" s="9" t="s">
        <v>3736</v>
      </c>
      <c r="C10" s="10" t="s">
        <v>3737</v>
      </c>
      <c r="D10" s="10" t="s">
        <v>3738</v>
      </c>
      <c r="E10" s="10" t="s">
        <v>51</v>
      </c>
      <c r="F10" s="10" t="s">
        <v>385</v>
      </c>
      <c r="G10" s="11"/>
      <c r="H10" s="10" t="s">
        <v>3739</v>
      </c>
      <c r="I10" s="10" t="s">
        <v>53</v>
      </c>
      <c r="J10" s="10" t="s">
        <v>54</v>
      </c>
      <c r="K10" s="11"/>
      <c r="L10" s="10" t="s">
        <v>3711</v>
      </c>
      <c r="M10" s="11"/>
      <c r="N10" s="10" t="s">
        <v>3740</v>
      </c>
      <c r="O10" s="11"/>
      <c r="P10" s="11"/>
      <c r="Q10" s="10" t="s">
        <v>75</v>
      </c>
      <c r="R10" s="11"/>
      <c r="S10" s="10" t="s">
        <v>3534</v>
      </c>
      <c r="T10" s="10" t="s">
        <v>3535</v>
      </c>
      <c r="U10" s="10" t="s">
        <v>3536</v>
      </c>
      <c r="V10" s="11"/>
      <c r="W10" s="10" t="s">
        <v>3537</v>
      </c>
      <c r="X10" s="10" t="s">
        <v>80</v>
      </c>
      <c r="Y10" s="10" t="s">
        <v>80</v>
      </c>
      <c r="Z10" s="10" t="s">
        <v>3741</v>
      </c>
      <c r="AA10" s="10" t="s">
        <v>3742</v>
      </c>
      <c r="AB10" s="11"/>
      <c r="AC10" s="11"/>
      <c r="AD10" s="11"/>
      <c r="AE10" s="10" t="s">
        <v>3743</v>
      </c>
      <c r="AF10" s="27">
        <v>260000</v>
      </c>
      <c r="AG10" s="11"/>
      <c r="AH10" s="10" t="s">
        <v>126</v>
      </c>
      <c r="AI10" s="10" t="s">
        <v>3744</v>
      </c>
      <c r="AJ10" s="11"/>
      <c r="AK10" s="10" t="s">
        <v>3745</v>
      </c>
      <c r="AL10" s="11"/>
      <c r="AM10" s="11"/>
      <c r="AN10" s="11"/>
      <c r="AO10" s="11"/>
      <c r="AP10" s="11"/>
      <c r="AQ10" s="11"/>
      <c r="AR10" s="10" t="s">
        <v>3746</v>
      </c>
      <c r="AS10" s="10" t="s">
        <v>66</v>
      </c>
      <c r="AT10" s="10" t="s">
        <v>53</v>
      </c>
    </row>
    <row r="11" spans="1:49" x14ac:dyDescent="0.15">
      <c r="A11" s="8" t="s">
        <v>3747</v>
      </c>
      <c r="B11" s="9" t="s">
        <v>3748</v>
      </c>
      <c r="C11" s="10" t="s">
        <v>3749</v>
      </c>
      <c r="D11" s="10" t="s">
        <v>3750</v>
      </c>
      <c r="E11" s="10" t="s">
        <v>51</v>
      </c>
      <c r="F11" s="10" t="s">
        <v>385</v>
      </c>
      <c r="G11" s="11"/>
      <c r="H11" s="10" t="s">
        <v>3751</v>
      </c>
      <c r="I11" s="10" t="s">
        <v>53</v>
      </c>
      <c r="J11" s="10" t="s">
        <v>54</v>
      </c>
      <c r="K11" s="11"/>
      <c r="L11" s="10" t="s">
        <v>3711</v>
      </c>
      <c r="M11" s="11"/>
      <c r="N11" s="10" t="s">
        <v>3752</v>
      </c>
      <c r="O11" s="11"/>
      <c r="P11" s="11"/>
      <c r="Q11" s="10" t="s">
        <v>75</v>
      </c>
      <c r="R11" s="11"/>
      <c r="S11" s="10" t="s">
        <v>3534</v>
      </c>
      <c r="T11" s="10" t="s">
        <v>3535</v>
      </c>
      <c r="U11" s="10" t="s">
        <v>3536</v>
      </c>
      <c r="V11" s="11"/>
      <c r="W11" s="10" t="s">
        <v>3537</v>
      </c>
      <c r="X11" s="10" t="s">
        <v>80</v>
      </c>
      <c r="Y11" s="10" t="s">
        <v>80</v>
      </c>
      <c r="Z11" s="10" t="s">
        <v>3753</v>
      </c>
      <c r="AA11" s="10" t="s">
        <v>3754</v>
      </c>
      <c r="AB11" s="11"/>
      <c r="AC11" s="11"/>
      <c r="AD11" s="11"/>
      <c r="AE11" s="10" t="s">
        <v>3743</v>
      </c>
      <c r="AF11" s="27">
        <v>1150000</v>
      </c>
      <c r="AG11" s="11"/>
      <c r="AH11" s="10" t="s">
        <v>126</v>
      </c>
      <c r="AI11" s="10" t="s">
        <v>3755</v>
      </c>
      <c r="AJ11" s="11"/>
      <c r="AK11" s="10" t="s">
        <v>3756</v>
      </c>
      <c r="AL11" s="11"/>
      <c r="AM11" s="11"/>
      <c r="AN11" s="11"/>
      <c r="AO11" s="11"/>
      <c r="AP11" s="11"/>
      <c r="AQ11" s="11"/>
      <c r="AR11" s="10" t="s">
        <v>3757</v>
      </c>
      <c r="AS11" s="10" t="s">
        <v>66</v>
      </c>
      <c r="AT11" s="10" t="s">
        <v>53</v>
      </c>
    </row>
    <row r="12" spans="1:49" x14ac:dyDescent="0.15">
      <c r="A12" s="8" t="s">
        <v>3758</v>
      </c>
      <c r="B12" s="9" t="s">
        <v>3759</v>
      </c>
      <c r="C12" s="10" t="s">
        <v>3760</v>
      </c>
      <c r="D12" s="10" t="s">
        <v>3761</v>
      </c>
      <c r="E12" s="10" t="s">
        <v>51</v>
      </c>
      <c r="F12" s="10" t="s">
        <v>385</v>
      </c>
      <c r="G12" s="11"/>
      <c r="H12" s="10" t="s">
        <v>239</v>
      </c>
      <c r="I12" s="10" t="s">
        <v>53</v>
      </c>
      <c r="J12" s="10" t="s">
        <v>54</v>
      </c>
      <c r="K12" s="11"/>
      <c r="L12" s="10" t="s">
        <v>3711</v>
      </c>
      <c r="M12" s="11"/>
      <c r="N12" s="10" t="s">
        <v>3752</v>
      </c>
      <c r="O12" s="11"/>
      <c r="P12" s="11"/>
      <c r="Q12" s="10" t="s">
        <v>75</v>
      </c>
      <c r="R12" s="11"/>
      <c r="S12" s="10" t="s">
        <v>3534</v>
      </c>
      <c r="T12" s="10" t="s">
        <v>3535</v>
      </c>
      <c r="U12" s="10" t="s">
        <v>3536</v>
      </c>
      <c r="V12" s="11"/>
      <c r="W12" s="10" t="s">
        <v>3537</v>
      </c>
      <c r="X12" s="10" t="s">
        <v>80</v>
      </c>
      <c r="Y12" s="10" t="s">
        <v>80</v>
      </c>
      <c r="Z12" s="10" t="s">
        <v>3762</v>
      </c>
      <c r="AA12" s="10" t="s">
        <v>3763</v>
      </c>
      <c r="AB12" s="11"/>
      <c r="AC12" s="11"/>
      <c r="AD12" s="11"/>
      <c r="AE12" s="10" t="s">
        <v>3743</v>
      </c>
      <c r="AF12" s="27">
        <v>195000</v>
      </c>
      <c r="AG12" s="11"/>
      <c r="AH12" s="10" t="s">
        <v>126</v>
      </c>
      <c r="AI12" s="10" t="s">
        <v>3764</v>
      </c>
      <c r="AJ12" s="11"/>
      <c r="AK12" s="10" t="s">
        <v>3765</v>
      </c>
      <c r="AL12" s="11"/>
      <c r="AM12" s="11"/>
      <c r="AN12" s="11"/>
      <c r="AO12" s="11"/>
      <c r="AP12" s="11"/>
      <c r="AQ12" s="11"/>
      <c r="AR12" s="10" t="s">
        <v>3766</v>
      </c>
      <c r="AS12" s="10" t="s">
        <v>66</v>
      </c>
      <c r="AT12" s="10" t="s">
        <v>53</v>
      </c>
    </row>
    <row r="13" spans="1:49" x14ac:dyDescent="0.15">
      <c r="A13" s="8" t="s">
        <v>3767</v>
      </c>
      <c r="B13" s="9" t="s">
        <v>3768</v>
      </c>
      <c r="C13" s="10" t="s">
        <v>3769</v>
      </c>
      <c r="D13" s="10" t="s">
        <v>3770</v>
      </c>
      <c r="E13" s="10" t="s">
        <v>51</v>
      </c>
      <c r="F13" s="10" t="s">
        <v>385</v>
      </c>
      <c r="G13" s="11"/>
      <c r="H13" s="10" t="s">
        <v>3751</v>
      </c>
      <c r="I13" s="10" t="s">
        <v>53</v>
      </c>
      <c r="J13" s="10" t="s">
        <v>54</v>
      </c>
      <c r="K13" s="11"/>
      <c r="L13" s="10" t="s">
        <v>3711</v>
      </c>
      <c r="M13" s="11"/>
      <c r="N13" s="10" t="s">
        <v>3771</v>
      </c>
      <c r="O13" s="11"/>
      <c r="P13" s="11"/>
      <c r="Q13" s="10" t="s">
        <v>75</v>
      </c>
      <c r="R13" s="11"/>
      <c r="S13" s="10" t="s">
        <v>3534</v>
      </c>
      <c r="T13" s="10" t="s">
        <v>3535</v>
      </c>
      <c r="U13" s="10" t="s">
        <v>3536</v>
      </c>
      <c r="V13" s="11"/>
      <c r="W13" s="10" t="s">
        <v>3537</v>
      </c>
      <c r="X13" s="10" t="s">
        <v>80</v>
      </c>
      <c r="Y13" s="10" t="s">
        <v>80</v>
      </c>
      <c r="Z13" s="10" t="s">
        <v>3772</v>
      </c>
      <c r="AA13" s="10" t="s">
        <v>3773</v>
      </c>
      <c r="AB13" s="11"/>
      <c r="AC13" s="11"/>
      <c r="AD13" s="11"/>
      <c r="AE13" s="10" t="s">
        <v>3715</v>
      </c>
      <c r="AF13" s="27">
        <v>800</v>
      </c>
      <c r="AG13" s="11"/>
      <c r="AH13" s="10" t="s">
        <v>3774</v>
      </c>
      <c r="AI13" s="10" t="s">
        <v>3775</v>
      </c>
      <c r="AJ13" s="11"/>
      <c r="AK13" s="10" t="s">
        <v>3776</v>
      </c>
      <c r="AL13" s="11"/>
      <c r="AM13" s="11"/>
      <c r="AN13" s="11"/>
      <c r="AO13" s="11"/>
      <c r="AP13" s="11"/>
      <c r="AQ13" s="11"/>
      <c r="AR13" s="10" t="s">
        <v>3777</v>
      </c>
      <c r="AS13" s="10" t="s">
        <v>66</v>
      </c>
      <c r="AT13" s="10" t="s">
        <v>53</v>
      </c>
    </row>
    <row r="14" spans="1:49" x14ac:dyDescent="0.15">
      <c r="A14" s="8" t="s">
        <v>3789</v>
      </c>
      <c r="B14" s="9" t="s">
        <v>3790</v>
      </c>
      <c r="C14" s="10" t="s">
        <v>1740</v>
      </c>
      <c r="D14" s="10" t="s">
        <v>3791</v>
      </c>
      <c r="E14" s="10" t="s">
        <v>51</v>
      </c>
      <c r="F14" s="10" t="s">
        <v>385</v>
      </c>
      <c r="G14" s="11"/>
      <c r="H14" s="10" t="s">
        <v>568</v>
      </c>
      <c r="I14" s="10" t="s">
        <v>53</v>
      </c>
      <c r="J14" s="10" t="s">
        <v>54</v>
      </c>
      <c r="K14" s="11"/>
      <c r="L14" s="10" t="s">
        <v>3711</v>
      </c>
      <c r="M14" s="11"/>
      <c r="N14" s="11"/>
      <c r="O14" s="11"/>
      <c r="P14" s="11"/>
      <c r="Q14" s="10" t="s">
        <v>75</v>
      </c>
      <c r="R14" s="11"/>
      <c r="S14" s="10" t="s">
        <v>3534</v>
      </c>
      <c r="T14" s="10" t="s">
        <v>3535</v>
      </c>
      <c r="U14" s="10" t="s">
        <v>3536</v>
      </c>
      <c r="V14" s="11"/>
      <c r="W14" s="10" t="s">
        <v>3537</v>
      </c>
      <c r="X14" s="10" t="s">
        <v>80</v>
      </c>
      <c r="Y14" s="10" t="s">
        <v>80</v>
      </c>
      <c r="Z14" s="10" t="s">
        <v>3792</v>
      </c>
      <c r="AA14" s="10" t="s">
        <v>3793</v>
      </c>
      <c r="AB14" s="11"/>
      <c r="AC14" s="11"/>
      <c r="AD14" s="11"/>
      <c r="AE14" s="10" t="s">
        <v>3794</v>
      </c>
      <c r="AF14" s="27">
        <v>48664</v>
      </c>
      <c r="AG14" s="11"/>
      <c r="AH14" s="11"/>
      <c r="AI14" s="10" t="s">
        <v>3795</v>
      </c>
      <c r="AJ14" s="11"/>
      <c r="AK14" s="10" t="s">
        <v>3796</v>
      </c>
      <c r="AL14" s="11"/>
      <c r="AM14" s="11"/>
      <c r="AN14" s="11"/>
      <c r="AO14" s="11"/>
      <c r="AP14" s="11"/>
      <c r="AQ14" s="11"/>
      <c r="AR14" s="10" t="s">
        <v>3797</v>
      </c>
      <c r="AS14" s="10" t="s">
        <v>66</v>
      </c>
      <c r="AT14" s="10" t="s">
        <v>53</v>
      </c>
    </row>
    <row r="15" spans="1:49" ht="14" x14ac:dyDescent="0.15">
      <c r="A15" s="8"/>
      <c r="B15" s="9"/>
      <c r="C15" s="10"/>
      <c r="D15" s="10"/>
      <c r="E15" s="10"/>
      <c r="F15" s="10"/>
      <c r="G15" s="11"/>
      <c r="H15" s="10"/>
      <c r="I15" s="10"/>
      <c r="J15" s="10"/>
      <c r="K15" s="11"/>
      <c r="L15" s="10"/>
      <c r="M15" s="11"/>
      <c r="N15" s="11"/>
      <c r="O15" s="11"/>
      <c r="P15" s="11"/>
      <c r="Q15" s="10"/>
      <c r="R15" s="11"/>
      <c r="S15" s="10"/>
      <c r="T15" s="10"/>
      <c r="U15" s="10"/>
      <c r="V15" s="11"/>
      <c r="W15" s="10"/>
      <c r="X15" s="10"/>
      <c r="Y15" s="10"/>
      <c r="Z15" s="10"/>
      <c r="AA15" s="10"/>
      <c r="AB15" s="11"/>
      <c r="AC15" s="11"/>
      <c r="AD15" s="11"/>
      <c r="AE15" s="10"/>
      <c r="AF15" s="28">
        <f>SUM(AF7:AF14)</f>
        <v>2761464</v>
      </c>
      <c r="AG15" s="11"/>
      <c r="AH15" s="11"/>
      <c r="AI15" s="10"/>
      <c r="AJ15" s="11"/>
      <c r="AK15" s="10"/>
      <c r="AL15" s="11"/>
      <c r="AM15" s="11"/>
      <c r="AN15" s="11"/>
      <c r="AO15" s="11"/>
      <c r="AP15" s="11"/>
      <c r="AQ15" s="11"/>
      <c r="AR15" s="10"/>
      <c r="AS15" s="10"/>
      <c r="AT15" s="10"/>
      <c r="AV15" s="23" t="s">
        <v>4065</v>
      </c>
      <c r="AW15" s="23" t="s">
        <v>4074</v>
      </c>
    </row>
    <row r="16" spans="1:49" x14ac:dyDescent="0.15">
      <c r="A16" s="8" t="s">
        <v>3172</v>
      </c>
      <c r="B16" s="20" t="s">
        <v>3173</v>
      </c>
      <c r="C16" s="10" t="s">
        <v>3174</v>
      </c>
      <c r="D16" s="10" t="s">
        <v>3175</v>
      </c>
      <c r="E16" s="10" t="s">
        <v>51</v>
      </c>
      <c r="F16" s="10" t="s">
        <v>3176</v>
      </c>
      <c r="G16" s="11"/>
      <c r="H16" s="10" t="s">
        <v>229</v>
      </c>
      <c r="I16" s="10" t="s">
        <v>53</v>
      </c>
      <c r="J16" s="10" t="s">
        <v>54</v>
      </c>
      <c r="K16" s="11"/>
      <c r="L16" s="10" t="s">
        <v>3177</v>
      </c>
      <c r="M16" s="11"/>
      <c r="N16" s="11"/>
      <c r="O16" s="11"/>
      <c r="P16" s="11"/>
      <c r="Q16" s="10" t="s">
        <v>361</v>
      </c>
      <c r="R16" s="11"/>
      <c r="S16" s="10" t="s">
        <v>3178</v>
      </c>
      <c r="T16" s="10" t="s">
        <v>3179</v>
      </c>
      <c r="U16" s="10" t="s">
        <v>3180</v>
      </c>
      <c r="V16" s="11"/>
      <c r="W16" s="10" t="s">
        <v>3181</v>
      </c>
      <c r="X16" s="10" t="s">
        <v>80</v>
      </c>
      <c r="Y16" s="10" t="s">
        <v>80</v>
      </c>
      <c r="Z16" s="10" t="s">
        <v>3182</v>
      </c>
      <c r="AA16" s="10" t="s">
        <v>3183</v>
      </c>
      <c r="AB16" s="11"/>
      <c r="AC16" s="11"/>
      <c r="AD16" s="11"/>
      <c r="AE16" s="10" t="s">
        <v>3184</v>
      </c>
      <c r="AF16" s="27">
        <v>1</v>
      </c>
      <c r="AG16" s="11"/>
      <c r="AH16" s="11"/>
      <c r="AI16" s="11"/>
      <c r="AJ16" s="11"/>
      <c r="AK16" s="11"/>
      <c r="AL16" s="11"/>
      <c r="AM16" s="11"/>
      <c r="AN16" s="11"/>
      <c r="AO16" s="11"/>
      <c r="AP16" s="11"/>
      <c r="AQ16" s="11"/>
      <c r="AR16" s="10" t="s">
        <v>325</v>
      </c>
      <c r="AS16" s="10" t="s">
        <v>66</v>
      </c>
      <c r="AT16" s="10" t="s">
        <v>53</v>
      </c>
    </row>
    <row r="17" spans="1:49" ht="14" x14ac:dyDescent="0.15">
      <c r="A17" s="8"/>
      <c r="B17" s="18"/>
      <c r="C17" s="10"/>
      <c r="D17" s="10"/>
      <c r="E17" s="10"/>
      <c r="F17" s="10"/>
      <c r="G17" s="11"/>
      <c r="H17" s="10"/>
      <c r="I17" s="10"/>
      <c r="J17" s="10"/>
      <c r="K17" s="11"/>
      <c r="L17" s="10"/>
      <c r="M17" s="11"/>
      <c r="N17" s="11"/>
      <c r="O17" s="11"/>
      <c r="P17" s="11"/>
      <c r="Q17" s="10"/>
      <c r="R17" s="11"/>
      <c r="S17" s="10"/>
      <c r="T17" s="10"/>
      <c r="U17" s="10"/>
      <c r="V17" s="11"/>
      <c r="W17" s="10"/>
      <c r="X17" s="10"/>
      <c r="Y17" s="10"/>
      <c r="Z17" s="10"/>
      <c r="AA17" s="10"/>
      <c r="AB17" s="11"/>
      <c r="AC17" s="11"/>
      <c r="AD17" s="11"/>
      <c r="AE17" s="10"/>
      <c r="AF17" s="28">
        <f>SUM(AF16)</f>
        <v>1</v>
      </c>
      <c r="AG17" s="11"/>
      <c r="AH17" s="11"/>
      <c r="AI17" s="11"/>
      <c r="AJ17" s="11"/>
      <c r="AK17" s="11"/>
      <c r="AL17" s="11"/>
      <c r="AM17" s="11"/>
      <c r="AN17" s="11"/>
      <c r="AO17" s="11"/>
      <c r="AP17" s="11"/>
      <c r="AQ17" s="11"/>
      <c r="AR17" s="10"/>
      <c r="AS17" s="10"/>
      <c r="AT17" s="10"/>
      <c r="AV17" s="23" t="s">
        <v>4066</v>
      </c>
    </row>
    <row r="18" spans="1:49" x14ac:dyDescent="0.15">
      <c r="A18" s="8" t="s">
        <v>3277</v>
      </c>
      <c r="B18" s="20" t="s">
        <v>3278</v>
      </c>
      <c r="C18" s="10" t="s">
        <v>1672</v>
      </c>
      <c r="D18" s="10" t="s">
        <v>3279</v>
      </c>
      <c r="E18" s="10" t="s">
        <v>51</v>
      </c>
      <c r="F18" s="10" t="s">
        <v>3176</v>
      </c>
      <c r="G18" s="11"/>
      <c r="H18" s="10" t="s">
        <v>552</v>
      </c>
      <c r="I18" s="10" t="s">
        <v>53</v>
      </c>
      <c r="J18" s="10" t="s">
        <v>54</v>
      </c>
      <c r="K18" s="11"/>
      <c r="L18" s="10" t="s">
        <v>3280</v>
      </c>
      <c r="M18" s="11"/>
      <c r="N18" s="11"/>
      <c r="O18" s="11"/>
      <c r="P18" s="11"/>
      <c r="Q18" s="10" t="s">
        <v>603</v>
      </c>
      <c r="R18" s="11"/>
      <c r="S18" s="10" t="s">
        <v>3253</v>
      </c>
      <c r="T18" s="10" t="s">
        <v>3254</v>
      </c>
      <c r="U18" s="10" t="s">
        <v>3255</v>
      </c>
      <c r="V18" s="11"/>
      <c r="W18" s="10" t="s">
        <v>3256</v>
      </c>
      <c r="X18" s="10" t="s">
        <v>80</v>
      </c>
      <c r="Y18" s="10" t="s">
        <v>80</v>
      </c>
      <c r="Z18" s="10" t="s">
        <v>3281</v>
      </c>
      <c r="AA18" s="10" t="s">
        <v>3282</v>
      </c>
      <c r="AB18" s="11"/>
      <c r="AC18" s="11"/>
      <c r="AD18" s="11"/>
      <c r="AE18" s="10" t="s">
        <v>3283</v>
      </c>
      <c r="AF18" s="27">
        <v>450000</v>
      </c>
      <c r="AG18" s="11"/>
      <c r="AH18" s="10" t="s">
        <v>1677</v>
      </c>
      <c r="AI18" s="10" t="s">
        <v>3284</v>
      </c>
      <c r="AJ18" s="11"/>
      <c r="AK18" s="11"/>
      <c r="AL18" s="11"/>
      <c r="AM18" s="11"/>
      <c r="AN18" s="11"/>
      <c r="AO18" s="11"/>
      <c r="AP18" s="11"/>
      <c r="AQ18" s="11"/>
      <c r="AR18" s="10" t="s">
        <v>1678</v>
      </c>
      <c r="AS18" s="10" t="s">
        <v>66</v>
      </c>
      <c r="AT18" s="10" t="s">
        <v>53</v>
      </c>
    </row>
    <row r="19" spans="1:49" x14ac:dyDescent="0.15">
      <c r="A19" s="8" t="s">
        <v>3285</v>
      </c>
      <c r="B19" s="9" t="s">
        <v>3286</v>
      </c>
      <c r="C19" s="10" t="s">
        <v>3287</v>
      </c>
      <c r="D19" s="10" t="s">
        <v>3288</v>
      </c>
      <c r="E19" s="10" t="s">
        <v>51</v>
      </c>
      <c r="F19" s="10" t="s">
        <v>3176</v>
      </c>
      <c r="G19" s="11"/>
      <c r="H19" s="10" t="s">
        <v>1683</v>
      </c>
      <c r="I19" s="10" t="s">
        <v>53</v>
      </c>
      <c r="J19" s="10" t="s">
        <v>54</v>
      </c>
      <c r="K19" s="11"/>
      <c r="L19" s="10" t="s">
        <v>3289</v>
      </c>
      <c r="M19" s="11"/>
      <c r="N19" s="11"/>
      <c r="O19" s="11"/>
      <c r="P19" s="11"/>
      <c r="Q19" s="10" t="s">
        <v>603</v>
      </c>
      <c r="R19" s="11"/>
      <c r="S19" s="10" t="s">
        <v>3253</v>
      </c>
      <c r="T19" s="10" t="s">
        <v>3254</v>
      </c>
      <c r="U19" s="10" t="s">
        <v>3255</v>
      </c>
      <c r="V19" s="11"/>
      <c r="W19" s="10" t="s">
        <v>3256</v>
      </c>
      <c r="X19" s="10" t="s">
        <v>80</v>
      </c>
      <c r="Y19" s="10" t="s">
        <v>80</v>
      </c>
      <c r="Z19" s="10" t="s">
        <v>3290</v>
      </c>
      <c r="AA19" s="10" t="s">
        <v>3291</v>
      </c>
      <c r="AB19" s="11"/>
      <c r="AC19" s="11"/>
      <c r="AD19" s="11"/>
      <c r="AE19" s="10" t="s">
        <v>3292</v>
      </c>
      <c r="AF19" s="27">
        <v>62000</v>
      </c>
      <c r="AG19" s="11"/>
      <c r="AH19" s="11"/>
      <c r="AI19" s="10" t="s">
        <v>1319</v>
      </c>
      <c r="AJ19" s="11"/>
      <c r="AK19" s="11"/>
      <c r="AL19" s="11"/>
      <c r="AM19" s="11"/>
      <c r="AN19" s="11"/>
      <c r="AO19" s="11"/>
      <c r="AP19" s="11"/>
      <c r="AQ19" s="11"/>
      <c r="AR19" s="10" t="s">
        <v>3293</v>
      </c>
      <c r="AS19" s="10" t="s">
        <v>66</v>
      </c>
      <c r="AT19" s="10" t="s">
        <v>53</v>
      </c>
    </row>
    <row r="20" spans="1:49" ht="14" x14ac:dyDescent="0.15">
      <c r="A20" s="8"/>
      <c r="B20" s="9"/>
      <c r="C20" s="10"/>
      <c r="D20" s="10"/>
      <c r="E20" s="10"/>
      <c r="F20" s="10"/>
      <c r="G20" s="11"/>
      <c r="H20" s="10"/>
      <c r="I20" s="10"/>
      <c r="J20" s="10"/>
      <c r="K20" s="11"/>
      <c r="L20" s="10"/>
      <c r="M20" s="11"/>
      <c r="N20" s="11"/>
      <c r="O20" s="11"/>
      <c r="P20" s="11"/>
      <c r="Q20" s="10"/>
      <c r="R20" s="11"/>
      <c r="S20" s="10"/>
      <c r="T20" s="10"/>
      <c r="U20" s="10"/>
      <c r="V20" s="11"/>
      <c r="W20" s="10"/>
      <c r="X20" s="10"/>
      <c r="Y20" s="10"/>
      <c r="Z20" s="10"/>
      <c r="AA20" s="10"/>
      <c r="AB20" s="11"/>
      <c r="AC20" s="11"/>
      <c r="AD20" s="11"/>
      <c r="AE20" s="10"/>
      <c r="AF20" s="28">
        <f>SUM(AF18:AF19)</f>
        <v>512000</v>
      </c>
      <c r="AG20" s="11"/>
      <c r="AH20" s="11"/>
      <c r="AI20" s="10"/>
      <c r="AJ20" s="11"/>
      <c r="AK20" s="11"/>
      <c r="AL20" s="11"/>
      <c r="AM20" s="11"/>
      <c r="AN20" s="11"/>
      <c r="AO20" s="11"/>
      <c r="AP20" s="11"/>
      <c r="AQ20" s="11"/>
      <c r="AR20" s="10"/>
      <c r="AS20" s="10"/>
      <c r="AT20" s="10"/>
      <c r="AV20" s="31" t="s">
        <v>4067</v>
      </c>
      <c r="AW20" s="23" t="s">
        <v>4074</v>
      </c>
    </row>
    <row r="21" spans="1:49" x14ac:dyDescent="0.15">
      <c r="A21" s="8" t="s">
        <v>3408</v>
      </c>
      <c r="B21" s="20" t="s">
        <v>3409</v>
      </c>
      <c r="C21" s="10" t="s">
        <v>3410</v>
      </c>
      <c r="D21" s="10" t="s">
        <v>3411</v>
      </c>
      <c r="E21" s="10" t="s">
        <v>51</v>
      </c>
      <c r="F21" s="10" t="s">
        <v>3356</v>
      </c>
      <c r="G21" s="11"/>
      <c r="H21" s="10" t="s">
        <v>552</v>
      </c>
      <c r="I21" s="10" t="s">
        <v>53</v>
      </c>
      <c r="J21" s="10" t="s">
        <v>54</v>
      </c>
      <c r="K21" s="11"/>
      <c r="L21" s="10" t="s">
        <v>3357</v>
      </c>
      <c r="M21" s="11"/>
      <c r="N21" s="11"/>
      <c r="O21" s="11"/>
      <c r="P21" s="11"/>
      <c r="Q21" s="10" t="s">
        <v>361</v>
      </c>
      <c r="R21" s="11"/>
      <c r="S21" s="10" t="s">
        <v>3358</v>
      </c>
      <c r="T21" s="10" t="s">
        <v>3359</v>
      </c>
      <c r="U21" s="10" t="s">
        <v>3360</v>
      </c>
      <c r="V21" s="11"/>
      <c r="W21" s="10" t="s">
        <v>3361</v>
      </c>
      <c r="X21" s="10" t="s">
        <v>80</v>
      </c>
      <c r="Y21" s="10" t="s">
        <v>80</v>
      </c>
      <c r="Z21" s="10" t="s">
        <v>3412</v>
      </c>
      <c r="AA21" s="10" t="s">
        <v>3413</v>
      </c>
      <c r="AB21" s="11"/>
      <c r="AC21" s="11"/>
      <c r="AD21" s="11"/>
      <c r="AE21" s="10" t="s">
        <v>3364</v>
      </c>
      <c r="AF21" s="27">
        <v>2933</v>
      </c>
      <c r="AG21" s="11"/>
      <c r="AH21" s="10" t="s">
        <v>3414</v>
      </c>
      <c r="AI21" s="10" t="s">
        <v>3415</v>
      </c>
      <c r="AJ21" s="10" t="s">
        <v>3416</v>
      </c>
      <c r="AK21" s="10" t="s">
        <v>3396</v>
      </c>
      <c r="AL21" s="11"/>
      <c r="AM21" s="11"/>
      <c r="AN21" s="11"/>
      <c r="AO21" s="11"/>
      <c r="AP21" s="11"/>
      <c r="AQ21" s="11"/>
      <c r="AR21" s="10" t="s">
        <v>3417</v>
      </c>
      <c r="AS21" s="10" t="s">
        <v>66</v>
      </c>
      <c r="AT21" s="10" t="s">
        <v>53</v>
      </c>
    </row>
    <row r="22" spans="1:49" x14ac:dyDescent="0.15">
      <c r="A22" s="8" t="s">
        <v>3418</v>
      </c>
      <c r="B22" s="9" t="s">
        <v>3419</v>
      </c>
      <c r="C22" s="10" t="s">
        <v>3347</v>
      </c>
      <c r="D22" s="10" t="s">
        <v>3420</v>
      </c>
      <c r="E22" s="10" t="s">
        <v>51</v>
      </c>
      <c r="F22" s="10" t="s">
        <v>3356</v>
      </c>
      <c r="G22" s="11"/>
      <c r="H22" s="10" t="s">
        <v>561</v>
      </c>
      <c r="I22" s="10" t="s">
        <v>53</v>
      </c>
      <c r="J22" s="10" t="s">
        <v>54</v>
      </c>
      <c r="K22" s="11"/>
      <c r="L22" s="10" t="s">
        <v>3357</v>
      </c>
      <c r="M22" s="11"/>
      <c r="N22" s="11"/>
      <c r="O22" s="11"/>
      <c r="P22" s="11"/>
      <c r="Q22" s="10" t="s">
        <v>361</v>
      </c>
      <c r="R22" s="11"/>
      <c r="S22" s="10" t="s">
        <v>3358</v>
      </c>
      <c r="T22" s="10" t="s">
        <v>3359</v>
      </c>
      <c r="U22" s="10" t="s">
        <v>3360</v>
      </c>
      <c r="V22" s="11"/>
      <c r="W22" s="10" t="s">
        <v>3361</v>
      </c>
      <c r="X22" s="10" t="s">
        <v>80</v>
      </c>
      <c r="Y22" s="10" t="s">
        <v>80</v>
      </c>
      <c r="Z22" s="10" t="s">
        <v>3421</v>
      </c>
      <c r="AA22" s="10" t="s">
        <v>3422</v>
      </c>
      <c r="AB22" s="11"/>
      <c r="AC22" s="11"/>
      <c r="AD22" s="11"/>
      <c r="AE22" s="10" t="s">
        <v>3364</v>
      </c>
      <c r="AF22" s="27">
        <v>1843</v>
      </c>
      <c r="AG22" s="11"/>
      <c r="AH22" s="10" t="s">
        <v>287</v>
      </c>
      <c r="AI22" s="10" t="s">
        <v>3423</v>
      </c>
      <c r="AJ22" s="10" t="s">
        <v>3424</v>
      </c>
      <c r="AK22" s="10" t="s">
        <v>3396</v>
      </c>
      <c r="AL22" s="11"/>
      <c r="AM22" s="11"/>
      <c r="AN22" s="11"/>
      <c r="AO22" s="11"/>
      <c r="AP22" s="11"/>
      <c r="AQ22" s="11"/>
      <c r="AR22" s="10" t="s">
        <v>3425</v>
      </c>
      <c r="AS22" s="10" t="s">
        <v>66</v>
      </c>
      <c r="AT22" s="10" t="s">
        <v>53</v>
      </c>
    </row>
    <row r="23" spans="1:49" x14ac:dyDescent="0.15">
      <c r="A23" s="8" t="s">
        <v>3426</v>
      </c>
      <c r="B23" s="9" t="s">
        <v>3427</v>
      </c>
      <c r="C23" s="10" t="s">
        <v>1756</v>
      </c>
      <c r="D23" s="10" t="s">
        <v>3428</v>
      </c>
      <c r="E23" s="10" t="s">
        <v>51</v>
      </c>
      <c r="F23" s="10" t="s">
        <v>3356</v>
      </c>
      <c r="G23" s="11"/>
      <c r="H23" s="10" t="s">
        <v>568</v>
      </c>
      <c r="I23" s="10" t="s">
        <v>53</v>
      </c>
      <c r="J23" s="10" t="s">
        <v>54</v>
      </c>
      <c r="K23" s="11"/>
      <c r="L23" s="10" t="s">
        <v>3357</v>
      </c>
      <c r="M23" s="11"/>
      <c r="N23" s="11"/>
      <c r="O23" s="11"/>
      <c r="P23" s="11"/>
      <c r="Q23" s="10" t="s">
        <v>361</v>
      </c>
      <c r="R23" s="11"/>
      <c r="S23" s="10" t="s">
        <v>3358</v>
      </c>
      <c r="T23" s="10" t="s">
        <v>3359</v>
      </c>
      <c r="U23" s="10" t="s">
        <v>3360</v>
      </c>
      <c r="V23" s="11"/>
      <c r="W23" s="10" t="s">
        <v>3361</v>
      </c>
      <c r="X23" s="10" t="s">
        <v>80</v>
      </c>
      <c r="Y23" s="10" t="s">
        <v>80</v>
      </c>
      <c r="Z23" s="10" t="s">
        <v>3429</v>
      </c>
      <c r="AA23" s="10" t="s">
        <v>3430</v>
      </c>
      <c r="AB23" s="11"/>
      <c r="AC23" s="11"/>
      <c r="AD23" s="11"/>
      <c r="AE23" s="10" t="s">
        <v>3364</v>
      </c>
      <c r="AF23" s="27">
        <v>1325</v>
      </c>
      <c r="AG23" s="11"/>
      <c r="AH23" s="10" t="s">
        <v>287</v>
      </c>
      <c r="AI23" s="10" t="s">
        <v>3431</v>
      </c>
      <c r="AJ23" s="10" t="s">
        <v>3407</v>
      </c>
      <c r="AK23" s="10" t="s">
        <v>3396</v>
      </c>
      <c r="AL23" s="11"/>
      <c r="AM23" s="11"/>
      <c r="AN23" s="11"/>
      <c r="AO23" s="11"/>
      <c r="AP23" s="11"/>
      <c r="AQ23" s="11"/>
      <c r="AR23" s="10" t="s">
        <v>3432</v>
      </c>
      <c r="AS23" s="10" t="s">
        <v>66</v>
      </c>
      <c r="AT23" s="10" t="s">
        <v>53</v>
      </c>
    </row>
    <row r="24" spans="1:49" ht="14" x14ac:dyDescent="0.15">
      <c r="A24" s="8"/>
      <c r="B24" s="9"/>
      <c r="C24" s="10"/>
      <c r="D24" s="10"/>
      <c r="E24" s="10"/>
      <c r="F24" s="10"/>
      <c r="G24" s="11"/>
      <c r="H24" s="10"/>
      <c r="I24" s="10"/>
      <c r="J24" s="10"/>
      <c r="K24" s="11"/>
      <c r="L24" s="10"/>
      <c r="M24" s="11"/>
      <c r="N24" s="11"/>
      <c r="O24" s="11"/>
      <c r="P24" s="11"/>
      <c r="Q24" s="10"/>
      <c r="R24" s="11"/>
      <c r="S24" s="10"/>
      <c r="T24" s="10"/>
      <c r="U24" s="10"/>
      <c r="V24" s="11"/>
      <c r="W24" s="10"/>
      <c r="X24" s="10"/>
      <c r="Y24" s="10"/>
      <c r="Z24" s="10"/>
      <c r="AA24" s="10"/>
      <c r="AB24" s="11"/>
      <c r="AC24" s="11"/>
      <c r="AD24" s="11"/>
      <c r="AE24" s="10"/>
      <c r="AF24" s="28">
        <f>SUM(AF21:AF23)</f>
        <v>6101</v>
      </c>
      <c r="AG24" s="11"/>
      <c r="AH24" s="10"/>
      <c r="AI24" s="10"/>
      <c r="AJ24" s="10"/>
      <c r="AK24" s="10"/>
      <c r="AL24" s="11"/>
      <c r="AM24" s="11"/>
      <c r="AN24" s="11"/>
      <c r="AO24" s="11"/>
      <c r="AP24" s="11"/>
      <c r="AQ24" s="11"/>
      <c r="AR24" s="10"/>
      <c r="AS24" s="10"/>
      <c r="AT24" s="10"/>
      <c r="AV24" s="23" t="s">
        <v>4068</v>
      </c>
    </row>
    <row r="25" spans="1:49" x14ac:dyDescent="0.15">
      <c r="A25" s="8" t="s">
        <v>2851</v>
      </c>
      <c r="B25" s="20" t="s">
        <v>2852</v>
      </c>
      <c r="C25" s="10" t="s">
        <v>2853</v>
      </c>
      <c r="D25" s="10" t="s">
        <v>2854</v>
      </c>
      <c r="E25" s="10" t="s">
        <v>51</v>
      </c>
      <c r="F25" s="10" t="s">
        <v>52</v>
      </c>
      <c r="G25" s="11"/>
      <c r="H25" s="10" t="s">
        <v>239</v>
      </c>
      <c r="I25" s="10" t="s">
        <v>53</v>
      </c>
      <c r="J25" s="10" t="s">
        <v>54</v>
      </c>
      <c r="K25" s="11"/>
      <c r="L25" s="10" t="s">
        <v>2855</v>
      </c>
      <c r="M25" s="11"/>
      <c r="N25" s="11"/>
      <c r="O25" s="11"/>
      <c r="P25" s="11"/>
      <c r="Q25" s="10" t="s">
        <v>75</v>
      </c>
      <c r="R25" s="11"/>
      <c r="S25" s="10" t="s">
        <v>2618</v>
      </c>
      <c r="T25" s="10" t="s">
        <v>2619</v>
      </c>
      <c r="U25" s="10" t="s">
        <v>2620</v>
      </c>
      <c r="V25" s="11"/>
      <c r="W25" s="10" t="s">
        <v>2621</v>
      </c>
      <c r="X25" s="10" t="s">
        <v>80</v>
      </c>
      <c r="Y25" s="10" t="s">
        <v>80</v>
      </c>
      <c r="Z25" s="10" t="s">
        <v>2856</v>
      </c>
      <c r="AA25" s="10" t="s">
        <v>2857</v>
      </c>
      <c r="AB25" s="11"/>
      <c r="AC25" s="11"/>
      <c r="AD25" s="11"/>
      <c r="AE25" s="11"/>
      <c r="AF25" s="27">
        <v>378</v>
      </c>
      <c r="AG25" s="11"/>
      <c r="AH25" s="10" t="s">
        <v>2858</v>
      </c>
      <c r="AI25" s="11"/>
      <c r="AJ25" s="11"/>
      <c r="AK25" s="10" t="s">
        <v>2859</v>
      </c>
      <c r="AL25" s="11"/>
      <c r="AM25" s="11"/>
      <c r="AN25" s="11"/>
      <c r="AO25" s="11"/>
      <c r="AP25" s="11"/>
      <c r="AQ25" s="11"/>
      <c r="AR25" s="10" t="s">
        <v>2860</v>
      </c>
      <c r="AS25" s="10" t="s">
        <v>66</v>
      </c>
      <c r="AT25" s="10" t="s">
        <v>53</v>
      </c>
    </row>
    <row r="26" spans="1:49" x14ac:dyDescent="0.15">
      <c r="A26" s="8" t="s">
        <v>2861</v>
      </c>
      <c r="B26" s="9" t="s">
        <v>2862</v>
      </c>
      <c r="C26" s="10" t="s">
        <v>2863</v>
      </c>
      <c r="D26" s="10" t="s">
        <v>2864</v>
      </c>
      <c r="E26" s="10" t="s">
        <v>51</v>
      </c>
      <c r="F26" s="10" t="s">
        <v>52</v>
      </c>
      <c r="G26" s="11"/>
      <c r="H26" s="10" t="s">
        <v>239</v>
      </c>
      <c r="I26" s="10" t="s">
        <v>53</v>
      </c>
      <c r="J26" s="10" t="s">
        <v>54</v>
      </c>
      <c r="K26" s="11"/>
      <c r="L26" s="10" t="s">
        <v>2855</v>
      </c>
      <c r="M26" s="11"/>
      <c r="N26" s="11"/>
      <c r="O26" s="11"/>
      <c r="P26" s="11"/>
      <c r="Q26" s="10" t="s">
        <v>75</v>
      </c>
      <c r="R26" s="11"/>
      <c r="S26" s="10" t="s">
        <v>2618</v>
      </c>
      <c r="T26" s="10" t="s">
        <v>2619</v>
      </c>
      <c r="U26" s="10" t="s">
        <v>2620</v>
      </c>
      <c r="V26" s="11"/>
      <c r="W26" s="10" t="s">
        <v>2621</v>
      </c>
      <c r="X26" s="10" t="s">
        <v>80</v>
      </c>
      <c r="Y26" s="10" t="s">
        <v>80</v>
      </c>
      <c r="Z26" s="10" t="s">
        <v>2865</v>
      </c>
      <c r="AA26" s="10" t="s">
        <v>2866</v>
      </c>
      <c r="AB26" s="11"/>
      <c r="AC26" s="11"/>
      <c r="AD26" s="11"/>
      <c r="AE26" s="11"/>
      <c r="AF26" s="27">
        <v>18</v>
      </c>
      <c r="AG26" s="11"/>
      <c r="AH26" s="10" t="s">
        <v>2867</v>
      </c>
      <c r="AI26" s="11"/>
      <c r="AJ26" s="11"/>
      <c r="AK26" s="10" t="s">
        <v>2868</v>
      </c>
      <c r="AL26" s="11"/>
      <c r="AM26" s="11"/>
      <c r="AN26" s="11"/>
      <c r="AO26" s="11"/>
      <c r="AP26" s="11"/>
      <c r="AQ26" s="11"/>
      <c r="AR26" s="10" t="s">
        <v>2869</v>
      </c>
      <c r="AS26" s="10" t="s">
        <v>66</v>
      </c>
      <c r="AT26" s="10" t="s">
        <v>53</v>
      </c>
    </row>
    <row r="27" spans="1:49" x14ac:dyDescent="0.15">
      <c r="A27" s="8" t="s">
        <v>2870</v>
      </c>
      <c r="B27" s="9" t="s">
        <v>2871</v>
      </c>
      <c r="C27" s="10" t="s">
        <v>2872</v>
      </c>
      <c r="D27" s="10" t="s">
        <v>2873</v>
      </c>
      <c r="E27" s="10" t="s">
        <v>51</v>
      </c>
      <c r="F27" s="10" t="s">
        <v>52</v>
      </c>
      <c r="G27" s="11"/>
      <c r="H27" s="10" t="s">
        <v>239</v>
      </c>
      <c r="I27" s="10" t="s">
        <v>53</v>
      </c>
      <c r="J27" s="10" t="s">
        <v>54</v>
      </c>
      <c r="K27" s="11"/>
      <c r="L27" s="10" t="s">
        <v>2855</v>
      </c>
      <c r="M27" s="11"/>
      <c r="N27" s="11"/>
      <c r="O27" s="11"/>
      <c r="P27" s="11"/>
      <c r="Q27" s="10" t="s">
        <v>75</v>
      </c>
      <c r="R27" s="11"/>
      <c r="S27" s="10" t="s">
        <v>2618</v>
      </c>
      <c r="T27" s="10" t="s">
        <v>2619</v>
      </c>
      <c r="U27" s="10" t="s">
        <v>2620</v>
      </c>
      <c r="V27" s="11"/>
      <c r="W27" s="10" t="s">
        <v>2621</v>
      </c>
      <c r="X27" s="10" t="s">
        <v>80</v>
      </c>
      <c r="Y27" s="10" t="s">
        <v>80</v>
      </c>
      <c r="Z27" s="10" t="s">
        <v>2874</v>
      </c>
      <c r="AA27" s="10" t="s">
        <v>2875</v>
      </c>
      <c r="AB27" s="11"/>
      <c r="AC27" s="11"/>
      <c r="AD27" s="11"/>
      <c r="AE27" s="11"/>
      <c r="AF27" s="27">
        <v>62</v>
      </c>
      <c r="AG27" s="11"/>
      <c r="AH27" s="11"/>
      <c r="AI27" s="11"/>
      <c r="AJ27" s="11"/>
      <c r="AK27" s="10" t="s">
        <v>2876</v>
      </c>
      <c r="AL27" s="11"/>
      <c r="AM27" s="11"/>
      <c r="AN27" s="11"/>
      <c r="AO27" s="11"/>
      <c r="AP27" s="11"/>
      <c r="AQ27" s="11"/>
      <c r="AR27" s="10" t="s">
        <v>2877</v>
      </c>
      <c r="AS27" s="10" t="s">
        <v>66</v>
      </c>
      <c r="AT27" s="10" t="s">
        <v>53</v>
      </c>
    </row>
    <row r="28" spans="1:49" x14ac:dyDescent="0.15">
      <c r="A28" s="8" t="s">
        <v>2945</v>
      </c>
      <c r="B28" s="9" t="s">
        <v>2946</v>
      </c>
      <c r="C28" s="10" t="s">
        <v>2947</v>
      </c>
      <c r="D28" s="10" t="s">
        <v>2948</v>
      </c>
      <c r="E28" s="10" t="s">
        <v>51</v>
      </c>
      <c r="F28" s="10" t="s">
        <v>52</v>
      </c>
      <c r="G28" s="11"/>
      <c r="H28" s="10" t="s">
        <v>72</v>
      </c>
      <c r="I28" s="10" t="s">
        <v>53</v>
      </c>
      <c r="J28" s="10" t="s">
        <v>54</v>
      </c>
      <c r="K28" s="11"/>
      <c r="L28" s="10" t="s">
        <v>2855</v>
      </c>
      <c r="M28" s="11"/>
      <c r="N28" s="11"/>
      <c r="O28" s="11"/>
      <c r="P28" s="11"/>
      <c r="Q28" s="10" t="s">
        <v>75</v>
      </c>
      <c r="R28" s="11"/>
      <c r="S28" s="10" t="s">
        <v>2618</v>
      </c>
      <c r="T28" s="10" t="s">
        <v>2619</v>
      </c>
      <c r="U28" s="10" t="s">
        <v>2620</v>
      </c>
      <c r="V28" s="11"/>
      <c r="W28" s="10" t="s">
        <v>2621</v>
      </c>
      <c r="X28" s="10" t="s">
        <v>80</v>
      </c>
      <c r="Y28" s="10" t="s">
        <v>80</v>
      </c>
      <c r="Z28" s="10" t="s">
        <v>2949</v>
      </c>
      <c r="AA28" s="10" t="s">
        <v>2950</v>
      </c>
      <c r="AB28" s="11"/>
      <c r="AC28" s="11"/>
      <c r="AD28" s="11"/>
      <c r="AE28" s="11"/>
      <c r="AF28" s="27">
        <v>119</v>
      </c>
      <c r="AG28" s="11"/>
      <c r="AH28" s="10" t="s">
        <v>2951</v>
      </c>
      <c r="AI28" s="11"/>
      <c r="AJ28" s="11"/>
      <c r="AK28" s="11"/>
      <c r="AL28" s="11"/>
      <c r="AM28" s="11"/>
      <c r="AN28" s="11"/>
      <c r="AO28" s="11"/>
      <c r="AP28" s="11"/>
      <c r="AQ28" s="11"/>
      <c r="AR28" s="10" t="s">
        <v>2952</v>
      </c>
      <c r="AS28" s="10" t="s">
        <v>66</v>
      </c>
      <c r="AT28" s="10" t="s">
        <v>53</v>
      </c>
    </row>
    <row r="29" spans="1:49" x14ac:dyDescent="0.15">
      <c r="A29" s="8" t="s">
        <v>2953</v>
      </c>
      <c r="B29" s="9" t="s">
        <v>2954</v>
      </c>
      <c r="C29" s="10" t="s">
        <v>2955</v>
      </c>
      <c r="D29" s="10" t="s">
        <v>2956</v>
      </c>
      <c r="E29" s="10" t="s">
        <v>51</v>
      </c>
      <c r="F29" s="10" t="s">
        <v>52</v>
      </c>
      <c r="G29" s="11"/>
      <c r="H29" s="10" t="s">
        <v>72</v>
      </c>
      <c r="I29" s="10" t="s">
        <v>53</v>
      </c>
      <c r="J29" s="10" t="s">
        <v>54</v>
      </c>
      <c r="K29" s="11"/>
      <c r="L29" s="10" t="s">
        <v>2855</v>
      </c>
      <c r="M29" s="11"/>
      <c r="N29" s="11"/>
      <c r="O29" s="11"/>
      <c r="P29" s="11"/>
      <c r="Q29" s="10" t="s">
        <v>75</v>
      </c>
      <c r="R29" s="11"/>
      <c r="S29" s="10" t="s">
        <v>2618</v>
      </c>
      <c r="T29" s="10" t="s">
        <v>2619</v>
      </c>
      <c r="U29" s="10" t="s">
        <v>2620</v>
      </c>
      <c r="V29" s="11"/>
      <c r="W29" s="10" t="s">
        <v>2621</v>
      </c>
      <c r="X29" s="10" t="s">
        <v>80</v>
      </c>
      <c r="Y29" s="10" t="s">
        <v>80</v>
      </c>
      <c r="Z29" s="10" t="s">
        <v>2957</v>
      </c>
      <c r="AA29" s="10" t="s">
        <v>2958</v>
      </c>
      <c r="AB29" s="11"/>
      <c r="AC29" s="11"/>
      <c r="AD29" s="11"/>
      <c r="AE29" s="11"/>
      <c r="AF29" s="27">
        <v>12</v>
      </c>
      <c r="AG29" s="11"/>
      <c r="AH29" s="10" t="s">
        <v>2959</v>
      </c>
      <c r="AI29" s="11"/>
      <c r="AJ29" s="10" t="s">
        <v>2960</v>
      </c>
      <c r="AK29" s="11"/>
      <c r="AL29" s="11"/>
      <c r="AM29" s="11"/>
      <c r="AN29" s="11"/>
      <c r="AO29" s="11"/>
      <c r="AP29" s="11"/>
      <c r="AQ29" s="11"/>
      <c r="AR29" s="10" t="s">
        <v>2961</v>
      </c>
      <c r="AS29" s="10" t="s">
        <v>66</v>
      </c>
      <c r="AT29" s="10" t="s">
        <v>53</v>
      </c>
    </row>
    <row r="30" spans="1:49" x14ac:dyDescent="0.15">
      <c r="A30" s="8" t="s">
        <v>2962</v>
      </c>
      <c r="B30" s="9" t="s">
        <v>2963</v>
      </c>
      <c r="C30" s="10" t="s">
        <v>2964</v>
      </c>
      <c r="D30" s="10" t="s">
        <v>2965</v>
      </c>
      <c r="E30" s="10" t="s">
        <v>51</v>
      </c>
      <c r="F30" s="10" t="s">
        <v>52</v>
      </c>
      <c r="G30" s="11"/>
      <c r="H30" s="10" t="s">
        <v>72</v>
      </c>
      <c r="I30" s="10" t="s">
        <v>53</v>
      </c>
      <c r="J30" s="10" t="s">
        <v>54</v>
      </c>
      <c r="K30" s="11"/>
      <c r="L30" s="10" t="s">
        <v>2855</v>
      </c>
      <c r="M30" s="11"/>
      <c r="N30" s="11"/>
      <c r="O30" s="11"/>
      <c r="P30" s="11"/>
      <c r="Q30" s="10" t="s">
        <v>75</v>
      </c>
      <c r="R30" s="11"/>
      <c r="S30" s="10" t="s">
        <v>2618</v>
      </c>
      <c r="T30" s="10" t="s">
        <v>2619</v>
      </c>
      <c r="U30" s="10" t="s">
        <v>2620</v>
      </c>
      <c r="V30" s="11"/>
      <c r="W30" s="10" t="s">
        <v>2621</v>
      </c>
      <c r="X30" s="10" t="s">
        <v>80</v>
      </c>
      <c r="Y30" s="10" t="s">
        <v>80</v>
      </c>
      <c r="Z30" s="10" t="s">
        <v>2966</v>
      </c>
      <c r="AA30" s="10" t="s">
        <v>2967</v>
      </c>
      <c r="AB30" s="11"/>
      <c r="AC30" s="11"/>
      <c r="AD30" s="11"/>
      <c r="AE30" s="11"/>
      <c r="AF30" s="27">
        <v>170</v>
      </c>
      <c r="AG30" s="11"/>
      <c r="AH30" s="10" t="s">
        <v>2968</v>
      </c>
      <c r="AI30" s="11"/>
      <c r="AJ30" s="11"/>
      <c r="AK30" s="11"/>
      <c r="AL30" s="11"/>
      <c r="AM30" s="11"/>
      <c r="AN30" s="11"/>
      <c r="AO30" s="11"/>
      <c r="AP30" s="11"/>
      <c r="AQ30" s="11"/>
      <c r="AR30" s="10" t="s">
        <v>2969</v>
      </c>
      <c r="AS30" s="10" t="s">
        <v>66</v>
      </c>
      <c r="AT30" s="10" t="s">
        <v>53</v>
      </c>
    </row>
    <row r="31" spans="1:49" x14ac:dyDescent="0.15">
      <c r="A31" s="8" t="s">
        <v>2970</v>
      </c>
      <c r="B31" s="9" t="s">
        <v>2971</v>
      </c>
      <c r="C31" s="10" t="s">
        <v>2972</v>
      </c>
      <c r="D31" s="10" t="s">
        <v>2973</v>
      </c>
      <c r="E31" s="10" t="s">
        <v>51</v>
      </c>
      <c r="F31" s="10" t="s">
        <v>52</v>
      </c>
      <c r="G31" s="11"/>
      <c r="H31" s="10" t="s">
        <v>72</v>
      </c>
      <c r="I31" s="10" t="s">
        <v>53</v>
      </c>
      <c r="J31" s="10" t="s">
        <v>54</v>
      </c>
      <c r="K31" s="11"/>
      <c r="L31" s="10" t="s">
        <v>2855</v>
      </c>
      <c r="M31" s="11"/>
      <c r="N31" s="11"/>
      <c r="O31" s="11"/>
      <c r="P31" s="11"/>
      <c r="Q31" s="10" t="s">
        <v>75</v>
      </c>
      <c r="R31" s="11"/>
      <c r="S31" s="10" t="s">
        <v>2618</v>
      </c>
      <c r="T31" s="10" t="s">
        <v>2619</v>
      </c>
      <c r="U31" s="10" t="s">
        <v>2620</v>
      </c>
      <c r="V31" s="11"/>
      <c r="W31" s="10" t="s">
        <v>2621</v>
      </c>
      <c r="X31" s="10" t="s">
        <v>80</v>
      </c>
      <c r="Y31" s="10" t="s">
        <v>80</v>
      </c>
      <c r="Z31" s="10" t="s">
        <v>2974</v>
      </c>
      <c r="AA31" s="10" t="s">
        <v>2975</v>
      </c>
      <c r="AB31" s="11"/>
      <c r="AC31" s="11"/>
      <c r="AD31" s="11"/>
      <c r="AE31" s="11"/>
      <c r="AF31" s="27">
        <v>116</v>
      </c>
      <c r="AG31" s="11"/>
      <c r="AH31" s="11"/>
      <c r="AI31" s="11"/>
      <c r="AJ31" s="11"/>
      <c r="AK31" s="11"/>
      <c r="AL31" s="11"/>
      <c r="AM31" s="11"/>
      <c r="AN31" s="11"/>
      <c r="AO31" s="11"/>
      <c r="AP31" s="11"/>
      <c r="AQ31" s="11"/>
      <c r="AR31" s="10" t="s">
        <v>2976</v>
      </c>
      <c r="AS31" s="10" t="s">
        <v>66</v>
      </c>
      <c r="AT31" s="10" t="s">
        <v>53</v>
      </c>
    </row>
    <row r="32" spans="1:49" x14ac:dyDescent="0.15">
      <c r="A32" s="8" t="s">
        <v>2977</v>
      </c>
      <c r="B32" s="9" t="s">
        <v>2978</v>
      </c>
      <c r="C32" s="10" t="s">
        <v>2979</v>
      </c>
      <c r="D32" s="10" t="s">
        <v>2980</v>
      </c>
      <c r="E32" s="10" t="s">
        <v>51</v>
      </c>
      <c r="F32" s="10" t="s">
        <v>52</v>
      </c>
      <c r="G32" s="11"/>
      <c r="H32" s="10" t="s">
        <v>229</v>
      </c>
      <c r="I32" s="10" t="s">
        <v>53</v>
      </c>
      <c r="J32" s="10" t="s">
        <v>54</v>
      </c>
      <c r="K32" s="11"/>
      <c r="L32" s="10" t="s">
        <v>2855</v>
      </c>
      <c r="M32" s="11"/>
      <c r="N32" s="11"/>
      <c r="O32" s="11"/>
      <c r="P32" s="11"/>
      <c r="Q32" s="10" t="s">
        <v>75</v>
      </c>
      <c r="R32" s="11"/>
      <c r="S32" s="10" t="s">
        <v>2618</v>
      </c>
      <c r="T32" s="10" t="s">
        <v>2619</v>
      </c>
      <c r="U32" s="10" t="s">
        <v>2620</v>
      </c>
      <c r="V32" s="11"/>
      <c r="W32" s="10" t="s">
        <v>2621</v>
      </c>
      <c r="X32" s="10" t="s">
        <v>80</v>
      </c>
      <c r="Y32" s="10" t="s">
        <v>80</v>
      </c>
      <c r="Z32" s="10" t="s">
        <v>2981</v>
      </c>
      <c r="AA32" s="10" t="s">
        <v>2982</v>
      </c>
      <c r="AB32" s="11"/>
      <c r="AC32" s="11"/>
      <c r="AD32" s="11"/>
      <c r="AE32" s="11"/>
      <c r="AF32" s="27">
        <v>94</v>
      </c>
      <c r="AG32" s="11"/>
      <c r="AH32" s="10" t="s">
        <v>2983</v>
      </c>
      <c r="AI32" s="11"/>
      <c r="AJ32" s="10" t="s">
        <v>2984</v>
      </c>
      <c r="AK32" s="10" t="s">
        <v>2985</v>
      </c>
      <c r="AL32" s="11"/>
      <c r="AM32" s="11"/>
      <c r="AN32" s="11"/>
      <c r="AO32" s="11"/>
      <c r="AP32" s="11"/>
      <c r="AQ32" s="11"/>
      <c r="AR32" s="10" t="s">
        <v>2986</v>
      </c>
      <c r="AS32" s="10" t="s">
        <v>66</v>
      </c>
      <c r="AT32" s="10" t="s">
        <v>53</v>
      </c>
    </row>
    <row r="33" spans="1:46" x14ac:dyDescent="0.15">
      <c r="A33" s="8" t="s">
        <v>2987</v>
      </c>
      <c r="B33" s="9" t="s">
        <v>2988</v>
      </c>
      <c r="C33" s="10" t="s">
        <v>2989</v>
      </c>
      <c r="D33" s="10" t="s">
        <v>2990</v>
      </c>
      <c r="E33" s="10" t="s">
        <v>51</v>
      </c>
      <c r="F33" s="10" t="s">
        <v>52</v>
      </c>
      <c r="G33" s="11"/>
      <c r="H33" s="10" t="s">
        <v>229</v>
      </c>
      <c r="I33" s="10" t="s">
        <v>53</v>
      </c>
      <c r="J33" s="10" t="s">
        <v>54</v>
      </c>
      <c r="K33" s="11"/>
      <c r="L33" s="10" t="s">
        <v>2855</v>
      </c>
      <c r="M33" s="11"/>
      <c r="N33" s="11"/>
      <c r="O33" s="11"/>
      <c r="P33" s="11"/>
      <c r="Q33" s="10" t="s">
        <v>75</v>
      </c>
      <c r="R33" s="11"/>
      <c r="S33" s="10" t="s">
        <v>2618</v>
      </c>
      <c r="T33" s="10" t="s">
        <v>2619</v>
      </c>
      <c r="U33" s="10" t="s">
        <v>2620</v>
      </c>
      <c r="V33" s="11"/>
      <c r="W33" s="10" t="s">
        <v>2621</v>
      </c>
      <c r="X33" s="10" t="s">
        <v>80</v>
      </c>
      <c r="Y33" s="10" t="s">
        <v>80</v>
      </c>
      <c r="Z33" s="10" t="s">
        <v>2991</v>
      </c>
      <c r="AA33" s="10" t="s">
        <v>2992</v>
      </c>
      <c r="AB33" s="11"/>
      <c r="AC33" s="11"/>
      <c r="AD33" s="11"/>
      <c r="AE33" s="11"/>
      <c r="AF33" s="27">
        <v>1097</v>
      </c>
      <c r="AG33" s="11"/>
      <c r="AH33" s="10" t="s">
        <v>2993</v>
      </c>
      <c r="AI33" s="11"/>
      <c r="AJ33" s="11"/>
      <c r="AK33" s="11"/>
      <c r="AL33" s="11"/>
      <c r="AM33" s="11"/>
      <c r="AN33" s="11"/>
      <c r="AO33" s="11"/>
      <c r="AP33" s="11"/>
      <c r="AQ33" s="11"/>
      <c r="AR33" s="10" t="s">
        <v>2994</v>
      </c>
      <c r="AS33" s="10" t="s">
        <v>66</v>
      </c>
      <c r="AT33" s="10" t="s">
        <v>53</v>
      </c>
    </row>
    <row r="34" spans="1:46" x14ac:dyDescent="0.15">
      <c r="A34" s="8" t="s">
        <v>2995</v>
      </c>
      <c r="B34" s="9" t="s">
        <v>2996</v>
      </c>
      <c r="C34" s="10" t="s">
        <v>2997</v>
      </c>
      <c r="D34" s="10" t="s">
        <v>2998</v>
      </c>
      <c r="E34" s="10" t="s">
        <v>51</v>
      </c>
      <c r="F34" s="10" t="s">
        <v>52</v>
      </c>
      <c r="G34" s="11"/>
      <c r="H34" s="10" t="s">
        <v>229</v>
      </c>
      <c r="I34" s="10" t="s">
        <v>53</v>
      </c>
      <c r="J34" s="10" t="s">
        <v>54</v>
      </c>
      <c r="K34" s="11"/>
      <c r="L34" s="10" t="s">
        <v>2855</v>
      </c>
      <c r="M34" s="11"/>
      <c r="N34" s="11"/>
      <c r="O34" s="11"/>
      <c r="P34" s="11"/>
      <c r="Q34" s="10" t="s">
        <v>75</v>
      </c>
      <c r="R34" s="11"/>
      <c r="S34" s="10" t="s">
        <v>2618</v>
      </c>
      <c r="T34" s="10" t="s">
        <v>2619</v>
      </c>
      <c r="U34" s="10" t="s">
        <v>2620</v>
      </c>
      <c r="V34" s="11"/>
      <c r="W34" s="10" t="s">
        <v>2621</v>
      </c>
      <c r="X34" s="10" t="s">
        <v>80</v>
      </c>
      <c r="Y34" s="10" t="s">
        <v>80</v>
      </c>
      <c r="Z34" s="10" t="s">
        <v>2999</v>
      </c>
      <c r="AA34" s="10" t="s">
        <v>3000</v>
      </c>
      <c r="AB34" s="11"/>
      <c r="AC34" s="11"/>
      <c r="AD34" s="11"/>
      <c r="AE34" s="11"/>
      <c r="AF34" s="27">
        <v>21</v>
      </c>
      <c r="AG34" s="11"/>
      <c r="AH34" s="10" t="s">
        <v>3001</v>
      </c>
      <c r="AI34" s="11"/>
      <c r="AJ34" s="11"/>
      <c r="AK34" s="10" t="s">
        <v>3002</v>
      </c>
      <c r="AL34" s="11"/>
      <c r="AM34" s="11"/>
      <c r="AN34" s="11"/>
      <c r="AO34" s="11"/>
      <c r="AP34" s="11"/>
      <c r="AQ34" s="11"/>
      <c r="AR34" s="10" t="s">
        <v>3003</v>
      </c>
      <c r="AS34" s="10" t="s">
        <v>66</v>
      </c>
      <c r="AT34" s="10" t="s">
        <v>53</v>
      </c>
    </row>
    <row r="35" spans="1:46" x14ac:dyDescent="0.15">
      <c r="A35" s="8" t="s">
        <v>3004</v>
      </c>
      <c r="B35" s="9" t="s">
        <v>3005</v>
      </c>
      <c r="C35" s="10" t="s">
        <v>3006</v>
      </c>
      <c r="D35" s="10" t="s">
        <v>3007</v>
      </c>
      <c r="E35" s="10" t="s">
        <v>51</v>
      </c>
      <c r="F35" s="10" t="s">
        <v>52</v>
      </c>
      <c r="G35" s="11"/>
      <c r="H35" s="10" t="s">
        <v>552</v>
      </c>
      <c r="I35" s="10" t="s">
        <v>53</v>
      </c>
      <c r="J35" s="10" t="s">
        <v>54</v>
      </c>
      <c r="K35" s="11"/>
      <c r="L35" s="10" t="s">
        <v>2855</v>
      </c>
      <c r="M35" s="11"/>
      <c r="N35" s="11"/>
      <c r="O35" s="11"/>
      <c r="P35" s="11"/>
      <c r="Q35" s="10" t="s">
        <v>75</v>
      </c>
      <c r="R35" s="11"/>
      <c r="S35" s="10" t="s">
        <v>2618</v>
      </c>
      <c r="T35" s="10" t="s">
        <v>2619</v>
      </c>
      <c r="U35" s="10" t="s">
        <v>2620</v>
      </c>
      <c r="V35" s="11"/>
      <c r="W35" s="10" t="s">
        <v>2621</v>
      </c>
      <c r="X35" s="10" t="s">
        <v>80</v>
      </c>
      <c r="Y35" s="10" t="s">
        <v>80</v>
      </c>
      <c r="Z35" s="10" t="s">
        <v>3008</v>
      </c>
      <c r="AA35" s="10" t="s">
        <v>3009</v>
      </c>
      <c r="AB35" s="11"/>
      <c r="AC35" s="11"/>
      <c r="AD35" s="11"/>
      <c r="AE35" s="11"/>
      <c r="AF35" s="27">
        <v>28</v>
      </c>
      <c r="AG35" s="11"/>
      <c r="AH35" s="10" t="s">
        <v>3010</v>
      </c>
      <c r="AI35" s="11"/>
      <c r="AJ35" s="11"/>
      <c r="AK35" s="10" t="s">
        <v>3011</v>
      </c>
      <c r="AL35" s="11"/>
      <c r="AM35" s="11"/>
      <c r="AN35" s="11"/>
      <c r="AO35" s="11"/>
      <c r="AP35" s="11"/>
      <c r="AQ35" s="11"/>
      <c r="AR35" s="10" t="s">
        <v>3012</v>
      </c>
      <c r="AS35" s="10" t="s">
        <v>66</v>
      </c>
      <c r="AT35" s="10" t="s">
        <v>53</v>
      </c>
    </row>
    <row r="36" spans="1:46" x14ac:dyDescent="0.15">
      <c r="A36" s="8" t="s">
        <v>3013</v>
      </c>
      <c r="B36" s="9" t="s">
        <v>3014</v>
      </c>
      <c r="C36" s="10" t="s">
        <v>3015</v>
      </c>
      <c r="D36" s="10" t="s">
        <v>3016</v>
      </c>
      <c r="E36" s="10" t="s">
        <v>51</v>
      </c>
      <c r="F36" s="10" t="s">
        <v>52</v>
      </c>
      <c r="G36" s="11"/>
      <c r="H36" s="10" t="s">
        <v>552</v>
      </c>
      <c r="I36" s="10" t="s">
        <v>53</v>
      </c>
      <c r="J36" s="10" t="s">
        <v>54</v>
      </c>
      <c r="K36" s="11"/>
      <c r="L36" s="10" t="s">
        <v>2855</v>
      </c>
      <c r="M36" s="11"/>
      <c r="N36" s="11"/>
      <c r="O36" s="11"/>
      <c r="P36" s="11"/>
      <c r="Q36" s="10" t="s">
        <v>75</v>
      </c>
      <c r="R36" s="11"/>
      <c r="S36" s="10" t="s">
        <v>2618</v>
      </c>
      <c r="T36" s="10" t="s">
        <v>2619</v>
      </c>
      <c r="U36" s="10" t="s">
        <v>2620</v>
      </c>
      <c r="V36" s="11"/>
      <c r="W36" s="10" t="s">
        <v>2621</v>
      </c>
      <c r="X36" s="10" t="s">
        <v>80</v>
      </c>
      <c r="Y36" s="10" t="s">
        <v>80</v>
      </c>
      <c r="Z36" s="10" t="s">
        <v>3017</v>
      </c>
      <c r="AA36" s="10" t="s">
        <v>3018</v>
      </c>
      <c r="AB36" s="11"/>
      <c r="AC36" s="11"/>
      <c r="AD36" s="11"/>
      <c r="AE36" s="11"/>
      <c r="AF36" s="27">
        <v>774</v>
      </c>
      <c r="AG36" s="11"/>
      <c r="AH36" s="10" t="s">
        <v>3019</v>
      </c>
      <c r="AI36" s="11"/>
      <c r="AJ36" s="11"/>
      <c r="AK36" s="11"/>
      <c r="AL36" s="11"/>
      <c r="AM36" s="11"/>
      <c r="AN36" s="11"/>
      <c r="AO36" s="11"/>
      <c r="AP36" s="11"/>
      <c r="AQ36" s="11"/>
      <c r="AR36" s="10" t="s">
        <v>3020</v>
      </c>
      <c r="AS36" s="10" t="s">
        <v>66</v>
      </c>
      <c r="AT36" s="10" t="s">
        <v>53</v>
      </c>
    </row>
    <row r="37" spans="1:46" x14ac:dyDescent="0.15">
      <c r="A37" s="8" t="s">
        <v>3021</v>
      </c>
      <c r="B37" s="9" t="s">
        <v>3022</v>
      </c>
      <c r="C37" s="10" t="s">
        <v>3023</v>
      </c>
      <c r="D37" s="10" t="s">
        <v>3024</v>
      </c>
      <c r="E37" s="10" t="s">
        <v>51</v>
      </c>
      <c r="F37" s="10" t="s">
        <v>52</v>
      </c>
      <c r="G37" s="11"/>
      <c r="H37" s="10" t="s">
        <v>239</v>
      </c>
      <c r="I37" s="10" t="s">
        <v>53</v>
      </c>
      <c r="J37" s="10" t="s">
        <v>54</v>
      </c>
      <c r="K37" s="11"/>
      <c r="L37" s="10" t="s">
        <v>2855</v>
      </c>
      <c r="M37" s="11"/>
      <c r="N37" s="11"/>
      <c r="O37" s="11"/>
      <c r="P37" s="11"/>
      <c r="Q37" s="10" t="s">
        <v>75</v>
      </c>
      <c r="R37" s="11"/>
      <c r="S37" s="10" t="s">
        <v>2618</v>
      </c>
      <c r="T37" s="10" t="s">
        <v>2619</v>
      </c>
      <c r="U37" s="10" t="s">
        <v>2620</v>
      </c>
      <c r="V37" s="11"/>
      <c r="W37" s="10" t="s">
        <v>2621</v>
      </c>
      <c r="X37" s="10" t="s">
        <v>80</v>
      </c>
      <c r="Y37" s="10" t="s">
        <v>80</v>
      </c>
      <c r="Z37" s="10" t="s">
        <v>3025</v>
      </c>
      <c r="AA37" s="10" t="s">
        <v>3026</v>
      </c>
      <c r="AB37" s="11"/>
      <c r="AC37" s="11"/>
      <c r="AD37" s="11"/>
      <c r="AE37" s="11"/>
      <c r="AF37" s="27">
        <v>64</v>
      </c>
      <c r="AG37" s="11"/>
      <c r="AH37" s="11"/>
      <c r="AI37" s="11"/>
      <c r="AJ37" s="11"/>
      <c r="AK37" s="11"/>
      <c r="AL37" s="11"/>
      <c r="AM37" s="11"/>
      <c r="AN37" s="11"/>
      <c r="AO37" s="11"/>
      <c r="AP37" s="11"/>
      <c r="AQ37" s="11"/>
      <c r="AR37" s="10" t="s">
        <v>3027</v>
      </c>
      <c r="AS37" s="10" t="s">
        <v>66</v>
      </c>
      <c r="AT37" s="10" t="s">
        <v>53</v>
      </c>
    </row>
    <row r="38" spans="1:46" x14ac:dyDescent="0.15">
      <c r="A38" s="8" t="s">
        <v>3028</v>
      </c>
      <c r="B38" s="9" t="s">
        <v>3029</v>
      </c>
      <c r="C38" s="10" t="s">
        <v>3030</v>
      </c>
      <c r="D38" s="10" t="s">
        <v>3031</v>
      </c>
      <c r="E38" s="10" t="s">
        <v>51</v>
      </c>
      <c r="F38" s="10" t="s">
        <v>52</v>
      </c>
      <c r="G38" s="11"/>
      <c r="H38" s="10" t="s">
        <v>239</v>
      </c>
      <c r="I38" s="10" t="s">
        <v>53</v>
      </c>
      <c r="J38" s="10" t="s">
        <v>54</v>
      </c>
      <c r="K38" s="11"/>
      <c r="L38" s="10" t="s">
        <v>2855</v>
      </c>
      <c r="M38" s="11"/>
      <c r="N38" s="11"/>
      <c r="O38" s="11"/>
      <c r="P38" s="11"/>
      <c r="Q38" s="10" t="s">
        <v>75</v>
      </c>
      <c r="R38" s="11"/>
      <c r="S38" s="10" t="s">
        <v>2618</v>
      </c>
      <c r="T38" s="10" t="s">
        <v>2619</v>
      </c>
      <c r="U38" s="10" t="s">
        <v>2620</v>
      </c>
      <c r="V38" s="11"/>
      <c r="W38" s="10" t="s">
        <v>2621</v>
      </c>
      <c r="X38" s="10" t="s">
        <v>80</v>
      </c>
      <c r="Y38" s="10" t="s">
        <v>80</v>
      </c>
      <c r="Z38" s="10" t="s">
        <v>3032</v>
      </c>
      <c r="AA38" s="10" t="s">
        <v>3033</v>
      </c>
      <c r="AB38" s="11"/>
      <c r="AC38" s="11"/>
      <c r="AD38" s="11"/>
      <c r="AE38" s="11"/>
      <c r="AF38" s="27">
        <v>377</v>
      </c>
      <c r="AG38" s="11"/>
      <c r="AH38" s="10" t="s">
        <v>3034</v>
      </c>
      <c r="AI38" s="11"/>
      <c r="AJ38" s="11"/>
      <c r="AK38" s="10" t="s">
        <v>3035</v>
      </c>
      <c r="AL38" s="11"/>
      <c r="AM38" s="11"/>
      <c r="AN38" s="11"/>
      <c r="AO38" s="11"/>
      <c r="AP38" s="11"/>
      <c r="AQ38" s="11"/>
      <c r="AR38" s="10" t="s">
        <v>3036</v>
      </c>
      <c r="AS38" s="10" t="s">
        <v>66</v>
      </c>
      <c r="AT38" s="10" t="s">
        <v>53</v>
      </c>
    </row>
    <row r="39" spans="1:46" x14ac:dyDescent="0.15">
      <c r="A39" s="8" t="s">
        <v>3037</v>
      </c>
      <c r="B39" s="9" t="s">
        <v>3038</v>
      </c>
      <c r="C39" s="10" t="s">
        <v>3039</v>
      </c>
      <c r="D39" s="10" t="s">
        <v>3040</v>
      </c>
      <c r="E39" s="10" t="s">
        <v>51</v>
      </c>
      <c r="F39" s="10" t="s">
        <v>52</v>
      </c>
      <c r="G39" s="11"/>
      <c r="H39" s="10" t="s">
        <v>1683</v>
      </c>
      <c r="I39" s="10" t="s">
        <v>53</v>
      </c>
      <c r="J39" s="10" t="s">
        <v>54</v>
      </c>
      <c r="K39" s="11"/>
      <c r="L39" s="10" t="s">
        <v>2855</v>
      </c>
      <c r="M39" s="11"/>
      <c r="N39" s="11"/>
      <c r="O39" s="11"/>
      <c r="P39" s="11"/>
      <c r="Q39" s="10" t="s">
        <v>75</v>
      </c>
      <c r="R39" s="11"/>
      <c r="S39" s="10" t="s">
        <v>2618</v>
      </c>
      <c r="T39" s="10" t="s">
        <v>2619</v>
      </c>
      <c r="U39" s="10" t="s">
        <v>2620</v>
      </c>
      <c r="V39" s="11"/>
      <c r="W39" s="10" t="s">
        <v>2621</v>
      </c>
      <c r="X39" s="10" t="s">
        <v>80</v>
      </c>
      <c r="Y39" s="10" t="s">
        <v>80</v>
      </c>
      <c r="Z39" s="10" t="s">
        <v>3041</v>
      </c>
      <c r="AA39" s="10" t="s">
        <v>3042</v>
      </c>
      <c r="AB39" s="11"/>
      <c r="AC39" s="11"/>
      <c r="AD39" s="11"/>
      <c r="AE39" s="11"/>
      <c r="AF39" s="27">
        <v>99</v>
      </c>
      <c r="AG39" s="11"/>
      <c r="AH39" s="11"/>
      <c r="AI39" s="11"/>
      <c r="AJ39" s="10" t="s">
        <v>3043</v>
      </c>
      <c r="AK39" s="10" t="s">
        <v>3044</v>
      </c>
      <c r="AL39" s="11"/>
      <c r="AM39" s="11"/>
      <c r="AN39" s="11"/>
      <c r="AO39" s="11"/>
      <c r="AP39" s="11"/>
      <c r="AQ39" s="11"/>
      <c r="AR39" s="10" t="s">
        <v>3045</v>
      </c>
      <c r="AS39" s="10" t="s">
        <v>66</v>
      </c>
      <c r="AT39" s="10" t="s">
        <v>53</v>
      </c>
    </row>
    <row r="40" spans="1:46" x14ac:dyDescent="0.15">
      <c r="A40" s="8" t="s">
        <v>3046</v>
      </c>
      <c r="B40" s="9" t="s">
        <v>3047</v>
      </c>
      <c r="C40" s="10" t="s">
        <v>3048</v>
      </c>
      <c r="D40" s="10" t="s">
        <v>3049</v>
      </c>
      <c r="E40" s="10" t="s">
        <v>51</v>
      </c>
      <c r="F40" s="10" t="s">
        <v>52</v>
      </c>
      <c r="G40" s="11"/>
      <c r="H40" s="10" t="s">
        <v>1683</v>
      </c>
      <c r="I40" s="10" t="s">
        <v>53</v>
      </c>
      <c r="J40" s="10" t="s">
        <v>54</v>
      </c>
      <c r="K40" s="11"/>
      <c r="L40" s="10" t="s">
        <v>2855</v>
      </c>
      <c r="M40" s="11"/>
      <c r="N40" s="11"/>
      <c r="O40" s="11"/>
      <c r="P40" s="11"/>
      <c r="Q40" s="10" t="s">
        <v>75</v>
      </c>
      <c r="R40" s="11"/>
      <c r="S40" s="10" t="s">
        <v>2618</v>
      </c>
      <c r="T40" s="10" t="s">
        <v>2619</v>
      </c>
      <c r="U40" s="10" t="s">
        <v>2620</v>
      </c>
      <c r="V40" s="11"/>
      <c r="W40" s="10" t="s">
        <v>2621</v>
      </c>
      <c r="X40" s="10" t="s">
        <v>80</v>
      </c>
      <c r="Y40" s="10" t="s">
        <v>80</v>
      </c>
      <c r="Z40" s="10" t="s">
        <v>3050</v>
      </c>
      <c r="AA40" s="10" t="s">
        <v>3051</v>
      </c>
      <c r="AB40" s="11"/>
      <c r="AC40" s="11"/>
      <c r="AD40" s="11"/>
      <c r="AE40" s="11"/>
      <c r="AF40" s="27">
        <v>7362</v>
      </c>
      <c r="AG40" s="11"/>
      <c r="AH40" s="11"/>
      <c r="AI40" s="11"/>
      <c r="AJ40" s="10" t="s">
        <v>3052</v>
      </c>
      <c r="AK40" s="11"/>
      <c r="AL40" s="11"/>
      <c r="AM40" s="11"/>
      <c r="AN40" s="11"/>
      <c r="AO40" s="11"/>
      <c r="AP40" s="11"/>
      <c r="AQ40" s="11"/>
      <c r="AR40" s="10" t="s">
        <v>3053</v>
      </c>
      <c r="AS40" s="10" t="s">
        <v>66</v>
      </c>
      <c r="AT40" s="10" t="s">
        <v>53</v>
      </c>
    </row>
    <row r="41" spans="1:46" x14ac:dyDescent="0.15">
      <c r="A41" s="8" t="s">
        <v>3054</v>
      </c>
      <c r="B41" s="9" t="s">
        <v>3055</v>
      </c>
      <c r="C41" s="10" t="s">
        <v>3056</v>
      </c>
      <c r="D41" s="10" t="s">
        <v>3057</v>
      </c>
      <c r="E41" s="10" t="s">
        <v>51</v>
      </c>
      <c r="F41" s="10" t="s">
        <v>52</v>
      </c>
      <c r="G41" s="11"/>
      <c r="H41" s="10" t="s">
        <v>561</v>
      </c>
      <c r="I41" s="10" t="s">
        <v>53</v>
      </c>
      <c r="J41" s="10" t="s">
        <v>54</v>
      </c>
      <c r="K41" s="11"/>
      <c r="L41" s="10" t="s">
        <v>2855</v>
      </c>
      <c r="M41" s="11"/>
      <c r="N41" s="11"/>
      <c r="O41" s="11"/>
      <c r="P41" s="11"/>
      <c r="Q41" s="10" t="s">
        <v>75</v>
      </c>
      <c r="R41" s="11"/>
      <c r="S41" s="10" t="s">
        <v>2618</v>
      </c>
      <c r="T41" s="10" t="s">
        <v>2619</v>
      </c>
      <c r="U41" s="10" t="s">
        <v>2620</v>
      </c>
      <c r="V41" s="11"/>
      <c r="W41" s="10" t="s">
        <v>2621</v>
      </c>
      <c r="X41" s="10" t="s">
        <v>80</v>
      </c>
      <c r="Y41" s="10" t="s">
        <v>80</v>
      </c>
      <c r="Z41" s="10" t="s">
        <v>3058</v>
      </c>
      <c r="AA41" s="10" t="s">
        <v>3059</v>
      </c>
      <c r="AB41" s="11"/>
      <c r="AC41" s="11"/>
      <c r="AD41" s="11"/>
      <c r="AE41" s="11"/>
      <c r="AF41" s="27">
        <v>108</v>
      </c>
      <c r="AG41" s="11"/>
      <c r="AH41" s="11"/>
      <c r="AI41" s="11"/>
      <c r="AJ41" s="11"/>
      <c r="AK41" s="10" t="s">
        <v>3060</v>
      </c>
      <c r="AL41" s="11"/>
      <c r="AM41" s="11"/>
      <c r="AN41" s="11"/>
      <c r="AO41" s="11"/>
      <c r="AP41" s="11"/>
      <c r="AQ41" s="11"/>
      <c r="AR41" s="10" t="s">
        <v>3061</v>
      </c>
      <c r="AS41" s="10" t="s">
        <v>66</v>
      </c>
      <c r="AT41" s="10" t="s">
        <v>53</v>
      </c>
    </row>
    <row r="42" spans="1:46" x14ac:dyDescent="0.15">
      <c r="A42" s="8" t="s">
        <v>3062</v>
      </c>
      <c r="B42" s="9" t="s">
        <v>3063</v>
      </c>
      <c r="C42" s="10" t="s">
        <v>3064</v>
      </c>
      <c r="D42" s="10" t="s">
        <v>3065</v>
      </c>
      <c r="E42" s="10" t="s">
        <v>51</v>
      </c>
      <c r="F42" s="10" t="s">
        <v>52</v>
      </c>
      <c r="G42" s="11"/>
      <c r="H42" s="10" t="s">
        <v>561</v>
      </c>
      <c r="I42" s="10" t="s">
        <v>53</v>
      </c>
      <c r="J42" s="10" t="s">
        <v>54</v>
      </c>
      <c r="K42" s="11"/>
      <c r="L42" s="10" t="s">
        <v>2855</v>
      </c>
      <c r="M42" s="11"/>
      <c r="N42" s="11"/>
      <c r="O42" s="11"/>
      <c r="P42" s="11"/>
      <c r="Q42" s="10" t="s">
        <v>75</v>
      </c>
      <c r="R42" s="11"/>
      <c r="S42" s="10" t="s">
        <v>2618</v>
      </c>
      <c r="T42" s="10" t="s">
        <v>2619</v>
      </c>
      <c r="U42" s="10" t="s">
        <v>2620</v>
      </c>
      <c r="V42" s="11"/>
      <c r="W42" s="10" t="s">
        <v>2621</v>
      </c>
      <c r="X42" s="10" t="s">
        <v>80</v>
      </c>
      <c r="Y42" s="10" t="s">
        <v>80</v>
      </c>
      <c r="Z42" s="10" t="s">
        <v>3066</v>
      </c>
      <c r="AA42" s="10" t="s">
        <v>3067</v>
      </c>
      <c r="AB42" s="11"/>
      <c r="AC42" s="11"/>
      <c r="AD42" s="11"/>
      <c r="AE42" s="11"/>
      <c r="AF42" s="27">
        <v>1107</v>
      </c>
      <c r="AG42" s="11"/>
      <c r="AH42" s="11"/>
      <c r="AI42" s="11"/>
      <c r="AJ42" s="11"/>
      <c r="AK42" s="11"/>
      <c r="AL42" s="11"/>
      <c r="AM42" s="11"/>
      <c r="AN42" s="11"/>
      <c r="AO42" s="11"/>
      <c r="AP42" s="11"/>
      <c r="AQ42" s="11"/>
      <c r="AR42" s="10" t="s">
        <v>3068</v>
      </c>
      <c r="AS42" s="10" t="s">
        <v>66</v>
      </c>
      <c r="AT42" s="10" t="s">
        <v>53</v>
      </c>
    </row>
    <row r="43" spans="1:46" x14ac:dyDescent="0.15">
      <c r="A43" s="8" t="s">
        <v>3069</v>
      </c>
      <c r="B43" s="9" t="s">
        <v>3070</v>
      </c>
      <c r="C43" s="10" t="s">
        <v>3071</v>
      </c>
      <c r="D43" s="10" t="s">
        <v>3072</v>
      </c>
      <c r="E43" s="10" t="s">
        <v>51</v>
      </c>
      <c r="F43" s="10" t="s">
        <v>52</v>
      </c>
      <c r="G43" s="11"/>
      <c r="H43" s="10" t="s">
        <v>1683</v>
      </c>
      <c r="I43" s="10" t="s">
        <v>53</v>
      </c>
      <c r="J43" s="10" t="s">
        <v>54</v>
      </c>
      <c r="K43" s="11"/>
      <c r="L43" s="10" t="s">
        <v>2855</v>
      </c>
      <c r="M43" s="11"/>
      <c r="N43" s="11"/>
      <c r="O43" s="11"/>
      <c r="P43" s="11"/>
      <c r="Q43" s="10" t="s">
        <v>75</v>
      </c>
      <c r="R43" s="11"/>
      <c r="S43" s="10" t="s">
        <v>2618</v>
      </c>
      <c r="T43" s="10" t="s">
        <v>2619</v>
      </c>
      <c r="U43" s="10" t="s">
        <v>2620</v>
      </c>
      <c r="V43" s="11"/>
      <c r="W43" s="10" t="s">
        <v>2621</v>
      </c>
      <c r="X43" s="10" t="s">
        <v>80</v>
      </c>
      <c r="Y43" s="10" t="s">
        <v>80</v>
      </c>
      <c r="Z43" s="10" t="s">
        <v>3073</v>
      </c>
      <c r="AA43" s="10" t="s">
        <v>3074</v>
      </c>
      <c r="AB43" s="11"/>
      <c r="AC43" s="11"/>
      <c r="AD43" s="11"/>
      <c r="AE43" s="11"/>
      <c r="AF43" s="27">
        <v>624</v>
      </c>
      <c r="AG43" s="11"/>
      <c r="AH43" s="11"/>
      <c r="AI43" s="11"/>
      <c r="AJ43" s="10" t="s">
        <v>3075</v>
      </c>
      <c r="AK43" s="10" t="s">
        <v>3076</v>
      </c>
      <c r="AL43" s="11"/>
      <c r="AM43" s="11"/>
      <c r="AN43" s="11"/>
      <c r="AO43" s="11"/>
      <c r="AP43" s="11"/>
      <c r="AQ43" s="11"/>
      <c r="AR43" s="10" t="s">
        <v>556</v>
      </c>
      <c r="AS43" s="10" t="s">
        <v>66</v>
      </c>
      <c r="AT43" s="10" t="s">
        <v>53</v>
      </c>
    </row>
    <row r="44" spans="1:46" x14ac:dyDescent="0.15">
      <c r="A44" s="8" t="s">
        <v>3077</v>
      </c>
      <c r="B44" s="9" t="s">
        <v>3078</v>
      </c>
      <c r="C44" s="10" t="s">
        <v>3079</v>
      </c>
      <c r="D44" s="10" t="s">
        <v>3080</v>
      </c>
      <c r="E44" s="10" t="s">
        <v>51</v>
      </c>
      <c r="F44" s="10" t="s">
        <v>52</v>
      </c>
      <c r="G44" s="11"/>
      <c r="H44" s="10" t="s">
        <v>1683</v>
      </c>
      <c r="I44" s="10" t="s">
        <v>53</v>
      </c>
      <c r="J44" s="10" t="s">
        <v>54</v>
      </c>
      <c r="K44" s="11"/>
      <c r="L44" s="10" t="s">
        <v>2855</v>
      </c>
      <c r="M44" s="11"/>
      <c r="N44" s="11"/>
      <c r="O44" s="11"/>
      <c r="P44" s="11"/>
      <c r="Q44" s="10" t="s">
        <v>75</v>
      </c>
      <c r="R44" s="11"/>
      <c r="S44" s="10" t="s">
        <v>2618</v>
      </c>
      <c r="T44" s="10" t="s">
        <v>2619</v>
      </c>
      <c r="U44" s="10" t="s">
        <v>2620</v>
      </c>
      <c r="V44" s="11"/>
      <c r="W44" s="10" t="s">
        <v>2621</v>
      </c>
      <c r="X44" s="10" t="s">
        <v>80</v>
      </c>
      <c r="Y44" s="10" t="s">
        <v>80</v>
      </c>
      <c r="Z44" s="10" t="s">
        <v>3081</v>
      </c>
      <c r="AA44" s="10" t="s">
        <v>3082</v>
      </c>
      <c r="AB44" s="11"/>
      <c r="AC44" s="11"/>
      <c r="AD44" s="11"/>
      <c r="AE44" s="11"/>
      <c r="AF44" s="27">
        <v>1628</v>
      </c>
      <c r="AG44" s="11"/>
      <c r="AH44" s="11"/>
      <c r="AI44" s="11"/>
      <c r="AJ44" s="10" t="s">
        <v>3083</v>
      </c>
      <c r="AK44" s="10" t="s">
        <v>3084</v>
      </c>
      <c r="AL44" s="11"/>
      <c r="AM44" s="11"/>
      <c r="AN44" s="11"/>
      <c r="AO44" s="11"/>
      <c r="AP44" s="11"/>
      <c r="AQ44" s="11"/>
      <c r="AR44" s="10" t="s">
        <v>3085</v>
      </c>
      <c r="AS44" s="10" t="s">
        <v>66</v>
      </c>
      <c r="AT44" s="10" t="s">
        <v>53</v>
      </c>
    </row>
    <row r="45" spans="1:46" x14ac:dyDescent="0.15">
      <c r="A45" s="8" t="s">
        <v>3086</v>
      </c>
      <c r="B45" s="9" t="s">
        <v>3087</v>
      </c>
      <c r="C45" s="10" t="s">
        <v>3088</v>
      </c>
      <c r="D45" s="10" t="s">
        <v>3089</v>
      </c>
      <c r="E45" s="10" t="s">
        <v>51</v>
      </c>
      <c r="F45" s="10" t="s">
        <v>52</v>
      </c>
      <c r="G45" s="11"/>
      <c r="H45" s="10" t="s">
        <v>1683</v>
      </c>
      <c r="I45" s="10" t="s">
        <v>53</v>
      </c>
      <c r="J45" s="10" t="s">
        <v>54</v>
      </c>
      <c r="K45" s="11"/>
      <c r="L45" s="10" t="s">
        <v>2855</v>
      </c>
      <c r="M45" s="11"/>
      <c r="N45" s="11"/>
      <c r="O45" s="11"/>
      <c r="P45" s="11"/>
      <c r="Q45" s="10" t="s">
        <v>75</v>
      </c>
      <c r="R45" s="11"/>
      <c r="S45" s="10" t="s">
        <v>2618</v>
      </c>
      <c r="T45" s="10" t="s">
        <v>2619</v>
      </c>
      <c r="U45" s="10" t="s">
        <v>2620</v>
      </c>
      <c r="V45" s="11"/>
      <c r="W45" s="10" t="s">
        <v>2621</v>
      </c>
      <c r="X45" s="10" t="s">
        <v>80</v>
      </c>
      <c r="Y45" s="10" t="s">
        <v>80</v>
      </c>
      <c r="Z45" s="10" t="s">
        <v>3090</v>
      </c>
      <c r="AA45" s="10" t="s">
        <v>3091</v>
      </c>
      <c r="AB45" s="11"/>
      <c r="AC45" s="11"/>
      <c r="AD45" s="11"/>
      <c r="AE45" s="11"/>
      <c r="AF45" s="27">
        <v>2957</v>
      </c>
      <c r="AG45" s="11"/>
      <c r="AH45" s="11"/>
      <c r="AI45" s="11"/>
      <c r="AJ45" s="11"/>
      <c r="AK45" s="10" t="s">
        <v>3092</v>
      </c>
      <c r="AL45" s="11"/>
      <c r="AM45" s="11"/>
      <c r="AN45" s="11"/>
      <c r="AO45" s="11"/>
      <c r="AP45" s="11"/>
      <c r="AQ45" s="11"/>
      <c r="AR45" s="10" t="s">
        <v>3093</v>
      </c>
      <c r="AS45" s="10" t="s">
        <v>66</v>
      </c>
      <c r="AT45" s="10" t="s">
        <v>53</v>
      </c>
    </row>
    <row r="46" spans="1:46" x14ac:dyDescent="0.15">
      <c r="A46" s="8" t="s">
        <v>3094</v>
      </c>
      <c r="B46" s="9" t="s">
        <v>3095</v>
      </c>
      <c r="C46" s="10" t="s">
        <v>3096</v>
      </c>
      <c r="D46" s="10" t="s">
        <v>3097</v>
      </c>
      <c r="E46" s="10" t="s">
        <v>51</v>
      </c>
      <c r="F46" s="10" t="s">
        <v>52</v>
      </c>
      <c r="G46" s="11"/>
      <c r="H46" s="10" t="s">
        <v>568</v>
      </c>
      <c r="I46" s="10" t="s">
        <v>53</v>
      </c>
      <c r="J46" s="10" t="s">
        <v>54</v>
      </c>
      <c r="K46" s="11"/>
      <c r="L46" s="10" t="s">
        <v>2855</v>
      </c>
      <c r="M46" s="11"/>
      <c r="N46" s="11"/>
      <c r="O46" s="11"/>
      <c r="P46" s="11"/>
      <c r="Q46" s="10" t="s">
        <v>75</v>
      </c>
      <c r="R46" s="11"/>
      <c r="S46" s="10" t="s">
        <v>2618</v>
      </c>
      <c r="T46" s="10" t="s">
        <v>2619</v>
      </c>
      <c r="U46" s="10" t="s">
        <v>2620</v>
      </c>
      <c r="V46" s="11"/>
      <c r="W46" s="10" t="s">
        <v>2621</v>
      </c>
      <c r="X46" s="10" t="s">
        <v>80</v>
      </c>
      <c r="Y46" s="10" t="s">
        <v>80</v>
      </c>
      <c r="Z46" s="10" t="s">
        <v>3098</v>
      </c>
      <c r="AA46" s="10" t="s">
        <v>3099</v>
      </c>
      <c r="AB46" s="11"/>
      <c r="AC46" s="11"/>
      <c r="AD46" s="11"/>
      <c r="AE46" s="11"/>
      <c r="AF46" s="27">
        <v>1421</v>
      </c>
      <c r="AG46" s="11"/>
      <c r="AH46" s="11"/>
      <c r="AI46" s="11"/>
      <c r="AJ46" s="11"/>
      <c r="AK46" s="10" t="s">
        <v>3100</v>
      </c>
      <c r="AL46" s="11"/>
      <c r="AM46" s="11"/>
      <c r="AN46" s="11"/>
      <c r="AO46" s="11"/>
      <c r="AP46" s="11"/>
      <c r="AQ46" s="11"/>
      <c r="AR46" s="10" t="s">
        <v>3101</v>
      </c>
      <c r="AS46" s="10" t="s">
        <v>66</v>
      </c>
      <c r="AT46" s="10" t="s">
        <v>53</v>
      </c>
    </row>
    <row r="47" spans="1:46" x14ac:dyDescent="0.15">
      <c r="A47" s="8" t="s">
        <v>3102</v>
      </c>
      <c r="B47" s="9" t="s">
        <v>3103</v>
      </c>
      <c r="C47" s="10" t="s">
        <v>3104</v>
      </c>
      <c r="D47" s="10" t="s">
        <v>3105</v>
      </c>
      <c r="E47" s="10" t="s">
        <v>51</v>
      </c>
      <c r="F47" s="10" t="s">
        <v>52</v>
      </c>
      <c r="G47" s="11"/>
      <c r="H47" s="10" t="s">
        <v>568</v>
      </c>
      <c r="I47" s="10" t="s">
        <v>53</v>
      </c>
      <c r="J47" s="10" t="s">
        <v>54</v>
      </c>
      <c r="K47" s="11"/>
      <c r="L47" s="10" t="s">
        <v>2855</v>
      </c>
      <c r="M47" s="11"/>
      <c r="N47" s="11"/>
      <c r="O47" s="11"/>
      <c r="P47" s="11"/>
      <c r="Q47" s="10" t="s">
        <v>75</v>
      </c>
      <c r="R47" s="11"/>
      <c r="S47" s="10" t="s">
        <v>2618</v>
      </c>
      <c r="T47" s="10" t="s">
        <v>2619</v>
      </c>
      <c r="U47" s="10" t="s">
        <v>2620</v>
      </c>
      <c r="V47" s="11"/>
      <c r="W47" s="10" t="s">
        <v>2621</v>
      </c>
      <c r="X47" s="10" t="s">
        <v>80</v>
      </c>
      <c r="Y47" s="10" t="s">
        <v>80</v>
      </c>
      <c r="Z47" s="10" t="s">
        <v>3106</v>
      </c>
      <c r="AA47" s="10" t="s">
        <v>3107</v>
      </c>
      <c r="AB47" s="11"/>
      <c r="AC47" s="11"/>
      <c r="AD47" s="11"/>
      <c r="AE47" s="11"/>
      <c r="AF47" s="27">
        <v>114</v>
      </c>
      <c r="AG47" s="11"/>
      <c r="AH47" s="11"/>
      <c r="AI47" s="11"/>
      <c r="AJ47" s="11"/>
      <c r="AK47" s="10" t="s">
        <v>3108</v>
      </c>
      <c r="AL47" s="11"/>
      <c r="AM47" s="11"/>
      <c r="AN47" s="11"/>
      <c r="AO47" s="11"/>
      <c r="AP47" s="11"/>
      <c r="AQ47" s="11"/>
      <c r="AR47" s="10" t="s">
        <v>556</v>
      </c>
      <c r="AS47" s="10" t="s">
        <v>66</v>
      </c>
      <c r="AT47" s="10" t="s">
        <v>53</v>
      </c>
    </row>
    <row r="48" spans="1:46" x14ac:dyDescent="0.15">
      <c r="A48" s="8" t="s">
        <v>3109</v>
      </c>
      <c r="B48" s="9" t="s">
        <v>3110</v>
      </c>
      <c r="C48" s="10" t="s">
        <v>3111</v>
      </c>
      <c r="D48" s="10" t="s">
        <v>3112</v>
      </c>
      <c r="E48" s="10" t="s">
        <v>51</v>
      </c>
      <c r="F48" s="10" t="s">
        <v>52</v>
      </c>
      <c r="G48" s="11"/>
      <c r="H48" s="10" t="s">
        <v>568</v>
      </c>
      <c r="I48" s="10" t="s">
        <v>53</v>
      </c>
      <c r="J48" s="10" t="s">
        <v>54</v>
      </c>
      <c r="K48" s="11"/>
      <c r="L48" s="10" t="s">
        <v>2855</v>
      </c>
      <c r="M48" s="11"/>
      <c r="N48" s="11"/>
      <c r="O48" s="11"/>
      <c r="P48" s="11"/>
      <c r="Q48" s="10" t="s">
        <v>75</v>
      </c>
      <c r="R48" s="11"/>
      <c r="S48" s="10" t="s">
        <v>2618</v>
      </c>
      <c r="T48" s="10" t="s">
        <v>2619</v>
      </c>
      <c r="U48" s="10" t="s">
        <v>2620</v>
      </c>
      <c r="V48" s="11"/>
      <c r="W48" s="10" t="s">
        <v>2621</v>
      </c>
      <c r="X48" s="10" t="s">
        <v>80</v>
      </c>
      <c r="Y48" s="10" t="s">
        <v>80</v>
      </c>
      <c r="Z48" s="10" t="s">
        <v>3113</v>
      </c>
      <c r="AA48" s="10" t="s">
        <v>3114</v>
      </c>
      <c r="AB48" s="11"/>
      <c r="AC48" s="11"/>
      <c r="AD48" s="11"/>
      <c r="AE48" s="11"/>
      <c r="AF48" s="27">
        <v>216</v>
      </c>
      <c r="AG48" s="11"/>
      <c r="AH48" s="11"/>
      <c r="AI48" s="11"/>
      <c r="AJ48" s="11"/>
      <c r="AK48" s="11"/>
      <c r="AL48" s="11"/>
      <c r="AM48" s="11"/>
      <c r="AN48" s="11"/>
      <c r="AO48" s="11"/>
      <c r="AP48" s="11"/>
      <c r="AQ48" s="11"/>
      <c r="AR48" s="10" t="s">
        <v>3115</v>
      </c>
      <c r="AS48" s="10" t="s">
        <v>66</v>
      </c>
      <c r="AT48" s="10" t="s">
        <v>53</v>
      </c>
    </row>
    <row r="49" spans="1:49" x14ac:dyDescent="0.15">
      <c r="A49" s="8" t="s">
        <v>3116</v>
      </c>
      <c r="B49" s="9" t="s">
        <v>3117</v>
      </c>
      <c r="C49" s="10" t="s">
        <v>3118</v>
      </c>
      <c r="D49" s="10" t="s">
        <v>3119</v>
      </c>
      <c r="E49" s="10" t="s">
        <v>51</v>
      </c>
      <c r="F49" s="10" t="s">
        <v>52</v>
      </c>
      <c r="G49" s="11"/>
      <c r="H49" s="10" t="s">
        <v>568</v>
      </c>
      <c r="I49" s="10" t="s">
        <v>53</v>
      </c>
      <c r="J49" s="10" t="s">
        <v>54</v>
      </c>
      <c r="K49" s="11"/>
      <c r="L49" s="10" t="s">
        <v>2855</v>
      </c>
      <c r="M49" s="11"/>
      <c r="N49" s="11"/>
      <c r="O49" s="11"/>
      <c r="P49" s="11"/>
      <c r="Q49" s="10" t="s">
        <v>75</v>
      </c>
      <c r="R49" s="11"/>
      <c r="S49" s="10" t="s">
        <v>2618</v>
      </c>
      <c r="T49" s="10" t="s">
        <v>2619</v>
      </c>
      <c r="U49" s="10" t="s">
        <v>2620</v>
      </c>
      <c r="V49" s="11"/>
      <c r="W49" s="10" t="s">
        <v>2621</v>
      </c>
      <c r="X49" s="10" t="s">
        <v>80</v>
      </c>
      <c r="Y49" s="10" t="s">
        <v>80</v>
      </c>
      <c r="Z49" s="10" t="s">
        <v>3120</v>
      </c>
      <c r="AA49" s="10" t="s">
        <v>3121</v>
      </c>
      <c r="AB49" s="11"/>
      <c r="AC49" s="11"/>
      <c r="AD49" s="11"/>
      <c r="AE49" s="11"/>
      <c r="AF49" s="27">
        <v>404</v>
      </c>
      <c r="AG49" s="11"/>
      <c r="AH49" s="11"/>
      <c r="AI49" s="11"/>
      <c r="AJ49" s="11"/>
      <c r="AK49" s="10" t="s">
        <v>3122</v>
      </c>
      <c r="AL49" s="11"/>
      <c r="AM49" s="11"/>
      <c r="AN49" s="11"/>
      <c r="AO49" s="11"/>
      <c r="AP49" s="11"/>
      <c r="AQ49" s="11"/>
      <c r="AR49" s="10" t="s">
        <v>556</v>
      </c>
      <c r="AS49" s="10" t="s">
        <v>66</v>
      </c>
      <c r="AT49" s="10" t="s">
        <v>53</v>
      </c>
    </row>
    <row r="50" spans="1:49" x14ac:dyDescent="0.15">
      <c r="A50" s="8" t="s">
        <v>3123</v>
      </c>
      <c r="B50" s="9" t="s">
        <v>3124</v>
      </c>
      <c r="C50" s="10" t="s">
        <v>1747</v>
      </c>
      <c r="D50" s="10" t="s">
        <v>3125</v>
      </c>
      <c r="E50" s="10" t="s">
        <v>51</v>
      </c>
      <c r="F50" s="10" t="s">
        <v>52</v>
      </c>
      <c r="G50" s="11"/>
      <c r="H50" s="10" t="s">
        <v>1749</v>
      </c>
      <c r="I50" s="10" t="s">
        <v>53</v>
      </c>
      <c r="J50" s="10" t="s">
        <v>54</v>
      </c>
      <c r="K50" s="11"/>
      <c r="L50" s="10" t="s">
        <v>2855</v>
      </c>
      <c r="M50" s="11"/>
      <c r="N50" s="11"/>
      <c r="O50" s="11"/>
      <c r="P50" s="11"/>
      <c r="Q50" s="10" t="s">
        <v>75</v>
      </c>
      <c r="R50" s="11"/>
      <c r="S50" s="10" t="s">
        <v>2618</v>
      </c>
      <c r="T50" s="10" t="s">
        <v>2619</v>
      </c>
      <c r="U50" s="10" t="s">
        <v>2620</v>
      </c>
      <c r="V50" s="11"/>
      <c r="W50" s="10" t="s">
        <v>2621</v>
      </c>
      <c r="X50" s="10" t="s">
        <v>80</v>
      </c>
      <c r="Y50" s="10" t="s">
        <v>80</v>
      </c>
      <c r="Z50" s="10" t="s">
        <v>3126</v>
      </c>
      <c r="AA50" s="10" t="s">
        <v>3127</v>
      </c>
      <c r="AB50" s="11"/>
      <c r="AC50" s="11"/>
      <c r="AD50" s="11"/>
      <c r="AE50" s="11"/>
      <c r="AF50" s="27">
        <v>107</v>
      </c>
      <c r="AG50" s="11"/>
      <c r="AH50" s="11"/>
      <c r="AI50" s="11"/>
      <c r="AJ50" s="11"/>
      <c r="AK50" s="11"/>
      <c r="AL50" s="11"/>
      <c r="AM50" s="11"/>
      <c r="AN50" s="11"/>
      <c r="AO50" s="11"/>
      <c r="AP50" s="11"/>
      <c r="AQ50" s="11"/>
      <c r="AR50" s="10" t="s">
        <v>3128</v>
      </c>
      <c r="AS50" s="10" t="s">
        <v>66</v>
      </c>
      <c r="AT50" s="10" t="s">
        <v>53</v>
      </c>
    </row>
    <row r="51" spans="1:49" x14ac:dyDescent="0.15">
      <c r="A51" s="8" t="s">
        <v>1754</v>
      </c>
      <c r="B51" s="9" t="s">
        <v>1755</v>
      </c>
      <c r="C51" s="10" t="s">
        <v>1756</v>
      </c>
      <c r="D51" s="10" t="s">
        <v>1757</v>
      </c>
      <c r="E51" s="10" t="s">
        <v>51</v>
      </c>
      <c r="F51" s="10" t="s">
        <v>1758</v>
      </c>
      <c r="G51" s="11"/>
      <c r="H51" s="10" t="s">
        <v>568</v>
      </c>
      <c r="I51" s="10" t="s">
        <v>53</v>
      </c>
      <c r="J51" s="10" t="s">
        <v>54</v>
      </c>
      <c r="K51" s="11"/>
      <c r="L51" s="10" t="s">
        <v>1759</v>
      </c>
      <c r="M51" s="11"/>
      <c r="N51" s="10" t="s">
        <v>1760</v>
      </c>
      <c r="O51" s="11"/>
      <c r="P51" s="11"/>
      <c r="Q51" s="10" t="s">
        <v>1761</v>
      </c>
      <c r="R51" s="11"/>
      <c r="S51" s="10" t="s">
        <v>1762</v>
      </c>
      <c r="T51" s="10" t="s">
        <v>1763</v>
      </c>
      <c r="U51" s="10" t="s">
        <v>1764</v>
      </c>
      <c r="V51" s="11"/>
      <c r="W51" s="10" t="s">
        <v>1765</v>
      </c>
      <c r="X51" s="10" t="s">
        <v>80</v>
      </c>
      <c r="Y51" s="10" t="s">
        <v>80</v>
      </c>
      <c r="Z51" s="10" t="s">
        <v>1766</v>
      </c>
      <c r="AA51" s="10" t="s">
        <v>1767</v>
      </c>
      <c r="AB51" s="11"/>
      <c r="AC51" s="11"/>
      <c r="AD51" s="11"/>
      <c r="AE51" s="11"/>
      <c r="AF51" s="27">
        <v>31262</v>
      </c>
      <c r="AG51" s="11"/>
      <c r="AH51" s="10" t="s">
        <v>1696</v>
      </c>
      <c r="AI51" s="10" t="s">
        <v>1190</v>
      </c>
      <c r="AJ51" s="10" t="s">
        <v>1698</v>
      </c>
      <c r="AK51" s="10" t="s">
        <v>1768</v>
      </c>
      <c r="AL51" s="11"/>
      <c r="AM51" s="11"/>
      <c r="AN51" s="11"/>
      <c r="AO51" s="11"/>
      <c r="AP51" s="11"/>
      <c r="AQ51" s="11"/>
      <c r="AR51" s="10" t="s">
        <v>1769</v>
      </c>
      <c r="AS51" s="10" t="s">
        <v>66</v>
      </c>
      <c r="AT51" s="10" t="s">
        <v>53</v>
      </c>
    </row>
    <row r="52" spans="1:49" x14ac:dyDescent="0.15">
      <c r="A52" s="8" t="s">
        <v>4019</v>
      </c>
      <c r="B52" s="9" t="s">
        <v>4020</v>
      </c>
      <c r="C52" s="10" t="s">
        <v>4021</v>
      </c>
      <c r="D52" s="10" t="s">
        <v>4022</v>
      </c>
      <c r="E52" s="10" t="s">
        <v>51</v>
      </c>
      <c r="F52" s="10" t="s">
        <v>1758</v>
      </c>
      <c r="G52" s="11"/>
      <c r="H52" s="10" t="s">
        <v>552</v>
      </c>
      <c r="I52" s="10" t="s">
        <v>53</v>
      </c>
      <c r="J52" s="10" t="s">
        <v>54</v>
      </c>
      <c r="K52" s="11"/>
      <c r="L52" s="11"/>
      <c r="M52" s="11"/>
      <c r="N52" s="11"/>
      <c r="O52" s="11"/>
      <c r="P52" s="11"/>
      <c r="Q52" s="10" t="s">
        <v>4023</v>
      </c>
      <c r="R52" s="10" t="s">
        <v>3803</v>
      </c>
      <c r="S52" s="10" t="s">
        <v>1762</v>
      </c>
      <c r="T52" s="10" t="s">
        <v>1763</v>
      </c>
      <c r="U52" s="10" t="s">
        <v>1764</v>
      </c>
      <c r="V52" s="11"/>
      <c r="W52" s="10" t="s">
        <v>1765</v>
      </c>
      <c r="X52" s="10" t="s">
        <v>4002</v>
      </c>
      <c r="Y52" s="10" t="s">
        <v>80</v>
      </c>
      <c r="Z52" s="10" t="s">
        <v>4003</v>
      </c>
      <c r="AA52" s="10" t="s">
        <v>4024</v>
      </c>
      <c r="AB52" s="11"/>
      <c r="AC52" s="11"/>
      <c r="AD52" s="10" t="s">
        <v>4025</v>
      </c>
      <c r="AE52" s="11"/>
      <c r="AF52" s="27">
        <v>11000</v>
      </c>
      <c r="AG52" s="11"/>
      <c r="AH52" s="11"/>
      <c r="AI52" s="11"/>
      <c r="AJ52" s="11"/>
      <c r="AK52" s="11"/>
      <c r="AL52" s="11"/>
      <c r="AM52" s="11"/>
      <c r="AN52" s="11"/>
      <c r="AO52" s="11"/>
      <c r="AP52" s="11"/>
      <c r="AQ52" s="11"/>
      <c r="AR52" s="10" t="s">
        <v>1769</v>
      </c>
      <c r="AS52" s="10" t="s">
        <v>66</v>
      </c>
      <c r="AT52" s="10" t="s">
        <v>53</v>
      </c>
    </row>
    <row r="53" spans="1:49" ht="28" x14ac:dyDescent="0.15">
      <c r="A53" s="8"/>
      <c r="B53" s="9"/>
      <c r="C53" s="10"/>
      <c r="D53" s="10"/>
      <c r="E53" s="10"/>
      <c r="F53" s="10"/>
      <c r="G53" s="11"/>
      <c r="H53" s="10"/>
      <c r="I53" s="10"/>
      <c r="J53" s="10"/>
      <c r="K53" s="11"/>
      <c r="L53" s="11"/>
      <c r="M53" s="11"/>
      <c r="N53" s="11"/>
      <c r="O53" s="11"/>
      <c r="P53" s="11"/>
      <c r="Q53" s="10"/>
      <c r="R53" s="10"/>
      <c r="S53" s="10"/>
      <c r="T53" s="10"/>
      <c r="U53" s="10"/>
      <c r="V53" s="11"/>
      <c r="W53" s="10"/>
      <c r="X53" s="10"/>
      <c r="Y53" s="10"/>
      <c r="Z53" s="10"/>
      <c r="AA53" s="10"/>
      <c r="AB53" s="11"/>
      <c r="AC53" s="11"/>
      <c r="AD53" s="10"/>
      <c r="AE53" s="11"/>
      <c r="AF53" s="28">
        <f>SUM(AF25:AF52)</f>
        <v>61739</v>
      </c>
      <c r="AG53" s="11"/>
      <c r="AH53" s="11"/>
      <c r="AI53" s="11"/>
      <c r="AJ53" s="11"/>
      <c r="AK53" s="11"/>
      <c r="AL53" s="11"/>
      <c r="AM53" s="11"/>
      <c r="AN53" s="11"/>
      <c r="AO53" s="11"/>
      <c r="AP53" s="11"/>
      <c r="AQ53" s="11"/>
      <c r="AR53" s="10"/>
      <c r="AS53" s="10"/>
      <c r="AT53" s="10"/>
      <c r="AV53" s="31" t="s">
        <v>4069</v>
      </c>
      <c r="AW53" s="23" t="s">
        <v>4074</v>
      </c>
    </row>
    <row r="54" spans="1:49" x14ac:dyDescent="0.15">
      <c r="A54" s="8" t="s">
        <v>548</v>
      </c>
      <c r="B54" s="20" t="s">
        <v>549</v>
      </c>
      <c r="C54" s="10" t="s">
        <v>550</v>
      </c>
      <c r="D54" s="10" t="s">
        <v>551</v>
      </c>
      <c r="E54" s="10" t="s">
        <v>51</v>
      </c>
      <c r="F54" s="10" t="s">
        <v>475</v>
      </c>
      <c r="G54" s="11"/>
      <c r="H54" s="10" t="s">
        <v>552</v>
      </c>
      <c r="I54" s="10" t="s">
        <v>53</v>
      </c>
      <c r="J54" s="10" t="s">
        <v>54</v>
      </c>
      <c r="K54" s="11"/>
      <c r="L54" s="10" t="s">
        <v>477</v>
      </c>
      <c r="M54" s="11"/>
      <c r="N54" s="10" t="s">
        <v>461</v>
      </c>
      <c r="O54" s="11"/>
      <c r="P54" s="11"/>
      <c r="Q54" s="10" t="s">
        <v>75</v>
      </c>
      <c r="R54" s="11"/>
      <c r="S54" s="10" t="s">
        <v>478</v>
      </c>
      <c r="T54" s="10" t="s">
        <v>479</v>
      </c>
      <c r="U54" s="10" t="s">
        <v>480</v>
      </c>
      <c r="V54" s="11"/>
      <c r="W54" s="10" t="s">
        <v>481</v>
      </c>
      <c r="X54" s="10" t="s">
        <v>80</v>
      </c>
      <c r="Y54" s="10" t="s">
        <v>80</v>
      </c>
      <c r="Z54" s="10" t="s">
        <v>553</v>
      </c>
      <c r="AA54" s="10" t="s">
        <v>553</v>
      </c>
      <c r="AB54" s="11"/>
      <c r="AC54" s="11"/>
      <c r="AD54" s="11"/>
      <c r="AE54" s="11"/>
      <c r="AF54" s="27">
        <v>727</v>
      </c>
      <c r="AG54" s="11"/>
      <c r="AH54" s="10" t="s">
        <v>538</v>
      </c>
      <c r="AI54" s="11"/>
      <c r="AJ54" s="10" t="s">
        <v>554</v>
      </c>
      <c r="AK54" s="10" t="s">
        <v>555</v>
      </c>
      <c r="AL54" s="11"/>
      <c r="AM54" s="11"/>
      <c r="AN54" s="11"/>
      <c r="AO54" s="11"/>
      <c r="AP54" s="11"/>
      <c r="AQ54" s="11"/>
      <c r="AR54" s="10" t="s">
        <v>556</v>
      </c>
      <c r="AS54" s="10" t="s">
        <v>66</v>
      </c>
      <c r="AT54" s="10" t="s">
        <v>53</v>
      </c>
    </row>
    <row r="55" spans="1:49" x14ac:dyDescent="0.15">
      <c r="A55" s="8" t="s">
        <v>557</v>
      </c>
      <c r="B55" s="9" t="s">
        <v>558</v>
      </c>
      <c r="C55" s="10" t="s">
        <v>559</v>
      </c>
      <c r="D55" s="10" t="s">
        <v>560</v>
      </c>
      <c r="E55" s="10" t="s">
        <v>51</v>
      </c>
      <c r="F55" s="10" t="s">
        <v>475</v>
      </c>
      <c r="G55" s="11"/>
      <c r="H55" s="10" t="s">
        <v>561</v>
      </c>
      <c r="I55" s="10" t="s">
        <v>53</v>
      </c>
      <c r="J55" s="10" t="s">
        <v>54</v>
      </c>
      <c r="K55" s="11"/>
      <c r="L55" s="10" t="s">
        <v>477</v>
      </c>
      <c r="M55" s="11"/>
      <c r="N55" s="10" t="s">
        <v>461</v>
      </c>
      <c r="O55" s="11"/>
      <c r="P55" s="11"/>
      <c r="Q55" s="10" t="s">
        <v>75</v>
      </c>
      <c r="R55" s="11"/>
      <c r="S55" s="10" t="s">
        <v>478</v>
      </c>
      <c r="T55" s="10" t="s">
        <v>479</v>
      </c>
      <c r="U55" s="10" t="s">
        <v>480</v>
      </c>
      <c r="V55" s="11"/>
      <c r="W55" s="10" t="s">
        <v>481</v>
      </c>
      <c r="X55" s="10" t="s">
        <v>80</v>
      </c>
      <c r="Y55" s="10" t="s">
        <v>80</v>
      </c>
      <c r="Z55" s="10" t="s">
        <v>562</v>
      </c>
      <c r="AA55" s="10" t="s">
        <v>562</v>
      </c>
      <c r="AB55" s="11"/>
      <c r="AC55" s="11"/>
      <c r="AD55" s="11"/>
      <c r="AE55" s="11"/>
      <c r="AF55" s="27">
        <v>727</v>
      </c>
      <c r="AG55" s="11"/>
      <c r="AH55" s="10" t="s">
        <v>538</v>
      </c>
      <c r="AI55" s="11"/>
      <c r="AJ55" s="10" t="s">
        <v>554</v>
      </c>
      <c r="AK55" s="10" t="s">
        <v>555</v>
      </c>
      <c r="AL55" s="11"/>
      <c r="AM55" s="11"/>
      <c r="AN55" s="11"/>
      <c r="AO55" s="11"/>
      <c r="AP55" s="11"/>
      <c r="AQ55" s="11"/>
      <c r="AR55" s="10" t="s">
        <v>563</v>
      </c>
      <c r="AS55" s="10" t="s">
        <v>66</v>
      </c>
      <c r="AT55" s="10" t="s">
        <v>53</v>
      </c>
    </row>
    <row r="56" spans="1:49" x14ac:dyDescent="0.15">
      <c r="A56" s="8" t="s">
        <v>564</v>
      </c>
      <c r="B56" s="9" t="s">
        <v>565</v>
      </c>
      <c r="C56" s="10" t="s">
        <v>566</v>
      </c>
      <c r="D56" s="10" t="s">
        <v>567</v>
      </c>
      <c r="E56" s="10" t="s">
        <v>51</v>
      </c>
      <c r="F56" s="10" t="s">
        <v>475</v>
      </c>
      <c r="G56" s="11"/>
      <c r="H56" s="10" t="s">
        <v>568</v>
      </c>
      <c r="I56" s="10" t="s">
        <v>53</v>
      </c>
      <c r="J56" s="10" t="s">
        <v>54</v>
      </c>
      <c r="K56" s="11"/>
      <c r="L56" s="10" t="s">
        <v>477</v>
      </c>
      <c r="M56" s="11"/>
      <c r="N56" s="10" t="s">
        <v>461</v>
      </c>
      <c r="O56" s="11"/>
      <c r="P56" s="11"/>
      <c r="Q56" s="10" t="s">
        <v>75</v>
      </c>
      <c r="R56" s="11"/>
      <c r="S56" s="10" t="s">
        <v>478</v>
      </c>
      <c r="T56" s="10" t="s">
        <v>479</v>
      </c>
      <c r="U56" s="10" t="s">
        <v>480</v>
      </c>
      <c r="V56" s="11"/>
      <c r="W56" s="10" t="s">
        <v>481</v>
      </c>
      <c r="X56" s="10" t="s">
        <v>80</v>
      </c>
      <c r="Y56" s="10" t="s">
        <v>80</v>
      </c>
      <c r="Z56" s="10" t="s">
        <v>569</v>
      </c>
      <c r="AA56" s="10" t="s">
        <v>569</v>
      </c>
      <c r="AB56" s="11"/>
      <c r="AC56" s="11"/>
      <c r="AD56" s="11"/>
      <c r="AE56" s="11"/>
      <c r="AF56" s="27">
        <v>450</v>
      </c>
      <c r="AG56" s="11"/>
      <c r="AH56" s="10" t="s">
        <v>538</v>
      </c>
      <c r="AI56" s="11"/>
      <c r="AJ56" s="10" t="s">
        <v>554</v>
      </c>
      <c r="AK56" s="10" t="s">
        <v>555</v>
      </c>
      <c r="AL56" s="11"/>
      <c r="AM56" s="11"/>
      <c r="AN56" s="11"/>
      <c r="AO56" s="11"/>
      <c r="AP56" s="11"/>
      <c r="AQ56" s="11"/>
      <c r="AR56" s="10" t="s">
        <v>570</v>
      </c>
      <c r="AS56" s="10" t="s">
        <v>66</v>
      </c>
      <c r="AT56" s="10" t="s">
        <v>53</v>
      </c>
    </row>
    <row r="57" spans="1:49" ht="14" x14ac:dyDescent="0.15">
      <c r="A57" s="8"/>
      <c r="B57" s="9"/>
      <c r="C57" s="10"/>
      <c r="D57" s="10"/>
      <c r="E57" s="10"/>
      <c r="F57" s="10"/>
      <c r="G57" s="11"/>
      <c r="H57" s="10"/>
      <c r="I57" s="10"/>
      <c r="J57" s="10"/>
      <c r="K57" s="11"/>
      <c r="L57" s="10"/>
      <c r="M57" s="11"/>
      <c r="N57" s="10"/>
      <c r="O57" s="11"/>
      <c r="P57" s="11"/>
      <c r="Q57" s="10"/>
      <c r="R57" s="11"/>
      <c r="S57" s="10"/>
      <c r="T57" s="10"/>
      <c r="U57" s="10"/>
      <c r="V57" s="11"/>
      <c r="W57" s="10"/>
      <c r="X57" s="10"/>
      <c r="Y57" s="10"/>
      <c r="Z57" s="10"/>
      <c r="AA57" s="10"/>
      <c r="AB57" s="11"/>
      <c r="AC57" s="11"/>
      <c r="AD57" s="11"/>
      <c r="AE57" s="11"/>
      <c r="AF57" s="28">
        <f>SUM(AF54:AF56)</f>
        <v>1904</v>
      </c>
      <c r="AG57" s="11"/>
      <c r="AH57" s="10"/>
      <c r="AI57" s="11"/>
      <c r="AJ57" s="10"/>
      <c r="AK57" s="10"/>
      <c r="AL57" s="11"/>
      <c r="AM57" s="11"/>
      <c r="AN57" s="11"/>
      <c r="AO57" s="11"/>
      <c r="AP57" s="11"/>
      <c r="AQ57" s="11"/>
      <c r="AR57" s="10"/>
      <c r="AS57" s="10"/>
      <c r="AT57" s="10"/>
      <c r="AV57" s="23" t="s">
        <v>4064</v>
      </c>
    </row>
    <row r="58" spans="1:49" x14ac:dyDescent="0.15">
      <c r="A58" s="8" t="s">
        <v>2302</v>
      </c>
      <c r="B58" s="20" t="s">
        <v>2303</v>
      </c>
      <c r="C58" s="10" t="s">
        <v>2304</v>
      </c>
      <c r="D58" s="10" t="s">
        <v>2305</v>
      </c>
      <c r="E58" s="10" t="s">
        <v>51</v>
      </c>
      <c r="F58" s="10" t="s">
        <v>2163</v>
      </c>
      <c r="G58" s="11"/>
      <c r="H58" s="10" t="s">
        <v>2306</v>
      </c>
      <c r="I58" s="10" t="s">
        <v>53</v>
      </c>
      <c r="J58" s="10" t="s">
        <v>54</v>
      </c>
      <c r="K58" s="11"/>
      <c r="L58" s="10" t="s">
        <v>2307</v>
      </c>
      <c r="M58" s="11"/>
      <c r="N58" s="10" t="s">
        <v>2308</v>
      </c>
      <c r="O58" s="11"/>
      <c r="P58" s="11"/>
      <c r="Q58" s="10" t="s">
        <v>75</v>
      </c>
      <c r="R58" s="11"/>
      <c r="S58" s="10" t="s">
        <v>2309</v>
      </c>
      <c r="T58" s="10" t="s">
        <v>2310</v>
      </c>
      <c r="U58" s="10" t="s">
        <v>2311</v>
      </c>
      <c r="V58" s="11"/>
      <c r="W58" s="10" t="s">
        <v>2312</v>
      </c>
      <c r="X58" s="10" t="s">
        <v>80</v>
      </c>
      <c r="Y58" s="10" t="s">
        <v>80</v>
      </c>
      <c r="Z58" s="10" t="s">
        <v>2313</v>
      </c>
      <c r="AA58" s="10" t="s">
        <v>2314</v>
      </c>
      <c r="AB58" s="11"/>
      <c r="AC58" s="11"/>
      <c r="AD58" s="11"/>
      <c r="AE58" s="11"/>
      <c r="AF58" s="27">
        <v>60000</v>
      </c>
      <c r="AG58" s="11"/>
      <c r="AH58" s="10" t="s">
        <v>2315</v>
      </c>
      <c r="AI58" s="11"/>
      <c r="AJ58" s="10" t="s">
        <v>2316</v>
      </c>
      <c r="AK58" s="10" t="s">
        <v>2317</v>
      </c>
      <c r="AL58" s="11"/>
      <c r="AM58" s="11"/>
      <c r="AN58" s="11"/>
      <c r="AO58" s="11"/>
      <c r="AP58" s="11"/>
      <c r="AQ58" s="11"/>
      <c r="AR58" s="10" t="s">
        <v>2318</v>
      </c>
      <c r="AS58" s="10" t="s">
        <v>66</v>
      </c>
      <c r="AT58" s="10" t="s">
        <v>53</v>
      </c>
    </row>
    <row r="59" spans="1:49" x14ac:dyDescent="0.15">
      <c r="A59" s="8" t="s">
        <v>2319</v>
      </c>
      <c r="B59" s="9" t="s">
        <v>2320</v>
      </c>
      <c r="C59" s="10" t="s">
        <v>2321</v>
      </c>
      <c r="D59" s="10" t="s">
        <v>2322</v>
      </c>
      <c r="E59" s="10" t="s">
        <v>51</v>
      </c>
      <c r="F59" s="10" t="s">
        <v>2163</v>
      </c>
      <c r="G59" s="11"/>
      <c r="H59" s="10" t="s">
        <v>2323</v>
      </c>
      <c r="I59" s="10" t="s">
        <v>53</v>
      </c>
      <c r="J59" s="10" t="s">
        <v>54</v>
      </c>
      <c r="K59" s="11"/>
      <c r="L59" s="10" t="s">
        <v>2307</v>
      </c>
      <c r="M59" s="11"/>
      <c r="N59" s="10" t="s">
        <v>2324</v>
      </c>
      <c r="O59" s="11"/>
      <c r="P59" s="11"/>
      <c r="Q59" s="10" t="s">
        <v>75</v>
      </c>
      <c r="R59" s="11"/>
      <c r="S59" s="10" t="s">
        <v>2309</v>
      </c>
      <c r="T59" s="10" t="s">
        <v>2310</v>
      </c>
      <c r="U59" s="10" t="s">
        <v>2311</v>
      </c>
      <c r="V59" s="11"/>
      <c r="W59" s="10" t="s">
        <v>2312</v>
      </c>
      <c r="X59" s="10" t="s">
        <v>80</v>
      </c>
      <c r="Y59" s="10" t="s">
        <v>80</v>
      </c>
      <c r="Z59" s="10" t="s">
        <v>2325</v>
      </c>
      <c r="AA59" s="10" t="s">
        <v>2326</v>
      </c>
      <c r="AB59" s="11"/>
      <c r="AC59" s="11"/>
      <c r="AD59" s="11"/>
      <c r="AE59" s="11"/>
      <c r="AF59" s="27">
        <v>35000</v>
      </c>
      <c r="AG59" s="11"/>
      <c r="AH59" s="11"/>
      <c r="AI59" s="11"/>
      <c r="AJ59" s="11"/>
      <c r="AK59" s="10" t="s">
        <v>2327</v>
      </c>
      <c r="AL59" s="11"/>
      <c r="AM59" s="11"/>
      <c r="AN59" s="11"/>
      <c r="AO59" s="11"/>
      <c r="AP59" s="11"/>
      <c r="AQ59" s="11"/>
      <c r="AR59" s="10" t="s">
        <v>2318</v>
      </c>
      <c r="AS59" s="10" t="s">
        <v>66</v>
      </c>
      <c r="AT59" s="10" t="s">
        <v>53</v>
      </c>
    </row>
    <row r="60" spans="1:49" x14ac:dyDescent="0.15">
      <c r="A60" s="8" t="s">
        <v>2328</v>
      </c>
      <c r="B60" s="9" t="s">
        <v>2329</v>
      </c>
      <c r="C60" s="10" t="s">
        <v>2330</v>
      </c>
      <c r="D60" s="10" t="s">
        <v>2331</v>
      </c>
      <c r="E60" s="10" t="s">
        <v>51</v>
      </c>
      <c r="F60" s="10" t="s">
        <v>2163</v>
      </c>
      <c r="G60" s="11"/>
      <c r="H60" s="10" t="s">
        <v>2332</v>
      </c>
      <c r="I60" s="10" t="s">
        <v>53</v>
      </c>
      <c r="J60" s="10" t="s">
        <v>54</v>
      </c>
      <c r="K60" s="11"/>
      <c r="L60" s="10" t="s">
        <v>2333</v>
      </c>
      <c r="M60" s="11"/>
      <c r="N60" s="10" t="s">
        <v>2334</v>
      </c>
      <c r="O60" s="11"/>
      <c r="P60" s="11"/>
      <c r="Q60" s="10" t="s">
        <v>75</v>
      </c>
      <c r="R60" s="11"/>
      <c r="S60" s="10" t="s">
        <v>2309</v>
      </c>
      <c r="T60" s="10" t="s">
        <v>2310</v>
      </c>
      <c r="U60" s="10" t="s">
        <v>2311</v>
      </c>
      <c r="V60" s="11"/>
      <c r="W60" s="10" t="s">
        <v>2312</v>
      </c>
      <c r="X60" s="10" t="s">
        <v>80</v>
      </c>
      <c r="Y60" s="10" t="s">
        <v>80</v>
      </c>
      <c r="Z60" s="10" t="s">
        <v>2335</v>
      </c>
      <c r="AA60" s="10" t="s">
        <v>2336</v>
      </c>
      <c r="AB60" s="11"/>
      <c r="AC60" s="11"/>
      <c r="AD60" s="11"/>
      <c r="AE60" s="11"/>
      <c r="AF60" s="27">
        <v>140000</v>
      </c>
      <c r="AG60" s="11"/>
      <c r="AH60" s="10" t="s">
        <v>2337</v>
      </c>
      <c r="AI60" s="11"/>
      <c r="AJ60" s="10" t="s">
        <v>2338</v>
      </c>
      <c r="AK60" s="10" t="s">
        <v>2339</v>
      </c>
      <c r="AL60" s="11"/>
      <c r="AM60" s="11"/>
      <c r="AN60" s="11"/>
      <c r="AO60" s="11"/>
      <c r="AP60" s="11"/>
      <c r="AQ60" s="11"/>
      <c r="AR60" s="10" t="s">
        <v>2340</v>
      </c>
      <c r="AS60" s="10" t="s">
        <v>66</v>
      </c>
      <c r="AT60" s="10" t="s">
        <v>53</v>
      </c>
    </row>
    <row r="61" spans="1:49" x14ac:dyDescent="0.15">
      <c r="A61" s="8" t="s">
        <v>2341</v>
      </c>
      <c r="B61" s="9" t="s">
        <v>2342</v>
      </c>
      <c r="C61" s="10" t="s">
        <v>2343</v>
      </c>
      <c r="D61" s="10" t="s">
        <v>2344</v>
      </c>
      <c r="E61" s="10" t="s">
        <v>51</v>
      </c>
      <c r="F61" s="10" t="s">
        <v>2163</v>
      </c>
      <c r="G61" s="11"/>
      <c r="H61" s="10" t="s">
        <v>2345</v>
      </c>
      <c r="I61" s="10" t="s">
        <v>53</v>
      </c>
      <c r="J61" s="10" t="s">
        <v>54</v>
      </c>
      <c r="K61" s="11"/>
      <c r="L61" s="10" t="s">
        <v>2346</v>
      </c>
      <c r="M61" s="11"/>
      <c r="N61" s="10" t="s">
        <v>2347</v>
      </c>
      <c r="O61" s="11"/>
      <c r="P61" s="11"/>
      <c r="Q61" s="10" t="s">
        <v>75</v>
      </c>
      <c r="R61" s="11"/>
      <c r="S61" s="10" t="s">
        <v>2309</v>
      </c>
      <c r="T61" s="10" t="s">
        <v>2310</v>
      </c>
      <c r="U61" s="10" t="s">
        <v>2311</v>
      </c>
      <c r="V61" s="11"/>
      <c r="W61" s="10" t="s">
        <v>2312</v>
      </c>
      <c r="X61" s="10" t="s">
        <v>80</v>
      </c>
      <c r="Y61" s="10" t="s">
        <v>80</v>
      </c>
      <c r="Z61" s="10" t="s">
        <v>2348</v>
      </c>
      <c r="AA61" s="10" t="s">
        <v>2349</v>
      </c>
      <c r="AB61" s="11"/>
      <c r="AC61" s="11"/>
      <c r="AD61" s="11"/>
      <c r="AE61" s="11"/>
      <c r="AF61" s="27">
        <v>15000</v>
      </c>
      <c r="AG61" s="11"/>
      <c r="AH61" s="11"/>
      <c r="AI61" s="11"/>
      <c r="AJ61" s="10" t="s">
        <v>2350</v>
      </c>
      <c r="AK61" s="10" t="s">
        <v>2351</v>
      </c>
      <c r="AL61" s="11"/>
      <c r="AM61" s="11"/>
      <c r="AN61" s="11"/>
      <c r="AO61" s="11"/>
      <c r="AP61" s="11"/>
      <c r="AQ61" s="11"/>
      <c r="AR61" s="10" t="s">
        <v>2352</v>
      </c>
      <c r="AS61" s="10" t="s">
        <v>66</v>
      </c>
      <c r="AT61" s="10" t="s">
        <v>53</v>
      </c>
    </row>
    <row r="62" spans="1:49" x14ac:dyDescent="0.15">
      <c r="A62" s="8" t="s">
        <v>2353</v>
      </c>
      <c r="B62" s="9" t="s">
        <v>2354</v>
      </c>
      <c r="C62" s="10" t="s">
        <v>2355</v>
      </c>
      <c r="D62" s="10" t="s">
        <v>2356</v>
      </c>
      <c r="E62" s="10" t="s">
        <v>51</v>
      </c>
      <c r="F62" s="10" t="s">
        <v>2163</v>
      </c>
      <c r="G62" s="11"/>
      <c r="H62" s="10" t="s">
        <v>2357</v>
      </c>
      <c r="I62" s="10" t="s">
        <v>53</v>
      </c>
      <c r="J62" s="10" t="s">
        <v>54</v>
      </c>
      <c r="K62" s="11"/>
      <c r="L62" s="10" t="s">
        <v>2346</v>
      </c>
      <c r="M62" s="11"/>
      <c r="N62" s="10" t="s">
        <v>2358</v>
      </c>
      <c r="O62" s="11"/>
      <c r="P62" s="11"/>
      <c r="Q62" s="10" t="s">
        <v>75</v>
      </c>
      <c r="R62" s="11"/>
      <c r="S62" s="10" t="s">
        <v>2309</v>
      </c>
      <c r="T62" s="10" t="s">
        <v>2310</v>
      </c>
      <c r="U62" s="10" t="s">
        <v>2311</v>
      </c>
      <c r="V62" s="11"/>
      <c r="W62" s="10" t="s">
        <v>2359</v>
      </c>
      <c r="X62" s="10" t="s">
        <v>80</v>
      </c>
      <c r="Y62" s="10" t="s">
        <v>80</v>
      </c>
      <c r="Z62" s="10" t="s">
        <v>2360</v>
      </c>
      <c r="AA62" s="10" t="s">
        <v>2361</v>
      </c>
      <c r="AB62" s="11"/>
      <c r="AC62" s="11"/>
      <c r="AD62" s="11"/>
      <c r="AE62" s="11"/>
      <c r="AF62" s="27">
        <v>20000</v>
      </c>
      <c r="AG62" s="11"/>
      <c r="AH62" s="11"/>
      <c r="AI62" s="11"/>
      <c r="AJ62" s="11"/>
      <c r="AK62" s="10" t="s">
        <v>2362</v>
      </c>
      <c r="AL62" s="11"/>
      <c r="AM62" s="11"/>
      <c r="AN62" s="11"/>
      <c r="AO62" s="11"/>
      <c r="AP62" s="11"/>
      <c r="AQ62" s="11"/>
      <c r="AR62" s="10" t="s">
        <v>2363</v>
      </c>
      <c r="AS62" s="10" t="s">
        <v>66</v>
      </c>
      <c r="AT62" s="10" t="s">
        <v>53</v>
      </c>
    </row>
    <row r="63" spans="1:49" x14ac:dyDescent="0.15">
      <c r="A63" s="8" t="s">
        <v>2364</v>
      </c>
      <c r="B63" s="9" t="s">
        <v>2365</v>
      </c>
      <c r="C63" s="10" t="s">
        <v>2366</v>
      </c>
      <c r="D63" s="10" t="s">
        <v>2367</v>
      </c>
      <c r="E63" s="10" t="s">
        <v>51</v>
      </c>
      <c r="F63" s="10" t="s">
        <v>2163</v>
      </c>
      <c r="G63" s="11"/>
      <c r="H63" s="10" t="s">
        <v>2368</v>
      </c>
      <c r="I63" s="10" t="s">
        <v>53</v>
      </c>
      <c r="J63" s="10" t="s">
        <v>54</v>
      </c>
      <c r="K63" s="11"/>
      <c r="L63" s="10" t="s">
        <v>2333</v>
      </c>
      <c r="M63" s="11"/>
      <c r="N63" s="10" t="s">
        <v>2369</v>
      </c>
      <c r="O63" s="11"/>
      <c r="P63" s="11"/>
      <c r="Q63" s="10" t="s">
        <v>75</v>
      </c>
      <c r="R63" s="11"/>
      <c r="S63" s="10" t="s">
        <v>2309</v>
      </c>
      <c r="T63" s="10" t="s">
        <v>2310</v>
      </c>
      <c r="U63" s="10" t="s">
        <v>2311</v>
      </c>
      <c r="V63" s="11"/>
      <c r="W63" s="10" t="s">
        <v>2312</v>
      </c>
      <c r="X63" s="10" t="s">
        <v>80</v>
      </c>
      <c r="Y63" s="10" t="s">
        <v>80</v>
      </c>
      <c r="Z63" s="10" t="s">
        <v>2370</v>
      </c>
      <c r="AA63" s="10" t="s">
        <v>2371</v>
      </c>
      <c r="AB63" s="11"/>
      <c r="AC63" s="11"/>
      <c r="AD63" s="11"/>
      <c r="AE63" s="11"/>
      <c r="AF63" s="27">
        <v>30000</v>
      </c>
      <c r="AG63" s="11"/>
      <c r="AH63" s="11"/>
      <c r="AI63" s="11"/>
      <c r="AJ63" s="10" t="s">
        <v>2372</v>
      </c>
      <c r="AK63" s="10" t="s">
        <v>2373</v>
      </c>
      <c r="AL63" s="11"/>
      <c r="AM63" s="11"/>
      <c r="AN63" s="11"/>
      <c r="AO63" s="11"/>
      <c r="AP63" s="11"/>
      <c r="AQ63" s="11"/>
      <c r="AR63" s="10" t="s">
        <v>2340</v>
      </c>
      <c r="AS63" s="10" t="s">
        <v>66</v>
      </c>
      <c r="AT63" s="10" t="s">
        <v>53</v>
      </c>
    </row>
    <row r="64" spans="1:49" x14ac:dyDescent="0.15">
      <c r="A64" s="8" t="s">
        <v>2374</v>
      </c>
      <c r="B64" s="9" t="s">
        <v>2375</v>
      </c>
      <c r="C64" s="10" t="s">
        <v>2376</v>
      </c>
      <c r="D64" s="10" t="s">
        <v>2377</v>
      </c>
      <c r="E64" s="10" t="s">
        <v>51</v>
      </c>
      <c r="F64" s="10" t="s">
        <v>2163</v>
      </c>
      <c r="G64" s="11"/>
      <c r="H64" s="10" t="s">
        <v>2378</v>
      </c>
      <c r="I64" s="10" t="s">
        <v>53</v>
      </c>
      <c r="J64" s="10" t="s">
        <v>54</v>
      </c>
      <c r="K64" s="11"/>
      <c r="L64" s="10" t="s">
        <v>2346</v>
      </c>
      <c r="M64" s="11"/>
      <c r="N64" s="10" t="s">
        <v>2347</v>
      </c>
      <c r="O64" s="11"/>
      <c r="P64" s="11"/>
      <c r="Q64" s="10" t="s">
        <v>75</v>
      </c>
      <c r="R64" s="11"/>
      <c r="S64" s="10" t="s">
        <v>2309</v>
      </c>
      <c r="T64" s="10" t="s">
        <v>2310</v>
      </c>
      <c r="U64" s="10" t="s">
        <v>2311</v>
      </c>
      <c r="V64" s="11"/>
      <c r="W64" s="10" t="s">
        <v>2312</v>
      </c>
      <c r="X64" s="10" t="s">
        <v>80</v>
      </c>
      <c r="Y64" s="10" t="s">
        <v>80</v>
      </c>
      <c r="Z64" s="10" t="s">
        <v>2379</v>
      </c>
      <c r="AA64" s="10" t="s">
        <v>2380</v>
      </c>
      <c r="AB64" s="11"/>
      <c r="AC64" s="11"/>
      <c r="AD64" s="11"/>
      <c r="AE64" s="11"/>
      <c r="AF64" s="27">
        <v>30000</v>
      </c>
      <c r="AG64" s="11"/>
      <c r="AH64" s="11"/>
      <c r="AI64" s="11"/>
      <c r="AJ64" s="10" t="s">
        <v>2381</v>
      </c>
      <c r="AK64" s="10" t="s">
        <v>2382</v>
      </c>
      <c r="AL64" s="11"/>
      <c r="AM64" s="11"/>
      <c r="AN64" s="11"/>
      <c r="AO64" s="11"/>
      <c r="AP64" s="11"/>
      <c r="AQ64" s="11"/>
      <c r="AR64" s="10" t="s">
        <v>2352</v>
      </c>
      <c r="AS64" s="10" t="s">
        <v>66</v>
      </c>
      <c r="AT64" s="10" t="s">
        <v>53</v>
      </c>
    </row>
    <row r="65" spans="1:49" x14ac:dyDescent="0.15">
      <c r="A65" s="8" t="s">
        <v>2383</v>
      </c>
      <c r="B65" s="9" t="s">
        <v>2384</v>
      </c>
      <c r="C65" s="10" t="s">
        <v>2385</v>
      </c>
      <c r="D65" s="10" t="s">
        <v>2386</v>
      </c>
      <c r="E65" s="10" t="s">
        <v>51</v>
      </c>
      <c r="F65" s="10" t="s">
        <v>2163</v>
      </c>
      <c r="G65" s="11"/>
      <c r="H65" s="10" t="s">
        <v>561</v>
      </c>
      <c r="I65" s="10" t="s">
        <v>53</v>
      </c>
      <c r="J65" s="10" t="s">
        <v>54</v>
      </c>
      <c r="K65" s="11"/>
      <c r="L65" s="10" t="s">
        <v>2333</v>
      </c>
      <c r="M65" s="11"/>
      <c r="N65" s="10" t="s">
        <v>2387</v>
      </c>
      <c r="O65" s="11"/>
      <c r="P65" s="11"/>
      <c r="Q65" s="10" t="s">
        <v>75</v>
      </c>
      <c r="R65" s="11"/>
      <c r="S65" s="10" t="s">
        <v>2309</v>
      </c>
      <c r="T65" s="10" t="s">
        <v>2310</v>
      </c>
      <c r="U65" s="10" t="s">
        <v>2311</v>
      </c>
      <c r="V65" s="11"/>
      <c r="W65" s="10" t="s">
        <v>2312</v>
      </c>
      <c r="X65" s="10" t="s">
        <v>80</v>
      </c>
      <c r="Y65" s="10" t="s">
        <v>80</v>
      </c>
      <c r="Z65" s="10" t="s">
        <v>2388</v>
      </c>
      <c r="AA65" s="10" t="s">
        <v>2389</v>
      </c>
      <c r="AB65" s="11"/>
      <c r="AC65" s="11"/>
      <c r="AD65" s="11"/>
      <c r="AE65" s="11"/>
      <c r="AF65" s="27">
        <v>500</v>
      </c>
      <c r="AG65" s="11"/>
      <c r="AH65" s="11"/>
      <c r="AI65" s="11"/>
      <c r="AJ65" s="10" t="s">
        <v>2390</v>
      </c>
      <c r="AK65" s="10" t="s">
        <v>2391</v>
      </c>
      <c r="AL65" s="11"/>
      <c r="AM65" s="11"/>
      <c r="AN65" s="11"/>
      <c r="AO65" s="11"/>
      <c r="AP65" s="11"/>
      <c r="AQ65" s="11"/>
      <c r="AR65" s="10" t="s">
        <v>2392</v>
      </c>
      <c r="AS65" s="10" t="s">
        <v>66</v>
      </c>
      <c r="AT65" s="10" t="s">
        <v>53</v>
      </c>
    </row>
    <row r="66" spans="1:49" s="22" customFormat="1" ht="14" x14ac:dyDescent="0.15">
      <c r="A66" s="17"/>
      <c r="B66" s="18"/>
      <c r="C66" s="19"/>
      <c r="D66" s="19"/>
      <c r="E66" s="19"/>
      <c r="F66" s="19"/>
      <c r="G66" s="21"/>
      <c r="H66" s="19"/>
      <c r="I66" s="19"/>
      <c r="J66" s="19"/>
      <c r="K66" s="21"/>
      <c r="L66" s="19"/>
      <c r="M66" s="21"/>
      <c r="N66" s="19"/>
      <c r="O66" s="21"/>
      <c r="P66" s="21"/>
      <c r="Q66" s="19"/>
      <c r="R66" s="21"/>
      <c r="S66" s="19"/>
      <c r="T66" s="19"/>
      <c r="U66" s="19"/>
      <c r="V66" s="21"/>
      <c r="W66" s="19"/>
      <c r="X66" s="19"/>
      <c r="Y66" s="19"/>
      <c r="Z66" s="19"/>
      <c r="AA66" s="19"/>
      <c r="AB66" s="21"/>
      <c r="AC66" s="21"/>
      <c r="AD66" s="21"/>
      <c r="AE66" s="21"/>
      <c r="AF66" s="28">
        <f>SUM(AF58:AF65)</f>
        <v>330500</v>
      </c>
      <c r="AG66" s="21"/>
      <c r="AH66" s="21"/>
      <c r="AI66" s="21"/>
      <c r="AJ66" s="19"/>
      <c r="AK66" s="19"/>
      <c r="AL66" s="21"/>
      <c r="AM66" s="21"/>
      <c r="AN66" s="21"/>
      <c r="AO66" s="21"/>
      <c r="AP66" s="21"/>
      <c r="AQ66" s="21"/>
      <c r="AR66" s="19"/>
      <c r="AS66" s="19"/>
      <c r="AT66" s="19"/>
      <c r="AV66" s="31" t="s">
        <v>4070</v>
      </c>
      <c r="AW66" s="33" t="s">
        <v>4074</v>
      </c>
    </row>
    <row r="67" spans="1:49" x14ac:dyDescent="0.15">
      <c r="A67" s="8" t="s">
        <v>1670</v>
      </c>
      <c r="B67" s="20" t="s">
        <v>1671</v>
      </c>
      <c r="C67" s="10" t="s">
        <v>1672</v>
      </c>
      <c r="D67" s="10" t="s">
        <v>1673</v>
      </c>
      <c r="E67" s="10" t="s">
        <v>51</v>
      </c>
      <c r="F67" s="10" t="s">
        <v>601</v>
      </c>
      <c r="G67" s="11"/>
      <c r="H67" s="10" t="s">
        <v>552</v>
      </c>
      <c r="I67" s="10" t="s">
        <v>53</v>
      </c>
      <c r="J67" s="10" t="s">
        <v>54</v>
      </c>
      <c r="K67" s="11"/>
      <c r="L67" s="10" t="s">
        <v>1674</v>
      </c>
      <c r="M67" s="11"/>
      <c r="N67" s="11"/>
      <c r="O67" s="11"/>
      <c r="P67" s="11"/>
      <c r="Q67" s="10" t="s">
        <v>603</v>
      </c>
      <c r="R67" s="11"/>
      <c r="S67" s="10" t="s">
        <v>604</v>
      </c>
      <c r="T67" s="10" t="s">
        <v>605</v>
      </c>
      <c r="U67" s="10" t="s">
        <v>606</v>
      </c>
      <c r="V67" s="11"/>
      <c r="W67" s="10" t="s">
        <v>607</v>
      </c>
      <c r="X67" s="10" t="s">
        <v>80</v>
      </c>
      <c r="Y67" s="10" t="s">
        <v>80</v>
      </c>
      <c r="Z67" s="10" t="s">
        <v>1675</v>
      </c>
      <c r="AA67" s="10" t="s">
        <v>1676</v>
      </c>
      <c r="AB67" s="11"/>
      <c r="AC67" s="11"/>
      <c r="AD67" s="11"/>
      <c r="AE67" s="11"/>
      <c r="AF67" s="27"/>
      <c r="AG67" s="11"/>
      <c r="AH67" s="10" t="s">
        <v>1677</v>
      </c>
      <c r="AI67" s="10" t="s">
        <v>1319</v>
      </c>
      <c r="AJ67" s="11"/>
      <c r="AK67" s="11"/>
      <c r="AL67" s="11"/>
      <c r="AM67" s="11"/>
      <c r="AN67" s="11"/>
      <c r="AO67" s="11"/>
      <c r="AP67" s="11"/>
      <c r="AQ67" s="11"/>
      <c r="AR67" s="10" t="s">
        <v>1678</v>
      </c>
      <c r="AS67" s="10" t="s">
        <v>66</v>
      </c>
      <c r="AT67" s="10" t="s">
        <v>53</v>
      </c>
    </row>
    <row r="68" spans="1:49" x14ac:dyDescent="0.15">
      <c r="A68" s="8" t="s">
        <v>1679</v>
      </c>
      <c r="B68" s="9" t="s">
        <v>1680</v>
      </c>
      <c r="C68" s="10" t="s">
        <v>1681</v>
      </c>
      <c r="D68" s="10" t="s">
        <v>1682</v>
      </c>
      <c r="E68" s="10" t="s">
        <v>51</v>
      </c>
      <c r="F68" s="10" t="s">
        <v>601</v>
      </c>
      <c r="G68" s="11"/>
      <c r="H68" s="10" t="s">
        <v>1683</v>
      </c>
      <c r="I68" s="10" t="s">
        <v>53</v>
      </c>
      <c r="J68" s="10" t="s">
        <v>54</v>
      </c>
      <c r="K68" s="11"/>
      <c r="L68" s="10" t="s">
        <v>1674</v>
      </c>
      <c r="M68" s="11"/>
      <c r="N68" s="11"/>
      <c r="O68" s="11"/>
      <c r="P68" s="11"/>
      <c r="Q68" s="10" t="s">
        <v>603</v>
      </c>
      <c r="R68" s="11"/>
      <c r="S68" s="10" t="s">
        <v>604</v>
      </c>
      <c r="T68" s="10" t="s">
        <v>605</v>
      </c>
      <c r="U68" s="10" t="s">
        <v>606</v>
      </c>
      <c r="V68" s="11"/>
      <c r="W68" s="10" t="s">
        <v>607</v>
      </c>
      <c r="X68" s="10" t="s">
        <v>80</v>
      </c>
      <c r="Y68" s="10" t="s">
        <v>80</v>
      </c>
      <c r="Z68" s="10" t="s">
        <v>1684</v>
      </c>
      <c r="AA68" s="10" t="s">
        <v>1685</v>
      </c>
      <c r="AB68" s="11"/>
      <c r="AC68" s="11"/>
      <c r="AD68" s="11"/>
      <c r="AE68" s="11"/>
      <c r="AF68" s="27"/>
      <c r="AG68" s="11"/>
      <c r="AH68" s="11"/>
      <c r="AI68" s="10" t="s">
        <v>1319</v>
      </c>
      <c r="AJ68" s="11"/>
      <c r="AK68" s="11"/>
      <c r="AL68" s="11"/>
      <c r="AM68" s="11"/>
      <c r="AN68" s="11"/>
      <c r="AO68" s="11"/>
      <c r="AP68" s="11"/>
      <c r="AQ68" s="11"/>
      <c r="AR68" s="10" t="s">
        <v>1686</v>
      </c>
      <c r="AS68" s="10" t="s">
        <v>66</v>
      </c>
      <c r="AT68" s="10" t="s">
        <v>53</v>
      </c>
    </row>
    <row r="69" spans="1:49" x14ac:dyDescent="0.15">
      <c r="A69" s="8"/>
      <c r="B69" s="9"/>
      <c r="C69" s="10"/>
      <c r="D69" s="10"/>
      <c r="E69" s="10"/>
      <c r="F69" s="10"/>
      <c r="G69" s="11"/>
      <c r="H69" s="10"/>
      <c r="I69" s="10"/>
      <c r="J69" s="10"/>
      <c r="K69" s="11"/>
      <c r="L69" s="10"/>
      <c r="M69" s="11"/>
      <c r="N69" s="11"/>
      <c r="O69" s="11"/>
      <c r="P69" s="11"/>
      <c r="Q69" s="10"/>
      <c r="R69" s="11"/>
      <c r="S69" s="10"/>
      <c r="T69" s="10"/>
      <c r="U69" s="10"/>
      <c r="V69" s="11"/>
      <c r="W69" s="10"/>
      <c r="X69" s="10"/>
      <c r="Y69" s="10"/>
      <c r="Z69" s="10"/>
      <c r="AA69" s="10"/>
      <c r="AB69" s="11"/>
      <c r="AC69" s="11"/>
      <c r="AD69" s="11"/>
      <c r="AE69" s="11"/>
      <c r="AF69" s="27"/>
      <c r="AG69" s="11"/>
      <c r="AH69" s="11"/>
      <c r="AI69" s="10"/>
      <c r="AJ69" s="11"/>
      <c r="AK69" s="11"/>
      <c r="AL69" s="11"/>
      <c r="AM69" s="11"/>
      <c r="AN69" s="11"/>
      <c r="AO69" s="11"/>
      <c r="AP69" s="11"/>
      <c r="AQ69" s="11"/>
      <c r="AR69" s="10"/>
      <c r="AS69" s="10"/>
      <c r="AT69" s="10"/>
    </row>
    <row r="70" spans="1:49" x14ac:dyDescent="0.15">
      <c r="A70" s="8" t="s">
        <v>719</v>
      </c>
      <c r="B70" s="20" t="s">
        <v>720</v>
      </c>
      <c r="C70" s="10" t="s">
        <v>721</v>
      </c>
      <c r="D70" s="10" t="s">
        <v>722</v>
      </c>
      <c r="E70" s="10" t="s">
        <v>51</v>
      </c>
      <c r="F70" s="10" t="s">
        <v>668</v>
      </c>
      <c r="G70" s="11"/>
      <c r="H70" s="10" t="s">
        <v>723</v>
      </c>
      <c r="I70" s="10" t="s">
        <v>53</v>
      </c>
      <c r="J70" s="10" t="s">
        <v>54</v>
      </c>
      <c r="K70" s="11"/>
      <c r="L70" s="11"/>
      <c r="M70" s="11"/>
      <c r="N70" s="11"/>
      <c r="O70" s="11"/>
      <c r="P70" s="11"/>
      <c r="Q70" s="10" t="s">
        <v>75</v>
      </c>
      <c r="R70" s="11"/>
      <c r="S70" s="10" t="s">
        <v>670</v>
      </c>
      <c r="T70" s="10" t="s">
        <v>671</v>
      </c>
      <c r="U70" s="10" t="s">
        <v>672</v>
      </c>
      <c r="V70" s="11"/>
      <c r="W70" s="10" t="s">
        <v>673</v>
      </c>
      <c r="X70" s="10" t="s">
        <v>80</v>
      </c>
      <c r="Y70" s="10" t="s">
        <v>61</v>
      </c>
      <c r="Z70" s="10" t="s">
        <v>724</v>
      </c>
      <c r="AA70" s="10" t="s">
        <v>725</v>
      </c>
      <c r="AB70" s="11"/>
      <c r="AC70" s="11"/>
      <c r="AD70" s="10" t="s">
        <v>726</v>
      </c>
      <c r="AE70" s="11"/>
      <c r="AF70" s="27">
        <v>25926</v>
      </c>
      <c r="AG70" s="11"/>
      <c r="AH70" s="11"/>
      <c r="AI70" s="11"/>
      <c r="AJ70" s="11"/>
      <c r="AK70" s="11"/>
      <c r="AL70" s="10" t="s">
        <v>720</v>
      </c>
      <c r="AM70" s="11"/>
      <c r="AN70" s="11"/>
      <c r="AO70" s="11"/>
      <c r="AP70" s="11"/>
      <c r="AQ70" s="11"/>
      <c r="AR70" s="10" t="s">
        <v>727</v>
      </c>
      <c r="AS70" s="10" t="s">
        <v>66</v>
      </c>
      <c r="AT70" s="10" t="s">
        <v>53</v>
      </c>
    </row>
    <row r="71" spans="1:49" ht="14" x14ac:dyDescent="0.15">
      <c r="A71" s="8"/>
      <c r="B71" s="18"/>
      <c r="C71" s="10"/>
      <c r="D71" s="10"/>
      <c r="E71" s="10"/>
      <c r="F71" s="10"/>
      <c r="G71" s="11"/>
      <c r="H71" s="10"/>
      <c r="I71" s="10"/>
      <c r="J71" s="10"/>
      <c r="K71" s="11"/>
      <c r="L71" s="11"/>
      <c r="M71" s="11"/>
      <c r="N71" s="11"/>
      <c r="O71" s="11"/>
      <c r="P71" s="11"/>
      <c r="Q71" s="10"/>
      <c r="R71" s="11"/>
      <c r="S71" s="10"/>
      <c r="T71" s="10"/>
      <c r="U71" s="10"/>
      <c r="V71" s="11"/>
      <c r="W71" s="10"/>
      <c r="X71" s="10"/>
      <c r="Y71" s="10"/>
      <c r="Z71" s="10"/>
      <c r="AA71" s="10"/>
      <c r="AB71" s="11"/>
      <c r="AC71" s="11"/>
      <c r="AD71" s="10"/>
      <c r="AE71" s="11"/>
      <c r="AF71" s="28">
        <f>SUM(AF70)</f>
        <v>25926</v>
      </c>
      <c r="AG71" s="11"/>
      <c r="AH71" s="11"/>
      <c r="AI71" s="11"/>
      <c r="AJ71" s="11"/>
      <c r="AK71" s="11"/>
      <c r="AL71" s="10"/>
      <c r="AM71" s="11"/>
      <c r="AN71" s="11"/>
      <c r="AO71" s="11"/>
      <c r="AP71" s="11"/>
      <c r="AQ71" s="11"/>
      <c r="AR71" s="10"/>
      <c r="AS71" s="10"/>
      <c r="AT71" s="10"/>
      <c r="AV71" s="23" t="s">
        <v>4071</v>
      </c>
    </row>
    <row r="72" spans="1:49" x14ac:dyDescent="0.15">
      <c r="A72" s="8" t="s">
        <v>1002</v>
      </c>
      <c r="B72" s="20" t="s">
        <v>1003</v>
      </c>
      <c r="C72" s="10" t="s">
        <v>1004</v>
      </c>
      <c r="D72" s="10" t="s">
        <v>1005</v>
      </c>
      <c r="E72" s="10" t="s">
        <v>51</v>
      </c>
      <c r="F72" s="10" t="s">
        <v>732</v>
      </c>
      <c r="G72" s="11"/>
      <c r="H72" s="10" t="s">
        <v>72</v>
      </c>
      <c r="I72" s="10" t="s">
        <v>53</v>
      </c>
      <c r="J72" s="10" t="s">
        <v>54</v>
      </c>
      <c r="K72" s="11"/>
      <c r="L72" s="10" t="s">
        <v>1006</v>
      </c>
      <c r="M72" s="11"/>
      <c r="N72" s="11"/>
      <c r="O72" s="11"/>
      <c r="P72" s="11"/>
      <c r="Q72" s="10" t="s">
        <v>75</v>
      </c>
      <c r="R72" s="11"/>
      <c r="S72" s="10" t="s">
        <v>734</v>
      </c>
      <c r="T72" s="10" t="s">
        <v>735</v>
      </c>
      <c r="U72" s="10" t="s">
        <v>736</v>
      </c>
      <c r="V72" s="11"/>
      <c r="W72" s="10" t="s">
        <v>737</v>
      </c>
      <c r="X72" s="10" t="s">
        <v>80</v>
      </c>
      <c r="Y72" s="10" t="s">
        <v>80</v>
      </c>
      <c r="Z72" s="10" t="s">
        <v>1007</v>
      </c>
      <c r="AA72" s="10" t="s">
        <v>1007</v>
      </c>
      <c r="AB72" s="11"/>
      <c r="AC72" s="11"/>
      <c r="AD72" s="11"/>
      <c r="AE72" s="11"/>
      <c r="AF72" s="27">
        <v>1</v>
      </c>
      <c r="AG72" s="11"/>
      <c r="AH72" s="10" t="s">
        <v>1008</v>
      </c>
      <c r="AI72" s="11"/>
      <c r="AJ72" s="10" t="s">
        <v>1009</v>
      </c>
      <c r="AK72" s="10" t="s">
        <v>975</v>
      </c>
      <c r="AL72" s="11"/>
      <c r="AM72" s="11"/>
      <c r="AN72" s="11"/>
      <c r="AO72" s="11"/>
      <c r="AP72" s="11"/>
      <c r="AQ72" s="11"/>
      <c r="AR72" s="10" t="s">
        <v>1010</v>
      </c>
      <c r="AS72" s="10" t="s">
        <v>66</v>
      </c>
      <c r="AT72" s="10" t="s">
        <v>53</v>
      </c>
    </row>
    <row r="73" spans="1:49" x14ac:dyDescent="0.15">
      <c r="A73" s="8" t="s">
        <v>1011</v>
      </c>
      <c r="B73" s="9" t="s">
        <v>1012</v>
      </c>
      <c r="C73" s="10" t="s">
        <v>1013</v>
      </c>
      <c r="D73" s="10" t="s">
        <v>1014</v>
      </c>
      <c r="E73" s="10" t="s">
        <v>51</v>
      </c>
      <c r="F73" s="10" t="s">
        <v>732</v>
      </c>
      <c r="G73" s="11"/>
      <c r="H73" s="10" t="s">
        <v>72</v>
      </c>
      <c r="I73" s="10" t="s">
        <v>53</v>
      </c>
      <c r="J73" s="10" t="s">
        <v>54</v>
      </c>
      <c r="K73" s="11"/>
      <c r="L73" s="10" t="s">
        <v>1006</v>
      </c>
      <c r="M73" s="11"/>
      <c r="N73" s="11"/>
      <c r="O73" s="11"/>
      <c r="P73" s="11"/>
      <c r="Q73" s="10" t="s">
        <v>75</v>
      </c>
      <c r="R73" s="11"/>
      <c r="S73" s="10" t="s">
        <v>734</v>
      </c>
      <c r="T73" s="10" t="s">
        <v>735</v>
      </c>
      <c r="U73" s="10" t="s">
        <v>736</v>
      </c>
      <c r="V73" s="11"/>
      <c r="W73" s="10" t="s">
        <v>737</v>
      </c>
      <c r="X73" s="10" t="s">
        <v>80</v>
      </c>
      <c r="Y73" s="10" t="s">
        <v>80</v>
      </c>
      <c r="Z73" s="10" t="s">
        <v>1015</v>
      </c>
      <c r="AA73" s="10" t="s">
        <v>1015</v>
      </c>
      <c r="AB73" s="11"/>
      <c r="AC73" s="11"/>
      <c r="AD73" s="11"/>
      <c r="AE73" s="11"/>
      <c r="AF73" s="27">
        <v>1</v>
      </c>
      <c r="AG73" s="11"/>
      <c r="AH73" s="10" t="s">
        <v>1008</v>
      </c>
      <c r="AI73" s="11"/>
      <c r="AJ73" s="10" t="s">
        <v>1016</v>
      </c>
      <c r="AK73" s="10" t="s">
        <v>975</v>
      </c>
      <c r="AL73" s="11"/>
      <c r="AM73" s="11"/>
      <c r="AN73" s="11"/>
      <c r="AO73" s="11"/>
      <c r="AP73" s="11"/>
      <c r="AQ73" s="11"/>
      <c r="AR73" s="10" t="s">
        <v>1017</v>
      </c>
      <c r="AS73" s="10" t="s">
        <v>66</v>
      </c>
      <c r="AT73" s="10" t="s">
        <v>53</v>
      </c>
    </row>
    <row r="74" spans="1:49" x14ac:dyDescent="0.15">
      <c r="A74" s="8" t="s">
        <v>1018</v>
      </c>
      <c r="B74" s="9" t="s">
        <v>1019</v>
      </c>
      <c r="C74" s="10" t="s">
        <v>1013</v>
      </c>
      <c r="D74" s="10" t="s">
        <v>1020</v>
      </c>
      <c r="E74" s="10" t="s">
        <v>51</v>
      </c>
      <c r="F74" s="10" t="s">
        <v>732</v>
      </c>
      <c r="G74" s="11"/>
      <c r="H74" s="10" t="s">
        <v>72</v>
      </c>
      <c r="I74" s="10" t="s">
        <v>53</v>
      </c>
      <c r="J74" s="10" t="s">
        <v>54</v>
      </c>
      <c r="K74" s="11"/>
      <c r="L74" s="10" t="s">
        <v>1006</v>
      </c>
      <c r="M74" s="11"/>
      <c r="N74" s="11"/>
      <c r="O74" s="11"/>
      <c r="P74" s="11"/>
      <c r="Q74" s="10" t="s">
        <v>75</v>
      </c>
      <c r="R74" s="11"/>
      <c r="S74" s="10" t="s">
        <v>734</v>
      </c>
      <c r="T74" s="10" t="s">
        <v>735</v>
      </c>
      <c r="U74" s="10" t="s">
        <v>736</v>
      </c>
      <c r="V74" s="11"/>
      <c r="W74" s="10" t="s">
        <v>737</v>
      </c>
      <c r="X74" s="10" t="s">
        <v>80</v>
      </c>
      <c r="Y74" s="10" t="s">
        <v>80</v>
      </c>
      <c r="Z74" s="10" t="s">
        <v>1021</v>
      </c>
      <c r="AA74" s="10" t="s">
        <v>1022</v>
      </c>
      <c r="AB74" s="11"/>
      <c r="AC74" s="11"/>
      <c r="AD74" s="11"/>
      <c r="AE74" s="11"/>
      <c r="AF74" s="27">
        <v>1</v>
      </c>
      <c r="AG74" s="11"/>
      <c r="AH74" s="10" t="s">
        <v>1008</v>
      </c>
      <c r="AI74" s="11"/>
      <c r="AJ74" s="10" t="s">
        <v>1023</v>
      </c>
      <c r="AK74" s="10" t="s">
        <v>975</v>
      </c>
      <c r="AL74" s="11"/>
      <c r="AM74" s="11"/>
      <c r="AN74" s="11"/>
      <c r="AO74" s="11"/>
      <c r="AP74" s="11"/>
      <c r="AQ74" s="11"/>
      <c r="AR74" s="10" t="s">
        <v>1024</v>
      </c>
      <c r="AS74" s="10" t="s">
        <v>66</v>
      </c>
      <c r="AT74" s="10" t="s">
        <v>53</v>
      </c>
    </row>
    <row r="75" spans="1:49" x14ac:dyDescent="0.15">
      <c r="A75" s="8" t="s">
        <v>1025</v>
      </c>
      <c r="B75" s="9" t="s">
        <v>1026</v>
      </c>
      <c r="C75" s="10" t="s">
        <v>1027</v>
      </c>
      <c r="D75" s="10" t="s">
        <v>1028</v>
      </c>
      <c r="E75" s="10" t="s">
        <v>51</v>
      </c>
      <c r="F75" s="10" t="s">
        <v>732</v>
      </c>
      <c r="G75" s="11"/>
      <c r="H75" s="10" t="s">
        <v>72</v>
      </c>
      <c r="I75" s="10" t="s">
        <v>53</v>
      </c>
      <c r="J75" s="10" t="s">
        <v>54</v>
      </c>
      <c r="K75" s="11"/>
      <c r="L75" s="10" t="s">
        <v>1006</v>
      </c>
      <c r="M75" s="11"/>
      <c r="N75" s="11"/>
      <c r="O75" s="11"/>
      <c r="P75" s="11"/>
      <c r="Q75" s="10" t="s">
        <v>75</v>
      </c>
      <c r="R75" s="11"/>
      <c r="S75" s="10" t="s">
        <v>734</v>
      </c>
      <c r="T75" s="10" t="s">
        <v>735</v>
      </c>
      <c r="U75" s="10" t="s">
        <v>736</v>
      </c>
      <c r="V75" s="11"/>
      <c r="W75" s="10" t="s">
        <v>737</v>
      </c>
      <c r="X75" s="10" t="s">
        <v>80</v>
      </c>
      <c r="Y75" s="10" t="s">
        <v>80</v>
      </c>
      <c r="Z75" s="10" t="s">
        <v>1029</v>
      </c>
      <c r="AA75" s="10" t="s">
        <v>1029</v>
      </c>
      <c r="AB75" s="11"/>
      <c r="AC75" s="11"/>
      <c r="AD75" s="11"/>
      <c r="AE75" s="11"/>
      <c r="AF75" s="27">
        <v>400</v>
      </c>
      <c r="AG75" s="11"/>
      <c r="AH75" s="10" t="s">
        <v>538</v>
      </c>
      <c r="AI75" s="11"/>
      <c r="AJ75" s="10" t="s">
        <v>1030</v>
      </c>
      <c r="AK75" s="10" t="s">
        <v>975</v>
      </c>
      <c r="AL75" s="11"/>
      <c r="AM75" s="11"/>
      <c r="AN75" s="11"/>
      <c r="AO75" s="11"/>
      <c r="AP75" s="11"/>
      <c r="AQ75" s="11"/>
      <c r="AR75" s="10" t="s">
        <v>1031</v>
      </c>
      <c r="AS75" s="10" t="s">
        <v>66</v>
      </c>
      <c r="AT75" s="10" t="s">
        <v>53</v>
      </c>
    </row>
    <row r="76" spans="1:49" x14ac:dyDescent="0.15">
      <c r="A76" s="8" t="s">
        <v>1032</v>
      </c>
      <c r="B76" s="9" t="s">
        <v>1033</v>
      </c>
      <c r="C76" s="10" t="s">
        <v>1034</v>
      </c>
      <c r="D76" s="10" t="s">
        <v>1035</v>
      </c>
      <c r="E76" s="10" t="s">
        <v>51</v>
      </c>
      <c r="F76" s="10" t="s">
        <v>732</v>
      </c>
      <c r="G76" s="11"/>
      <c r="H76" s="10" t="s">
        <v>229</v>
      </c>
      <c r="I76" s="10" t="s">
        <v>53</v>
      </c>
      <c r="J76" s="10" t="s">
        <v>54</v>
      </c>
      <c r="K76" s="11"/>
      <c r="L76" s="10" t="s">
        <v>1006</v>
      </c>
      <c r="M76" s="11"/>
      <c r="N76" s="11"/>
      <c r="O76" s="11"/>
      <c r="P76" s="11"/>
      <c r="Q76" s="10" t="s">
        <v>75</v>
      </c>
      <c r="R76" s="11"/>
      <c r="S76" s="10" t="s">
        <v>734</v>
      </c>
      <c r="T76" s="10" t="s">
        <v>735</v>
      </c>
      <c r="U76" s="10" t="s">
        <v>736</v>
      </c>
      <c r="V76" s="11"/>
      <c r="W76" s="10" t="s">
        <v>737</v>
      </c>
      <c r="X76" s="10" t="s">
        <v>80</v>
      </c>
      <c r="Y76" s="10" t="s">
        <v>80</v>
      </c>
      <c r="Z76" s="10" t="s">
        <v>1036</v>
      </c>
      <c r="AA76" s="10" t="s">
        <v>1036</v>
      </c>
      <c r="AB76" s="11"/>
      <c r="AC76" s="11"/>
      <c r="AD76" s="11"/>
      <c r="AE76" s="11"/>
      <c r="AF76" s="27">
        <v>1500</v>
      </c>
      <c r="AG76" s="11"/>
      <c r="AH76" s="10" t="s">
        <v>433</v>
      </c>
      <c r="AI76" s="11"/>
      <c r="AJ76" s="10" t="s">
        <v>1037</v>
      </c>
      <c r="AK76" s="10" t="s">
        <v>975</v>
      </c>
      <c r="AL76" s="11"/>
      <c r="AM76" s="11"/>
      <c r="AN76" s="11"/>
      <c r="AO76" s="11"/>
      <c r="AP76" s="11"/>
      <c r="AQ76" s="11"/>
      <c r="AR76" s="10" t="s">
        <v>1038</v>
      </c>
      <c r="AS76" s="10" t="s">
        <v>66</v>
      </c>
      <c r="AT76" s="10" t="s">
        <v>53</v>
      </c>
    </row>
    <row r="77" spans="1:49" x14ac:dyDescent="0.15">
      <c r="A77" s="8" t="s">
        <v>1039</v>
      </c>
      <c r="B77" s="9" t="s">
        <v>1040</v>
      </c>
      <c r="C77" s="10" t="s">
        <v>1041</v>
      </c>
      <c r="D77" s="10" t="s">
        <v>1042</v>
      </c>
      <c r="E77" s="10" t="s">
        <v>51</v>
      </c>
      <c r="F77" s="10" t="s">
        <v>732</v>
      </c>
      <c r="G77" s="11"/>
      <c r="H77" s="10" t="s">
        <v>229</v>
      </c>
      <c r="I77" s="10" t="s">
        <v>53</v>
      </c>
      <c r="J77" s="10" t="s">
        <v>54</v>
      </c>
      <c r="K77" s="11"/>
      <c r="L77" s="10" t="s">
        <v>1006</v>
      </c>
      <c r="M77" s="11"/>
      <c r="N77" s="11"/>
      <c r="O77" s="11"/>
      <c r="P77" s="11"/>
      <c r="Q77" s="10" t="s">
        <v>75</v>
      </c>
      <c r="R77" s="11"/>
      <c r="S77" s="10" t="s">
        <v>734</v>
      </c>
      <c r="T77" s="10" t="s">
        <v>735</v>
      </c>
      <c r="U77" s="10" t="s">
        <v>736</v>
      </c>
      <c r="V77" s="11"/>
      <c r="W77" s="10" t="s">
        <v>737</v>
      </c>
      <c r="X77" s="10" t="s">
        <v>80</v>
      </c>
      <c r="Y77" s="10" t="s">
        <v>80</v>
      </c>
      <c r="Z77" s="10" t="s">
        <v>1043</v>
      </c>
      <c r="AA77" s="10" t="s">
        <v>1043</v>
      </c>
      <c r="AB77" s="11"/>
      <c r="AC77" s="11"/>
      <c r="AD77" s="11"/>
      <c r="AE77" s="11"/>
      <c r="AF77" s="27">
        <v>500</v>
      </c>
      <c r="AG77" s="11"/>
      <c r="AH77" s="10" t="s">
        <v>433</v>
      </c>
      <c r="AI77" s="11"/>
      <c r="AJ77" s="10" t="s">
        <v>1044</v>
      </c>
      <c r="AK77" s="10" t="s">
        <v>1045</v>
      </c>
      <c r="AL77" s="11"/>
      <c r="AM77" s="11"/>
      <c r="AN77" s="11"/>
      <c r="AO77" s="11"/>
      <c r="AP77" s="11"/>
      <c r="AQ77" s="11"/>
      <c r="AR77" s="10" t="s">
        <v>1046</v>
      </c>
      <c r="AS77" s="10" t="s">
        <v>66</v>
      </c>
      <c r="AT77" s="10" t="s">
        <v>53</v>
      </c>
    </row>
    <row r="78" spans="1:49" x14ac:dyDescent="0.15">
      <c r="A78" s="8" t="s">
        <v>1047</v>
      </c>
      <c r="B78" s="9" t="s">
        <v>1048</v>
      </c>
      <c r="C78" s="10" t="s">
        <v>1049</v>
      </c>
      <c r="D78" s="10" t="s">
        <v>1042</v>
      </c>
      <c r="E78" s="10" t="s">
        <v>51</v>
      </c>
      <c r="F78" s="10" t="s">
        <v>732</v>
      </c>
      <c r="G78" s="11"/>
      <c r="H78" s="10" t="s">
        <v>229</v>
      </c>
      <c r="I78" s="10" t="s">
        <v>53</v>
      </c>
      <c r="J78" s="10" t="s">
        <v>54</v>
      </c>
      <c r="K78" s="11"/>
      <c r="L78" s="10" t="s">
        <v>1006</v>
      </c>
      <c r="M78" s="11"/>
      <c r="N78" s="11"/>
      <c r="O78" s="11"/>
      <c r="P78" s="11"/>
      <c r="Q78" s="10" t="s">
        <v>75</v>
      </c>
      <c r="R78" s="11"/>
      <c r="S78" s="10" t="s">
        <v>734</v>
      </c>
      <c r="T78" s="10" t="s">
        <v>735</v>
      </c>
      <c r="U78" s="10" t="s">
        <v>736</v>
      </c>
      <c r="V78" s="11"/>
      <c r="W78" s="10" t="s">
        <v>737</v>
      </c>
      <c r="X78" s="10" t="s">
        <v>80</v>
      </c>
      <c r="Y78" s="10" t="s">
        <v>80</v>
      </c>
      <c r="Z78" s="10" t="s">
        <v>1050</v>
      </c>
      <c r="AA78" s="10" t="s">
        <v>1050</v>
      </c>
      <c r="AB78" s="11"/>
      <c r="AC78" s="11"/>
      <c r="AD78" s="11"/>
      <c r="AE78" s="11"/>
      <c r="AF78" s="27">
        <v>500</v>
      </c>
      <c r="AG78" s="11"/>
      <c r="AH78" s="10" t="s">
        <v>433</v>
      </c>
      <c r="AI78" s="11"/>
      <c r="AJ78" s="10" t="s">
        <v>1044</v>
      </c>
      <c r="AK78" s="10" t="s">
        <v>1045</v>
      </c>
      <c r="AL78" s="11"/>
      <c r="AM78" s="11"/>
      <c r="AN78" s="11"/>
      <c r="AO78" s="11"/>
      <c r="AP78" s="11"/>
      <c r="AQ78" s="11"/>
      <c r="AR78" s="10" t="s">
        <v>1046</v>
      </c>
      <c r="AS78" s="10" t="s">
        <v>66</v>
      </c>
      <c r="AT78" s="10" t="s">
        <v>53</v>
      </c>
    </row>
    <row r="79" spans="1:49" x14ac:dyDescent="0.15">
      <c r="A79" s="8" t="s">
        <v>1051</v>
      </c>
      <c r="B79" s="9" t="s">
        <v>1052</v>
      </c>
      <c r="C79" s="10" t="s">
        <v>1053</v>
      </c>
      <c r="D79" s="10" t="s">
        <v>1054</v>
      </c>
      <c r="E79" s="10" t="s">
        <v>51</v>
      </c>
      <c r="F79" s="10" t="s">
        <v>732</v>
      </c>
      <c r="G79" s="11"/>
      <c r="H79" s="10" t="s">
        <v>239</v>
      </c>
      <c r="I79" s="10" t="s">
        <v>53</v>
      </c>
      <c r="J79" s="10" t="s">
        <v>54</v>
      </c>
      <c r="K79" s="11"/>
      <c r="L79" s="10" t="s">
        <v>1006</v>
      </c>
      <c r="M79" s="11"/>
      <c r="N79" s="11"/>
      <c r="O79" s="11"/>
      <c r="P79" s="11"/>
      <c r="Q79" s="10" t="s">
        <v>75</v>
      </c>
      <c r="R79" s="11"/>
      <c r="S79" s="10" t="s">
        <v>734</v>
      </c>
      <c r="T79" s="10" t="s">
        <v>735</v>
      </c>
      <c r="U79" s="10" t="s">
        <v>736</v>
      </c>
      <c r="V79" s="11"/>
      <c r="W79" s="10" t="s">
        <v>737</v>
      </c>
      <c r="X79" s="10" t="s">
        <v>80</v>
      </c>
      <c r="Y79" s="10" t="s">
        <v>80</v>
      </c>
      <c r="Z79" s="10" t="s">
        <v>1055</v>
      </c>
      <c r="AA79" s="10" t="s">
        <v>1055</v>
      </c>
      <c r="AB79" s="11"/>
      <c r="AC79" s="11"/>
      <c r="AD79" s="11"/>
      <c r="AE79" s="11"/>
      <c r="AF79" s="27">
        <v>6000</v>
      </c>
      <c r="AG79" s="11"/>
      <c r="AH79" s="10" t="s">
        <v>126</v>
      </c>
      <c r="AI79" s="11"/>
      <c r="AJ79" s="10" t="s">
        <v>1044</v>
      </c>
      <c r="AK79" s="10" t="s">
        <v>1045</v>
      </c>
      <c r="AL79" s="11"/>
      <c r="AM79" s="11"/>
      <c r="AN79" s="11"/>
      <c r="AO79" s="11"/>
      <c r="AP79" s="11"/>
      <c r="AQ79" s="11"/>
      <c r="AR79" s="10" t="s">
        <v>1056</v>
      </c>
      <c r="AS79" s="10" t="s">
        <v>66</v>
      </c>
      <c r="AT79" s="10" t="s">
        <v>53</v>
      </c>
    </row>
    <row r="80" spans="1:49" x14ac:dyDescent="0.15">
      <c r="A80" s="8" t="s">
        <v>1057</v>
      </c>
      <c r="B80" s="9" t="s">
        <v>1058</v>
      </c>
      <c r="C80" s="10" t="s">
        <v>1059</v>
      </c>
      <c r="D80" s="10" t="s">
        <v>1060</v>
      </c>
      <c r="E80" s="10" t="s">
        <v>51</v>
      </c>
      <c r="F80" s="10" t="s">
        <v>732</v>
      </c>
      <c r="G80" s="11"/>
      <c r="H80" s="10" t="s">
        <v>239</v>
      </c>
      <c r="I80" s="10" t="s">
        <v>53</v>
      </c>
      <c r="J80" s="10" t="s">
        <v>54</v>
      </c>
      <c r="K80" s="11"/>
      <c r="L80" s="10" t="s">
        <v>1006</v>
      </c>
      <c r="M80" s="11"/>
      <c r="N80" s="11"/>
      <c r="O80" s="11"/>
      <c r="P80" s="11"/>
      <c r="Q80" s="10" t="s">
        <v>75</v>
      </c>
      <c r="R80" s="11"/>
      <c r="S80" s="10" t="s">
        <v>734</v>
      </c>
      <c r="T80" s="10" t="s">
        <v>735</v>
      </c>
      <c r="U80" s="10" t="s">
        <v>736</v>
      </c>
      <c r="V80" s="11"/>
      <c r="W80" s="10" t="s">
        <v>737</v>
      </c>
      <c r="X80" s="10" t="s">
        <v>80</v>
      </c>
      <c r="Y80" s="10" t="s">
        <v>80</v>
      </c>
      <c r="Z80" s="10" t="s">
        <v>1061</v>
      </c>
      <c r="AA80" s="10" t="s">
        <v>1061</v>
      </c>
      <c r="AB80" s="11"/>
      <c r="AC80" s="11"/>
      <c r="AD80" s="11"/>
      <c r="AE80" s="11"/>
      <c r="AF80" s="27">
        <v>2000</v>
      </c>
      <c r="AG80" s="11"/>
      <c r="AH80" s="10" t="s">
        <v>126</v>
      </c>
      <c r="AI80" s="11"/>
      <c r="AJ80" s="10" t="s">
        <v>1062</v>
      </c>
      <c r="AK80" s="10" t="s">
        <v>1045</v>
      </c>
      <c r="AL80" s="11"/>
      <c r="AM80" s="11"/>
      <c r="AN80" s="11"/>
      <c r="AO80" s="11"/>
      <c r="AP80" s="11"/>
      <c r="AQ80" s="11"/>
      <c r="AR80" s="10" t="s">
        <v>1063</v>
      </c>
      <c r="AS80" s="10" t="s">
        <v>66</v>
      </c>
      <c r="AT80" s="10" t="s">
        <v>53</v>
      </c>
    </row>
    <row r="81" spans="1:48" x14ac:dyDescent="0.15">
      <c r="A81" s="8" t="s">
        <v>1064</v>
      </c>
      <c r="B81" s="9" t="s">
        <v>1065</v>
      </c>
      <c r="C81" s="10" t="s">
        <v>1066</v>
      </c>
      <c r="D81" s="10" t="s">
        <v>1067</v>
      </c>
      <c r="E81" s="10" t="s">
        <v>51</v>
      </c>
      <c r="F81" s="10" t="s">
        <v>732</v>
      </c>
      <c r="G81" s="11"/>
      <c r="H81" s="10" t="s">
        <v>239</v>
      </c>
      <c r="I81" s="10" t="s">
        <v>53</v>
      </c>
      <c r="J81" s="10" t="s">
        <v>54</v>
      </c>
      <c r="K81" s="11"/>
      <c r="L81" s="10" t="s">
        <v>1006</v>
      </c>
      <c r="M81" s="11"/>
      <c r="N81" s="11"/>
      <c r="O81" s="11"/>
      <c r="P81" s="11"/>
      <c r="Q81" s="10" t="s">
        <v>75</v>
      </c>
      <c r="R81" s="11"/>
      <c r="S81" s="10" t="s">
        <v>734</v>
      </c>
      <c r="T81" s="10" t="s">
        <v>735</v>
      </c>
      <c r="U81" s="10" t="s">
        <v>736</v>
      </c>
      <c r="V81" s="11"/>
      <c r="W81" s="10" t="s">
        <v>737</v>
      </c>
      <c r="X81" s="10" t="s">
        <v>80</v>
      </c>
      <c r="Y81" s="10" t="s">
        <v>80</v>
      </c>
      <c r="Z81" s="10" t="s">
        <v>1068</v>
      </c>
      <c r="AA81" s="10" t="s">
        <v>1068</v>
      </c>
      <c r="AB81" s="11"/>
      <c r="AC81" s="11"/>
      <c r="AD81" s="11"/>
      <c r="AE81" s="11"/>
      <c r="AF81" s="27">
        <v>3000</v>
      </c>
      <c r="AG81" s="11"/>
      <c r="AH81" s="10" t="s">
        <v>126</v>
      </c>
      <c r="AI81" s="11"/>
      <c r="AJ81" s="10" t="s">
        <v>1062</v>
      </c>
      <c r="AK81" s="10" t="s">
        <v>1045</v>
      </c>
      <c r="AL81" s="11"/>
      <c r="AM81" s="11"/>
      <c r="AN81" s="11"/>
      <c r="AO81" s="11"/>
      <c r="AP81" s="11"/>
      <c r="AQ81" s="11"/>
      <c r="AR81" s="10" t="s">
        <v>1069</v>
      </c>
      <c r="AS81" s="10" t="s">
        <v>66</v>
      </c>
      <c r="AT81" s="10" t="s">
        <v>53</v>
      </c>
    </row>
    <row r="82" spans="1:48" x14ac:dyDescent="0.15">
      <c r="A82" s="8" t="s">
        <v>1077</v>
      </c>
      <c r="B82" s="9" t="s">
        <v>1078</v>
      </c>
      <c r="C82" s="10" t="s">
        <v>1079</v>
      </c>
      <c r="D82" s="10" t="s">
        <v>1080</v>
      </c>
      <c r="E82" s="10" t="s">
        <v>51</v>
      </c>
      <c r="F82" s="10" t="s">
        <v>732</v>
      </c>
      <c r="G82" s="11"/>
      <c r="H82" s="10" t="s">
        <v>561</v>
      </c>
      <c r="I82" s="10" t="s">
        <v>53</v>
      </c>
      <c r="J82" s="10" t="s">
        <v>54</v>
      </c>
      <c r="K82" s="11"/>
      <c r="L82" s="10" t="s">
        <v>1006</v>
      </c>
      <c r="M82" s="11"/>
      <c r="N82" s="11"/>
      <c r="O82" s="11"/>
      <c r="P82" s="11"/>
      <c r="Q82" s="10" t="s">
        <v>75</v>
      </c>
      <c r="R82" s="11"/>
      <c r="S82" s="10" t="s">
        <v>734</v>
      </c>
      <c r="T82" s="10" t="s">
        <v>735</v>
      </c>
      <c r="U82" s="10" t="s">
        <v>736</v>
      </c>
      <c r="V82" s="11"/>
      <c r="W82" s="10" t="s">
        <v>737</v>
      </c>
      <c r="X82" s="10" t="s">
        <v>80</v>
      </c>
      <c r="Y82" s="10" t="s">
        <v>80</v>
      </c>
      <c r="Z82" s="10" t="s">
        <v>1081</v>
      </c>
      <c r="AA82" s="10" t="s">
        <v>1081</v>
      </c>
      <c r="AB82" s="11"/>
      <c r="AC82" s="11"/>
      <c r="AD82" s="11"/>
      <c r="AE82" s="11"/>
      <c r="AF82" s="27">
        <v>4000</v>
      </c>
      <c r="AG82" s="11"/>
      <c r="AH82" s="10" t="s">
        <v>126</v>
      </c>
      <c r="AI82" s="11"/>
      <c r="AJ82" s="10" t="s">
        <v>1082</v>
      </c>
      <c r="AK82" s="10" t="s">
        <v>1045</v>
      </c>
      <c r="AL82" s="11"/>
      <c r="AM82" s="11"/>
      <c r="AN82" s="11"/>
      <c r="AO82" s="11"/>
      <c r="AP82" s="11"/>
      <c r="AQ82" s="11"/>
      <c r="AR82" s="10" t="s">
        <v>1083</v>
      </c>
      <c r="AS82" s="10" t="s">
        <v>66</v>
      </c>
      <c r="AT82" s="10" t="s">
        <v>53</v>
      </c>
    </row>
    <row r="83" spans="1:48" x14ac:dyDescent="0.15">
      <c r="A83" s="8" t="s">
        <v>1084</v>
      </c>
      <c r="B83" s="9" t="s">
        <v>1085</v>
      </c>
      <c r="C83" s="10" t="s">
        <v>1086</v>
      </c>
      <c r="D83" s="10" t="s">
        <v>1087</v>
      </c>
      <c r="E83" s="10" t="s">
        <v>51</v>
      </c>
      <c r="F83" s="10" t="s">
        <v>732</v>
      </c>
      <c r="G83" s="11"/>
      <c r="H83" s="10" t="s">
        <v>561</v>
      </c>
      <c r="I83" s="10" t="s">
        <v>53</v>
      </c>
      <c r="J83" s="10" t="s">
        <v>54</v>
      </c>
      <c r="K83" s="11"/>
      <c r="L83" s="10" t="s">
        <v>1006</v>
      </c>
      <c r="M83" s="11"/>
      <c r="N83" s="11"/>
      <c r="O83" s="11"/>
      <c r="P83" s="11"/>
      <c r="Q83" s="10" t="s">
        <v>75</v>
      </c>
      <c r="R83" s="11"/>
      <c r="S83" s="10" t="s">
        <v>734</v>
      </c>
      <c r="T83" s="10" t="s">
        <v>735</v>
      </c>
      <c r="U83" s="10" t="s">
        <v>736</v>
      </c>
      <c r="V83" s="11"/>
      <c r="W83" s="10" t="s">
        <v>737</v>
      </c>
      <c r="X83" s="10" t="s">
        <v>80</v>
      </c>
      <c r="Y83" s="10" t="s">
        <v>80</v>
      </c>
      <c r="Z83" s="10" t="s">
        <v>1088</v>
      </c>
      <c r="AA83" s="10" t="s">
        <v>1088</v>
      </c>
      <c r="AB83" s="11"/>
      <c r="AC83" s="11"/>
      <c r="AD83" s="11"/>
      <c r="AE83" s="11"/>
      <c r="AF83" s="27">
        <v>500</v>
      </c>
      <c r="AG83" s="11"/>
      <c r="AH83" s="10" t="s">
        <v>126</v>
      </c>
      <c r="AI83" s="11"/>
      <c r="AJ83" s="10" t="s">
        <v>1089</v>
      </c>
      <c r="AK83" s="10" t="s">
        <v>1045</v>
      </c>
      <c r="AL83" s="11"/>
      <c r="AM83" s="11"/>
      <c r="AN83" s="11"/>
      <c r="AO83" s="11"/>
      <c r="AP83" s="11"/>
      <c r="AQ83" s="11"/>
      <c r="AR83" s="10" t="s">
        <v>1090</v>
      </c>
      <c r="AS83" s="10" t="s">
        <v>66</v>
      </c>
      <c r="AT83" s="10" t="s">
        <v>53</v>
      </c>
    </row>
    <row r="84" spans="1:48" x14ac:dyDescent="0.15">
      <c r="A84" s="8" t="s">
        <v>1091</v>
      </c>
      <c r="B84" s="9" t="s">
        <v>1092</v>
      </c>
      <c r="C84" s="10" t="s">
        <v>1093</v>
      </c>
      <c r="D84" s="10" t="s">
        <v>1094</v>
      </c>
      <c r="E84" s="10" t="s">
        <v>51</v>
      </c>
      <c r="F84" s="10" t="s">
        <v>732</v>
      </c>
      <c r="G84" s="11"/>
      <c r="H84" s="10" t="s">
        <v>561</v>
      </c>
      <c r="I84" s="10" t="s">
        <v>53</v>
      </c>
      <c r="J84" s="10" t="s">
        <v>54</v>
      </c>
      <c r="K84" s="11"/>
      <c r="L84" s="10" t="s">
        <v>1006</v>
      </c>
      <c r="M84" s="11"/>
      <c r="N84" s="11"/>
      <c r="O84" s="11"/>
      <c r="P84" s="11"/>
      <c r="Q84" s="10" t="s">
        <v>75</v>
      </c>
      <c r="R84" s="11"/>
      <c r="S84" s="10" t="s">
        <v>734</v>
      </c>
      <c r="T84" s="10" t="s">
        <v>735</v>
      </c>
      <c r="U84" s="10" t="s">
        <v>736</v>
      </c>
      <c r="V84" s="11"/>
      <c r="W84" s="10" t="s">
        <v>737</v>
      </c>
      <c r="X84" s="10" t="s">
        <v>80</v>
      </c>
      <c r="Y84" s="10" t="s">
        <v>80</v>
      </c>
      <c r="Z84" s="10" t="s">
        <v>1095</v>
      </c>
      <c r="AA84" s="10" t="s">
        <v>1095</v>
      </c>
      <c r="AB84" s="11"/>
      <c r="AC84" s="11"/>
      <c r="AD84" s="11"/>
      <c r="AE84" s="11"/>
      <c r="AF84" s="27">
        <v>100</v>
      </c>
      <c r="AG84" s="11"/>
      <c r="AH84" s="10" t="s">
        <v>126</v>
      </c>
      <c r="AI84" s="11"/>
      <c r="AJ84" s="10" t="s">
        <v>1089</v>
      </c>
      <c r="AK84" s="10" t="s">
        <v>1045</v>
      </c>
      <c r="AL84" s="11"/>
      <c r="AM84" s="11"/>
      <c r="AN84" s="11"/>
      <c r="AO84" s="11"/>
      <c r="AP84" s="11"/>
      <c r="AQ84" s="11"/>
      <c r="AR84" s="10" t="s">
        <v>1096</v>
      </c>
      <c r="AS84" s="10" t="s">
        <v>66</v>
      </c>
      <c r="AT84" s="10" t="s">
        <v>53</v>
      </c>
    </row>
    <row r="85" spans="1:48" x14ac:dyDescent="0.15">
      <c r="A85" s="8" t="s">
        <v>1097</v>
      </c>
      <c r="B85" s="9" t="s">
        <v>1098</v>
      </c>
      <c r="C85" s="10" t="s">
        <v>1099</v>
      </c>
      <c r="D85" s="10" t="s">
        <v>1100</v>
      </c>
      <c r="E85" s="10" t="s">
        <v>51</v>
      </c>
      <c r="F85" s="10" t="s">
        <v>732</v>
      </c>
      <c r="G85" s="11"/>
      <c r="H85" s="10" t="s">
        <v>561</v>
      </c>
      <c r="I85" s="10" t="s">
        <v>53</v>
      </c>
      <c r="J85" s="10" t="s">
        <v>54</v>
      </c>
      <c r="K85" s="11"/>
      <c r="L85" s="10" t="s">
        <v>1006</v>
      </c>
      <c r="M85" s="11"/>
      <c r="N85" s="11"/>
      <c r="O85" s="11"/>
      <c r="P85" s="11"/>
      <c r="Q85" s="10" t="s">
        <v>75</v>
      </c>
      <c r="R85" s="11"/>
      <c r="S85" s="10" t="s">
        <v>734</v>
      </c>
      <c r="T85" s="10" t="s">
        <v>735</v>
      </c>
      <c r="U85" s="10" t="s">
        <v>736</v>
      </c>
      <c r="V85" s="11"/>
      <c r="W85" s="10" t="s">
        <v>737</v>
      </c>
      <c r="X85" s="10" t="s">
        <v>80</v>
      </c>
      <c r="Y85" s="10" t="s">
        <v>80</v>
      </c>
      <c r="Z85" s="10" t="s">
        <v>1101</v>
      </c>
      <c r="AA85" s="10" t="s">
        <v>1101</v>
      </c>
      <c r="AB85" s="11"/>
      <c r="AC85" s="11"/>
      <c r="AD85" s="11"/>
      <c r="AE85" s="11"/>
      <c r="AF85" s="27">
        <v>200</v>
      </c>
      <c r="AG85" s="11"/>
      <c r="AH85" s="10" t="s">
        <v>126</v>
      </c>
      <c r="AI85" s="11"/>
      <c r="AJ85" s="10" t="s">
        <v>1102</v>
      </c>
      <c r="AK85" s="10" t="s">
        <v>1045</v>
      </c>
      <c r="AL85" s="11"/>
      <c r="AM85" s="11"/>
      <c r="AN85" s="11"/>
      <c r="AO85" s="11"/>
      <c r="AP85" s="11"/>
      <c r="AQ85" s="11"/>
      <c r="AR85" s="10" t="s">
        <v>1103</v>
      </c>
      <c r="AS85" s="10" t="s">
        <v>66</v>
      </c>
      <c r="AT85" s="10" t="s">
        <v>53</v>
      </c>
    </row>
    <row r="86" spans="1:48" x14ac:dyDescent="0.15">
      <c r="A86" s="8" t="s">
        <v>1104</v>
      </c>
      <c r="B86" s="9" t="s">
        <v>1105</v>
      </c>
      <c r="C86" s="10" t="s">
        <v>1106</v>
      </c>
      <c r="D86" s="10" t="s">
        <v>1107</v>
      </c>
      <c r="E86" s="10" t="s">
        <v>51</v>
      </c>
      <c r="F86" s="10" t="s">
        <v>732</v>
      </c>
      <c r="G86" s="11"/>
      <c r="H86" s="10" t="s">
        <v>561</v>
      </c>
      <c r="I86" s="10" t="s">
        <v>53</v>
      </c>
      <c r="J86" s="10" t="s">
        <v>54</v>
      </c>
      <c r="K86" s="11"/>
      <c r="L86" s="10" t="s">
        <v>1006</v>
      </c>
      <c r="M86" s="11"/>
      <c r="N86" s="11"/>
      <c r="O86" s="11"/>
      <c r="P86" s="11"/>
      <c r="Q86" s="10" t="s">
        <v>75</v>
      </c>
      <c r="R86" s="11"/>
      <c r="S86" s="10" t="s">
        <v>734</v>
      </c>
      <c r="T86" s="10" t="s">
        <v>735</v>
      </c>
      <c r="U86" s="10" t="s">
        <v>736</v>
      </c>
      <c r="V86" s="11"/>
      <c r="W86" s="10" t="s">
        <v>737</v>
      </c>
      <c r="X86" s="10" t="s">
        <v>80</v>
      </c>
      <c r="Y86" s="10" t="s">
        <v>80</v>
      </c>
      <c r="Z86" s="10" t="s">
        <v>1108</v>
      </c>
      <c r="AA86" s="10" t="s">
        <v>1108</v>
      </c>
      <c r="AB86" s="11"/>
      <c r="AC86" s="11"/>
      <c r="AD86" s="11"/>
      <c r="AE86" s="11"/>
      <c r="AF86" s="27">
        <v>800</v>
      </c>
      <c r="AG86" s="11"/>
      <c r="AH86" s="10" t="s">
        <v>126</v>
      </c>
      <c r="AI86" s="11"/>
      <c r="AJ86" s="10" t="s">
        <v>1109</v>
      </c>
      <c r="AK86" s="10" t="s">
        <v>1045</v>
      </c>
      <c r="AL86" s="11"/>
      <c r="AM86" s="11"/>
      <c r="AN86" s="11"/>
      <c r="AO86" s="11"/>
      <c r="AP86" s="11"/>
      <c r="AQ86" s="11"/>
      <c r="AR86" s="10" t="s">
        <v>1110</v>
      </c>
      <c r="AS86" s="10" t="s">
        <v>66</v>
      </c>
      <c r="AT86" s="10" t="s">
        <v>53</v>
      </c>
    </row>
    <row r="87" spans="1:48" x14ac:dyDescent="0.15">
      <c r="A87" s="8" t="s">
        <v>1111</v>
      </c>
      <c r="B87" s="9" t="s">
        <v>1112</v>
      </c>
      <c r="C87" s="10" t="s">
        <v>1113</v>
      </c>
      <c r="D87" s="10" t="s">
        <v>1114</v>
      </c>
      <c r="E87" s="10" t="s">
        <v>51</v>
      </c>
      <c r="F87" s="10" t="s">
        <v>732</v>
      </c>
      <c r="G87" s="11"/>
      <c r="H87" s="10" t="s">
        <v>561</v>
      </c>
      <c r="I87" s="10" t="s">
        <v>53</v>
      </c>
      <c r="J87" s="10" t="s">
        <v>54</v>
      </c>
      <c r="K87" s="11"/>
      <c r="L87" s="10" t="s">
        <v>1006</v>
      </c>
      <c r="M87" s="11"/>
      <c r="N87" s="11"/>
      <c r="O87" s="11"/>
      <c r="P87" s="11"/>
      <c r="Q87" s="10" t="s">
        <v>75</v>
      </c>
      <c r="R87" s="11"/>
      <c r="S87" s="10" t="s">
        <v>734</v>
      </c>
      <c r="T87" s="10" t="s">
        <v>735</v>
      </c>
      <c r="U87" s="10" t="s">
        <v>736</v>
      </c>
      <c r="V87" s="11"/>
      <c r="W87" s="10" t="s">
        <v>737</v>
      </c>
      <c r="X87" s="10" t="s">
        <v>80</v>
      </c>
      <c r="Y87" s="10" t="s">
        <v>80</v>
      </c>
      <c r="Z87" s="10" t="s">
        <v>1115</v>
      </c>
      <c r="AA87" s="10" t="s">
        <v>1115</v>
      </c>
      <c r="AB87" s="11"/>
      <c r="AC87" s="11"/>
      <c r="AD87" s="11"/>
      <c r="AE87" s="11"/>
      <c r="AF87" s="27">
        <v>3000</v>
      </c>
      <c r="AG87" s="11"/>
      <c r="AH87" s="10" t="s">
        <v>126</v>
      </c>
      <c r="AI87" s="11"/>
      <c r="AJ87" s="10" t="s">
        <v>1109</v>
      </c>
      <c r="AK87" s="10" t="s">
        <v>1045</v>
      </c>
      <c r="AL87" s="11"/>
      <c r="AM87" s="11"/>
      <c r="AN87" s="11"/>
      <c r="AO87" s="11"/>
      <c r="AP87" s="11"/>
      <c r="AQ87" s="11"/>
      <c r="AR87" s="10" t="s">
        <v>1116</v>
      </c>
      <c r="AS87" s="10" t="s">
        <v>66</v>
      </c>
      <c r="AT87" s="10" t="s">
        <v>53</v>
      </c>
    </row>
    <row r="88" spans="1:48" x14ac:dyDescent="0.15">
      <c r="A88" s="8" t="s">
        <v>1117</v>
      </c>
      <c r="B88" s="9" t="s">
        <v>1118</v>
      </c>
      <c r="C88" s="10" t="s">
        <v>1119</v>
      </c>
      <c r="D88" s="10" t="s">
        <v>1120</v>
      </c>
      <c r="E88" s="10" t="s">
        <v>51</v>
      </c>
      <c r="F88" s="10" t="s">
        <v>732</v>
      </c>
      <c r="G88" s="11"/>
      <c r="H88" s="10" t="s">
        <v>561</v>
      </c>
      <c r="I88" s="10" t="s">
        <v>53</v>
      </c>
      <c r="J88" s="10" t="s">
        <v>54</v>
      </c>
      <c r="K88" s="11"/>
      <c r="L88" s="10" t="s">
        <v>1006</v>
      </c>
      <c r="M88" s="11"/>
      <c r="N88" s="11"/>
      <c r="O88" s="11"/>
      <c r="P88" s="11"/>
      <c r="Q88" s="10" t="s">
        <v>75</v>
      </c>
      <c r="R88" s="11"/>
      <c r="S88" s="10" t="s">
        <v>734</v>
      </c>
      <c r="T88" s="10" t="s">
        <v>735</v>
      </c>
      <c r="U88" s="10" t="s">
        <v>736</v>
      </c>
      <c r="V88" s="11"/>
      <c r="W88" s="10" t="s">
        <v>737</v>
      </c>
      <c r="X88" s="10" t="s">
        <v>80</v>
      </c>
      <c r="Y88" s="10" t="s">
        <v>80</v>
      </c>
      <c r="Z88" s="10" t="s">
        <v>1121</v>
      </c>
      <c r="AA88" s="10" t="s">
        <v>1121</v>
      </c>
      <c r="AB88" s="11"/>
      <c r="AC88" s="11"/>
      <c r="AD88" s="11"/>
      <c r="AE88" s="11"/>
      <c r="AF88" s="27">
        <v>900</v>
      </c>
      <c r="AG88" s="11"/>
      <c r="AH88" s="10" t="s">
        <v>126</v>
      </c>
      <c r="AI88" s="11"/>
      <c r="AJ88" s="10" t="s">
        <v>1122</v>
      </c>
      <c r="AK88" s="10" t="s">
        <v>1045</v>
      </c>
      <c r="AL88" s="11"/>
      <c r="AM88" s="11"/>
      <c r="AN88" s="11"/>
      <c r="AO88" s="11"/>
      <c r="AP88" s="11"/>
      <c r="AQ88" s="11"/>
      <c r="AR88" s="10" t="s">
        <v>1123</v>
      </c>
      <c r="AS88" s="10" t="s">
        <v>66</v>
      </c>
      <c r="AT88" s="10" t="s">
        <v>53</v>
      </c>
    </row>
    <row r="89" spans="1:48" x14ac:dyDescent="0.15">
      <c r="A89" s="8" t="s">
        <v>1124</v>
      </c>
      <c r="B89" s="9" t="s">
        <v>1125</v>
      </c>
      <c r="C89" s="10" t="s">
        <v>1126</v>
      </c>
      <c r="D89" s="10" t="s">
        <v>1127</v>
      </c>
      <c r="E89" s="10" t="s">
        <v>51</v>
      </c>
      <c r="F89" s="10" t="s">
        <v>732</v>
      </c>
      <c r="G89" s="11"/>
      <c r="H89" s="10" t="s">
        <v>561</v>
      </c>
      <c r="I89" s="10" t="s">
        <v>53</v>
      </c>
      <c r="J89" s="10" t="s">
        <v>54</v>
      </c>
      <c r="K89" s="11"/>
      <c r="L89" s="10" t="s">
        <v>1006</v>
      </c>
      <c r="M89" s="11"/>
      <c r="N89" s="11"/>
      <c r="O89" s="11"/>
      <c r="P89" s="11"/>
      <c r="Q89" s="10" t="s">
        <v>75</v>
      </c>
      <c r="R89" s="11"/>
      <c r="S89" s="10" t="s">
        <v>734</v>
      </c>
      <c r="T89" s="10" t="s">
        <v>735</v>
      </c>
      <c r="U89" s="10" t="s">
        <v>736</v>
      </c>
      <c r="V89" s="11"/>
      <c r="W89" s="10" t="s">
        <v>737</v>
      </c>
      <c r="X89" s="10" t="s">
        <v>80</v>
      </c>
      <c r="Y89" s="10" t="s">
        <v>80</v>
      </c>
      <c r="Z89" s="10" t="s">
        <v>1128</v>
      </c>
      <c r="AA89" s="10" t="s">
        <v>1128</v>
      </c>
      <c r="AB89" s="11"/>
      <c r="AC89" s="11"/>
      <c r="AD89" s="11"/>
      <c r="AE89" s="11"/>
      <c r="AF89" s="27">
        <v>3000</v>
      </c>
      <c r="AG89" s="11"/>
      <c r="AH89" s="11"/>
      <c r="AI89" s="11"/>
      <c r="AJ89" s="10" t="s">
        <v>1044</v>
      </c>
      <c r="AK89" s="10" t="s">
        <v>1045</v>
      </c>
      <c r="AL89" s="11"/>
      <c r="AM89" s="11"/>
      <c r="AN89" s="11"/>
      <c r="AO89" s="11"/>
      <c r="AP89" s="11"/>
      <c r="AQ89" s="11"/>
      <c r="AR89" s="10" t="s">
        <v>1129</v>
      </c>
      <c r="AS89" s="10" t="s">
        <v>66</v>
      </c>
      <c r="AT89" s="10" t="s">
        <v>53</v>
      </c>
    </row>
    <row r="90" spans="1:48" x14ac:dyDescent="0.15">
      <c r="A90" s="8" t="s">
        <v>1130</v>
      </c>
      <c r="B90" s="9" t="s">
        <v>1131</v>
      </c>
      <c r="C90" s="10" t="s">
        <v>1132</v>
      </c>
      <c r="D90" s="10" t="s">
        <v>1133</v>
      </c>
      <c r="E90" s="10" t="s">
        <v>51</v>
      </c>
      <c r="F90" s="10" t="s">
        <v>732</v>
      </c>
      <c r="G90" s="11"/>
      <c r="H90" s="10" t="s">
        <v>568</v>
      </c>
      <c r="I90" s="10" t="s">
        <v>53</v>
      </c>
      <c r="J90" s="10" t="s">
        <v>54</v>
      </c>
      <c r="K90" s="11"/>
      <c r="L90" s="10" t="s">
        <v>1006</v>
      </c>
      <c r="M90" s="11"/>
      <c r="N90" s="11"/>
      <c r="O90" s="11"/>
      <c r="P90" s="11"/>
      <c r="Q90" s="10" t="s">
        <v>75</v>
      </c>
      <c r="R90" s="11"/>
      <c r="S90" s="10" t="s">
        <v>734</v>
      </c>
      <c r="T90" s="10" t="s">
        <v>735</v>
      </c>
      <c r="U90" s="10" t="s">
        <v>736</v>
      </c>
      <c r="V90" s="11"/>
      <c r="W90" s="10" t="s">
        <v>737</v>
      </c>
      <c r="X90" s="10" t="s">
        <v>80</v>
      </c>
      <c r="Y90" s="10" t="s">
        <v>80</v>
      </c>
      <c r="Z90" s="10" t="s">
        <v>1134</v>
      </c>
      <c r="AA90" s="10" t="s">
        <v>1134</v>
      </c>
      <c r="AB90" s="11"/>
      <c r="AC90" s="11"/>
      <c r="AD90" s="11"/>
      <c r="AE90" s="11"/>
      <c r="AF90" s="27">
        <v>600</v>
      </c>
      <c r="AG90" s="11"/>
      <c r="AH90" s="11"/>
      <c r="AI90" s="11"/>
      <c r="AJ90" s="10" t="s">
        <v>1135</v>
      </c>
      <c r="AK90" s="11"/>
      <c r="AL90" s="11"/>
      <c r="AM90" s="11"/>
      <c r="AN90" s="11"/>
      <c r="AO90" s="11"/>
      <c r="AP90" s="11"/>
      <c r="AQ90" s="11"/>
      <c r="AR90" s="10" t="s">
        <v>1136</v>
      </c>
      <c r="AS90" s="10" t="s">
        <v>66</v>
      </c>
      <c r="AT90" s="10" t="s">
        <v>53</v>
      </c>
    </row>
    <row r="91" spans="1:48" x14ac:dyDescent="0.15">
      <c r="A91" s="8" t="s">
        <v>1137</v>
      </c>
      <c r="B91" s="9" t="s">
        <v>1138</v>
      </c>
      <c r="C91" s="10" t="s">
        <v>1139</v>
      </c>
      <c r="D91" s="10" t="s">
        <v>1140</v>
      </c>
      <c r="E91" s="10" t="s">
        <v>51</v>
      </c>
      <c r="F91" s="10" t="s">
        <v>732</v>
      </c>
      <c r="G91" s="11"/>
      <c r="H91" s="10" t="s">
        <v>568</v>
      </c>
      <c r="I91" s="10" t="s">
        <v>53</v>
      </c>
      <c r="J91" s="10" t="s">
        <v>54</v>
      </c>
      <c r="K91" s="11"/>
      <c r="L91" s="10" t="s">
        <v>1006</v>
      </c>
      <c r="M91" s="11"/>
      <c r="N91" s="11"/>
      <c r="O91" s="11"/>
      <c r="P91" s="11"/>
      <c r="Q91" s="10" t="s">
        <v>75</v>
      </c>
      <c r="R91" s="11"/>
      <c r="S91" s="10" t="s">
        <v>734</v>
      </c>
      <c r="T91" s="10" t="s">
        <v>735</v>
      </c>
      <c r="U91" s="10" t="s">
        <v>736</v>
      </c>
      <c r="V91" s="11"/>
      <c r="W91" s="10" t="s">
        <v>737</v>
      </c>
      <c r="X91" s="10" t="s">
        <v>80</v>
      </c>
      <c r="Y91" s="10" t="s">
        <v>80</v>
      </c>
      <c r="Z91" s="10" t="s">
        <v>1141</v>
      </c>
      <c r="AA91" s="10" t="s">
        <v>1141</v>
      </c>
      <c r="AB91" s="11"/>
      <c r="AC91" s="11"/>
      <c r="AD91" s="11"/>
      <c r="AE91" s="11"/>
      <c r="AF91" s="27">
        <v>11000</v>
      </c>
      <c r="AG91" s="11"/>
      <c r="AH91" s="11"/>
      <c r="AI91" s="11"/>
      <c r="AJ91" s="10" t="s">
        <v>1142</v>
      </c>
      <c r="AK91" s="11"/>
      <c r="AL91" s="11"/>
      <c r="AM91" s="11"/>
      <c r="AN91" s="11"/>
      <c r="AO91" s="11"/>
      <c r="AP91" s="11"/>
      <c r="AQ91" s="11"/>
      <c r="AR91" s="10" t="s">
        <v>1143</v>
      </c>
      <c r="AS91" s="10" t="s">
        <v>66</v>
      </c>
      <c r="AT91" s="10" t="s">
        <v>53</v>
      </c>
    </row>
    <row r="92" spans="1:48" x14ac:dyDescent="0.15">
      <c r="A92" s="8" t="s">
        <v>1144</v>
      </c>
      <c r="B92" s="9" t="s">
        <v>1145</v>
      </c>
      <c r="C92" s="10" t="s">
        <v>1146</v>
      </c>
      <c r="D92" s="10" t="s">
        <v>1147</v>
      </c>
      <c r="E92" s="10" t="s">
        <v>51</v>
      </c>
      <c r="F92" s="10" t="s">
        <v>732</v>
      </c>
      <c r="G92" s="11"/>
      <c r="H92" s="10" t="s">
        <v>568</v>
      </c>
      <c r="I92" s="10" t="s">
        <v>53</v>
      </c>
      <c r="J92" s="10" t="s">
        <v>54</v>
      </c>
      <c r="K92" s="11"/>
      <c r="L92" s="10" t="s">
        <v>1006</v>
      </c>
      <c r="M92" s="11"/>
      <c r="N92" s="11"/>
      <c r="O92" s="11"/>
      <c r="P92" s="11"/>
      <c r="Q92" s="10" t="s">
        <v>75</v>
      </c>
      <c r="R92" s="11"/>
      <c r="S92" s="10" t="s">
        <v>734</v>
      </c>
      <c r="T92" s="10" t="s">
        <v>735</v>
      </c>
      <c r="U92" s="10" t="s">
        <v>736</v>
      </c>
      <c r="V92" s="11"/>
      <c r="W92" s="10" t="s">
        <v>737</v>
      </c>
      <c r="X92" s="10" t="s">
        <v>80</v>
      </c>
      <c r="Y92" s="10" t="s">
        <v>80</v>
      </c>
      <c r="Z92" s="10" t="s">
        <v>1148</v>
      </c>
      <c r="AA92" s="10" t="s">
        <v>1148</v>
      </c>
      <c r="AB92" s="11"/>
      <c r="AC92" s="11"/>
      <c r="AD92" s="11"/>
      <c r="AE92" s="11"/>
      <c r="AF92" s="27">
        <v>1</v>
      </c>
      <c r="AG92" s="11"/>
      <c r="AH92" s="11"/>
      <c r="AI92" s="11"/>
      <c r="AJ92" s="10" t="s">
        <v>1149</v>
      </c>
      <c r="AK92" s="11"/>
      <c r="AL92" s="11"/>
      <c r="AM92" s="11"/>
      <c r="AN92" s="11"/>
      <c r="AO92" s="11"/>
      <c r="AP92" s="11"/>
      <c r="AQ92" s="11"/>
      <c r="AR92" s="10" t="s">
        <v>1150</v>
      </c>
      <c r="AS92" s="10" t="s">
        <v>66</v>
      </c>
      <c r="AT92" s="10" t="s">
        <v>53</v>
      </c>
    </row>
    <row r="93" spans="1:48" ht="14" x14ac:dyDescent="0.15">
      <c r="A93" s="8"/>
      <c r="B93" s="9"/>
      <c r="C93" s="10"/>
      <c r="D93" s="10"/>
      <c r="E93" s="10"/>
      <c r="F93" s="10"/>
      <c r="G93" s="11"/>
      <c r="H93" s="10"/>
      <c r="I93" s="10"/>
      <c r="J93" s="10"/>
      <c r="K93" s="11"/>
      <c r="L93" s="10"/>
      <c r="M93" s="11"/>
      <c r="N93" s="11"/>
      <c r="O93" s="11"/>
      <c r="P93" s="11"/>
      <c r="Q93" s="10"/>
      <c r="R93" s="11"/>
      <c r="S93" s="10"/>
      <c r="T93" s="10"/>
      <c r="U93" s="10"/>
      <c r="V93" s="11"/>
      <c r="W93" s="10"/>
      <c r="X93" s="10"/>
      <c r="Y93" s="10"/>
      <c r="Z93" s="10"/>
      <c r="AA93" s="10"/>
      <c r="AB93" s="11"/>
      <c r="AC93" s="11"/>
      <c r="AD93" s="11"/>
      <c r="AE93" s="11"/>
      <c r="AF93" s="28">
        <f>SUM(AF72:AF92)</f>
        <v>38004</v>
      </c>
      <c r="AG93" s="11"/>
      <c r="AH93" s="11"/>
      <c r="AI93" s="11"/>
      <c r="AJ93" s="10"/>
      <c r="AK93" s="11"/>
      <c r="AL93" s="11"/>
      <c r="AM93" s="11"/>
      <c r="AN93" s="11"/>
      <c r="AO93" s="11"/>
      <c r="AP93" s="11"/>
      <c r="AQ93" s="11"/>
      <c r="AR93" s="10"/>
      <c r="AS93" s="10"/>
      <c r="AT93" s="10"/>
      <c r="AV93" s="23" t="s">
        <v>4064</v>
      </c>
    </row>
    <row r="94" spans="1:48" x14ac:dyDescent="0.15">
      <c r="A94" s="8" t="s">
        <v>1687</v>
      </c>
      <c r="B94" s="20" t="s">
        <v>1688</v>
      </c>
      <c r="C94" s="10" t="s">
        <v>1689</v>
      </c>
      <c r="D94" s="10" t="s">
        <v>1690</v>
      </c>
      <c r="E94" s="10" t="s">
        <v>51</v>
      </c>
      <c r="F94" s="10" t="s">
        <v>616</v>
      </c>
      <c r="G94" s="11"/>
      <c r="H94" s="10" t="s">
        <v>1691</v>
      </c>
      <c r="I94" s="10" t="s">
        <v>53</v>
      </c>
      <c r="J94" s="10" t="s">
        <v>54</v>
      </c>
      <c r="K94" s="11"/>
      <c r="L94" s="10" t="s">
        <v>1692</v>
      </c>
      <c r="M94" s="11"/>
      <c r="N94" s="10" t="s">
        <v>461</v>
      </c>
      <c r="O94" s="11"/>
      <c r="P94" s="11"/>
      <c r="Q94" s="10" t="s">
        <v>75</v>
      </c>
      <c r="R94" s="11"/>
      <c r="S94" s="10" t="s">
        <v>620</v>
      </c>
      <c r="T94" s="10" t="s">
        <v>621</v>
      </c>
      <c r="U94" s="10" t="s">
        <v>622</v>
      </c>
      <c r="V94" s="11"/>
      <c r="W94" s="10" t="s">
        <v>1693</v>
      </c>
      <c r="X94" s="10" t="s">
        <v>80</v>
      </c>
      <c r="Y94" s="10" t="s">
        <v>80</v>
      </c>
      <c r="Z94" s="10" t="s">
        <v>1694</v>
      </c>
      <c r="AA94" s="10" t="s">
        <v>1695</v>
      </c>
      <c r="AB94" s="11"/>
      <c r="AC94" s="11"/>
      <c r="AD94" s="11"/>
      <c r="AE94" s="11"/>
      <c r="AF94" s="27">
        <v>43558</v>
      </c>
      <c r="AG94" s="11"/>
      <c r="AH94" s="10" t="s">
        <v>1696</v>
      </c>
      <c r="AI94" s="10" t="s">
        <v>1697</v>
      </c>
      <c r="AJ94" s="10" t="s">
        <v>1698</v>
      </c>
      <c r="AK94" s="10" t="s">
        <v>1699</v>
      </c>
      <c r="AL94" s="11"/>
      <c r="AM94" s="11"/>
      <c r="AN94" s="11"/>
      <c r="AO94" s="11"/>
      <c r="AP94" s="11"/>
      <c r="AQ94" s="11"/>
      <c r="AR94" s="10" t="s">
        <v>1700</v>
      </c>
      <c r="AS94" s="10" t="s">
        <v>66</v>
      </c>
      <c r="AT94" s="10" t="s">
        <v>53</v>
      </c>
    </row>
    <row r="95" spans="1:48" x14ac:dyDescent="0.15">
      <c r="A95" s="8" t="s">
        <v>1701</v>
      </c>
      <c r="B95" s="9" t="s">
        <v>1702</v>
      </c>
      <c r="C95" s="10" t="s">
        <v>1703</v>
      </c>
      <c r="D95" s="10" t="s">
        <v>1704</v>
      </c>
      <c r="E95" s="10" t="s">
        <v>51</v>
      </c>
      <c r="F95" s="10" t="s">
        <v>616</v>
      </c>
      <c r="G95" s="11"/>
      <c r="H95" s="10" t="s">
        <v>561</v>
      </c>
      <c r="I95" s="10" t="s">
        <v>53</v>
      </c>
      <c r="J95" s="10" t="s">
        <v>54</v>
      </c>
      <c r="K95" s="11"/>
      <c r="L95" s="10" t="s">
        <v>1692</v>
      </c>
      <c r="M95" s="11"/>
      <c r="N95" s="10" t="s">
        <v>461</v>
      </c>
      <c r="O95" s="11"/>
      <c r="P95" s="11"/>
      <c r="Q95" s="10" t="s">
        <v>75</v>
      </c>
      <c r="R95" s="11"/>
      <c r="S95" s="10" t="s">
        <v>620</v>
      </c>
      <c r="T95" s="10" t="s">
        <v>621</v>
      </c>
      <c r="U95" s="10" t="s">
        <v>622</v>
      </c>
      <c r="V95" s="11"/>
      <c r="W95" s="10" t="s">
        <v>1693</v>
      </c>
      <c r="X95" s="10" t="s">
        <v>80</v>
      </c>
      <c r="Y95" s="10" t="s">
        <v>80</v>
      </c>
      <c r="Z95" s="10" t="s">
        <v>1705</v>
      </c>
      <c r="AA95" s="10" t="s">
        <v>1706</v>
      </c>
      <c r="AB95" s="11"/>
      <c r="AC95" s="11"/>
      <c r="AD95" s="11"/>
      <c r="AE95" s="11"/>
      <c r="AF95" s="27">
        <v>45920</v>
      </c>
      <c r="AG95" s="11"/>
      <c r="AH95" s="10" t="s">
        <v>1696</v>
      </c>
      <c r="AI95" s="10" t="s">
        <v>1707</v>
      </c>
      <c r="AJ95" s="10" t="s">
        <v>1698</v>
      </c>
      <c r="AK95" s="10" t="s">
        <v>1708</v>
      </c>
      <c r="AL95" s="11"/>
      <c r="AM95" s="11"/>
      <c r="AN95" s="11"/>
      <c r="AO95" s="11"/>
      <c r="AP95" s="11"/>
      <c r="AQ95" s="11"/>
      <c r="AR95" s="10" t="s">
        <v>1709</v>
      </c>
      <c r="AS95" s="10" t="s">
        <v>66</v>
      </c>
      <c r="AT95" s="10" t="s">
        <v>53</v>
      </c>
    </row>
    <row r="96" spans="1:48" x14ac:dyDescent="0.15">
      <c r="A96" s="8" t="s">
        <v>1710</v>
      </c>
      <c r="B96" s="9" t="s">
        <v>1711</v>
      </c>
      <c r="C96" s="10" t="s">
        <v>1712</v>
      </c>
      <c r="D96" s="10" t="s">
        <v>1713</v>
      </c>
      <c r="E96" s="10" t="s">
        <v>51</v>
      </c>
      <c r="F96" s="10" t="s">
        <v>616</v>
      </c>
      <c r="G96" s="11"/>
      <c r="H96" s="10" t="s">
        <v>1714</v>
      </c>
      <c r="I96" s="10" t="s">
        <v>53</v>
      </c>
      <c r="J96" s="10" t="s">
        <v>54</v>
      </c>
      <c r="K96" s="11"/>
      <c r="L96" s="10" t="s">
        <v>1692</v>
      </c>
      <c r="M96" s="11"/>
      <c r="N96" s="10" t="s">
        <v>461</v>
      </c>
      <c r="O96" s="11"/>
      <c r="P96" s="11"/>
      <c r="Q96" s="10" t="s">
        <v>75</v>
      </c>
      <c r="R96" s="11"/>
      <c r="S96" s="10" t="s">
        <v>620</v>
      </c>
      <c r="T96" s="10" t="s">
        <v>621</v>
      </c>
      <c r="U96" s="10" t="s">
        <v>622</v>
      </c>
      <c r="V96" s="11"/>
      <c r="W96" s="10" t="s">
        <v>1693</v>
      </c>
      <c r="X96" s="10" t="s">
        <v>80</v>
      </c>
      <c r="Y96" s="10" t="s">
        <v>80</v>
      </c>
      <c r="Z96" s="10" t="s">
        <v>1715</v>
      </c>
      <c r="AA96" s="10" t="s">
        <v>1716</v>
      </c>
      <c r="AB96" s="11"/>
      <c r="AC96" s="11"/>
      <c r="AD96" s="11"/>
      <c r="AE96" s="11"/>
      <c r="AF96" s="27">
        <v>4017</v>
      </c>
      <c r="AG96" s="11"/>
      <c r="AH96" s="10" t="s">
        <v>1696</v>
      </c>
      <c r="AI96" s="10" t="s">
        <v>1190</v>
      </c>
      <c r="AJ96" s="10" t="s">
        <v>1698</v>
      </c>
      <c r="AK96" s="10" t="s">
        <v>1717</v>
      </c>
      <c r="AL96" s="11"/>
      <c r="AM96" s="11"/>
      <c r="AN96" s="11"/>
      <c r="AO96" s="11"/>
      <c r="AP96" s="11"/>
      <c r="AQ96" s="11"/>
      <c r="AR96" s="10" t="s">
        <v>1718</v>
      </c>
      <c r="AS96" s="10" t="s">
        <v>66</v>
      </c>
      <c r="AT96" s="10" t="s">
        <v>53</v>
      </c>
    </row>
    <row r="97" spans="1:48" x14ac:dyDescent="0.15">
      <c r="A97" s="8" t="s">
        <v>1719</v>
      </c>
      <c r="B97" s="9" t="s">
        <v>1720</v>
      </c>
      <c r="C97" s="10" t="s">
        <v>1721</v>
      </c>
      <c r="D97" s="10" t="s">
        <v>1722</v>
      </c>
      <c r="E97" s="10" t="s">
        <v>51</v>
      </c>
      <c r="F97" s="10" t="s">
        <v>616</v>
      </c>
      <c r="G97" s="11"/>
      <c r="H97" s="10" t="s">
        <v>1723</v>
      </c>
      <c r="I97" s="10" t="s">
        <v>53</v>
      </c>
      <c r="J97" s="10" t="s">
        <v>54</v>
      </c>
      <c r="K97" s="11"/>
      <c r="L97" s="10" t="s">
        <v>1692</v>
      </c>
      <c r="M97" s="11"/>
      <c r="N97" s="10" t="s">
        <v>461</v>
      </c>
      <c r="O97" s="11"/>
      <c r="P97" s="11"/>
      <c r="Q97" s="10" t="s">
        <v>75</v>
      </c>
      <c r="R97" s="11"/>
      <c r="S97" s="10" t="s">
        <v>620</v>
      </c>
      <c r="T97" s="10" t="s">
        <v>621</v>
      </c>
      <c r="U97" s="10" t="s">
        <v>622</v>
      </c>
      <c r="V97" s="11"/>
      <c r="W97" s="10" t="s">
        <v>1693</v>
      </c>
      <c r="X97" s="10" t="s">
        <v>80</v>
      </c>
      <c r="Y97" s="10" t="s">
        <v>80</v>
      </c>
      <c r="Z97" s="10" t="s">
        <v>1724</v>
      </c>
      <c r="AA97" s="10" t="s">
        <v>1725</v>
      </c>
      <c r="AB97" s="11"/>
      <c r="AC97" s="11"/>
      <c r="AD97" s="11"/>
      <c r="AE97" s="11"/>
      <c r="AF97" s="27">
        <v>23436</v>
      </c>
      <c r="AG97" s="11"/>
      <c r="AH97" s="10" t="s">
        <v>1696</v>
      </c>
      <c r="AI97" s="10" t="s">
        <v>1726</v>
      </c>
      <c r="AJ97" s="10" t="s">
        <v>1698</v>
      </c>
      <c r="AK97" s="10" t="s">
        <v>1727</v>
      </c>
      <c r="AL97" s="11"/>
      <c r="AM97" s="11"/>
      <c r="AN97" s="11"/>
      <c r="AO97" s="11"/>
      <c r="AP97" s="11"/>
      <c r="AQ97" s="11"/>
      <c r="AR97" s="10" t="s">
        <v>1728</v>
      </c>
      <c r="AS97" s="10" t="s">
        <v>66</v>
      </c>
      <c r="AT97" s="10" t="s">
        <v>53</v>
      </c>
    </row>
    <row r="98" spans="1:48" x14ac:dyDescent="0.15">
      <c r="A98" s="8" t="s">
        <v>1729</v>
      </c>
      <c r="B98" s="9" t="s">
        <v>1730</v>
      </c>
      <c r="C98" s="10" t="s">
        <v>1731</v>
      </c>
      <c r="D98" s="10" t="s">
        <v>1732</v>
      </c>
      <c r="E98" s="10" t="s">
        <v>51</v>
      </c>
      <c r="F98" s="10" t="s">
        <v>616</v>
      </c>
      <c r="G98" s="11"/>
      <c r="H98" s="10" t="s">
        <v>561</v>
      </c>
      <c r="I98" s="10" t="s">
        <v>53</v>
      </c>
      <c r="J98" s="10" t="s">
        <v>54</v>
      </c>
      <c r="K98" s="11"/>
      <c r="L98" s="10" t="s">
        <v>1692</v>
      </c>
      <c r="M98" s="11"/>
      <c r="N98" s="10" t="s">
        <v>461</v>
      </c>
      <c r="O98" s="11"/>
      <c r="P98" s="11"/>
      <c r="Q98" s="10" t="s">
        <v>75</v>
      </c>
      <c r="R98" s="11"/>
      <c r="S98" s="10" t="s">
        <v>620</v>
      </c>
      <c r="T98" s="10" t="s">
        <v>621</v>
      </c>
      <c r="U98" s="10" t="s">
        <v>622</v>
      </c>
      <c r="V98" s="11"/>
      <c r="W98" s="10" t="s">
        <v>1693</v>
      </c>
      <c r="X98" s="10" t="s">
        <v>80</v>
      </c>
      <c r="Y98" s="10" t="s">
        <v>80</v>
      </c>
      <c r="Z98" s="10" t="s">
        <v>1733</v>
      </c>
      <c r="AA98" s="10" t="s">
        <v>1734</v>
      </c>
      <c r="AB98" s="11"/>
      <c r="AC98" s="11"/>
      <c r="AD98" s="11"/>
      <c r="AE98" s="11"/>
      <c r="AF98" s="27">
        <v>6409</v>
      </c>
      <c r="AG98" s="11"/>
      <c r="AH98" s="10" t="s">
        <v>1696</v>
      </c>
      <c r="AI98" s="10" t="s">
        <v>1735</v>
      </c>
      <c r="AJ98" s="10" t="s">
        <v>1698</v>
      </c>
      <c r="AK98" s="10" t="s">
        <v>1736</v>
      </c>
      <c r="AL98" s="11"/>
      <c r="AM98" s="11"/>
      <c r="AN98" s="11"/>
      <c r="AO98" s="11"/>
      <c r="AP98" s="11"/>
      <c r="AQ98" s="11"/>
      <c r="AR98" s="10" t="s">
        <v>1737</v>
      </c>
      <c r="AS98" s="10" t="s">
        <v>66</v>
      </c>
      <c r="AT98" s="10" t="s">
        <v>53</v>
      </c>
    </row>
    <row r="99" spans="1:48" x14ac:dyDescent="0.15">
      <c r="A99" s="8" t="s">
        <v>1738</v>
      </c>
      <c r="B99" s="9" t="s">
        <v>1739</v>
      </c>
      <c r="C99" s="10" t="s">
        <v>1740</v>
      </c>
      <c r="D99" s="10" t="s">
        <v>1741</v>
      </c>
      <c r="E99" s="10" t="s">
        <v>51</v>
      </c>
      <c r="F99" s="10" t="s">
        <v>616</v>
      </c>
      <c r="G99" s="11"/>
      <c r="H99" s="10" t="s">
        <v>568</v>
      </c>
      <c r="I99" s="10" t="s">
        <v>53</v>
      </c>
      <c r="J99" s="10" t="s">
        <v>54</v>
      </c>
      <c r="K99" s="11"/>
      <c r="L99" s="10" t="s">
        <v>1692</v>
      </c>
      <c r="M99" s="11"/>
      <c r="N99" s="10" t="s">
        <v>461</v>
      </c>
      <c r="O99" s="11"/>
      <c r="P99" s="11"/>
      <c r="Q99" s="10" t="s">
        <v>75</v>
      </c>
      <c r="R99" s="11"/>
      <c r="S99" s="10" t="s">
        <v>620</v>
      </c>
      <c r="T99" s="10" t="s">
        <v>621</v>
      </c>
      <c r="U99" s="10" t="s">
        <v>622</v>
      </c>
      <c r="V99" s="11"/>
      <c r="W99" s="10" t="s">
        <v>1693</v>
      </c>
      <c r="X99" s="10" t="s">
        <v>80</v>
      </c>
      <c r="Y99" s="10" t="s">
        <v>80</v>
      </c>
      <c r="Z99" s="10" t="s">
        <v>1742</v>
      </c>
      <c r="AA99" s="10" t="s">
        <v>1743</v>
      </c>
      <c r="AB99" s="11"/>
      <c r="AC99" s="11"/>
      <c r="AD99" s="11"/>
      <c r="AE99" s="11"/>
      <c r="AF99" s="27">
        <v>7643</v>
      </c>
      <c r="AG99" s="11"/>
      <c r="AH99" s="10" t="s">
        <v>1696</v>
      </c>
      <c r="AI99" s="10" t="s">
        <v>1190</v>
      </c>
      <c r="AJ99" s="10" t="s">
        <v>1698</v>
      </c>
      <c r="AK99" s="10" t="s">
        <v>1744</v>
      </c>
      <c r="AL99" s="11"/>
      <c r="AM99" s="11"/>
      <c r="AN99" s="11"/>
      <c r="AO99" s="11"/>
      <c r="AP99" s="11"/>
      <c r="AQ99" s="11"/>
      <c r="AR99" s="10" t="s">
        <v>1116</v>
      </c>
      <c r="AS99" s="10" t="s">
        <v>66</v>
      </c>
      <c r="AT99" s="10" t="s">
        <v>53</v>
      </c>
    </row>
    <row r="100" spans="1:48" x14ac:dyDescent="0.15">
      <c r="A100" s="8" t="s">
        <v>1745</v>
      </c>
      <c r="B100" s="9" t="s">
        <v>1746</v>
      </c>
      <c r="C100" s="10" t="s">
        <v>1747</v>
      </c>
      <c r="D100" s="10" t="s">
        <v>1748</v>
      </c>
      <c r="E100" s="10" t="s">
        <v>51</v>
      </c>
      <c r="F100" s="10" t="s">
        <v>616</v>
      </c>
      <c r="G100" s="11"/>
      <c r="H100" s="10" t="s">
        <v>1749</v>
      </c>
      <c r="I100" s="10" t="s">
        <v>53</v>
      </c>
      <c r="J100" s="10" t="s">
        <v>54</v>
      </c>
      <c r="K100" s="11"/>
      <c r="L100" s="10" t="s">
        <v>1692</v>
      </c>
      <c r="M100" s="11"/>
      <c r="N100" s="10" t="s">
        <v>461</v>
      </c>
      <c r="O100" s="11"/>
      <c r="P100" s="11"/>
      <c r="Q100" s="10" t="s">
        <v>75</v>
      </c>
      <c r="R100" s="11"/>
      <c r="S100" s="10" t="s">
        <v>620</v>
      </c>
      <c r="T100" s="10" t="s">
        <v>621</v>
      </c>
      <c r="U100" s="10" t="s">
        <v>622</v>
      </c>
      <c r="V100" s="11"/>
      <c r="W100" s="10" t="s">
        <v>1693</v>
      </c>
      <c r="X100" s="10" t="s">
        <v>80</v>
      </c>
      <c r="Y100" s="10" t="s">
        <v>80</v>
      </c>
      <c r="Z100" s="10" t="s">
        <v>1750</v>
      </c>
      <c r="AA100" s="10" t="s">
        <v>1751</v>
      </c>
      <c r="AB100" s="11"/>
      <c r="AC100" s="11"/>
      <c r="AD100" s="11"/>
      <c r="AE100" s="11"/>
      <c r="AF100" s="27">
        <v>40</v>
      </c>
      <c r="AG100" s="11"/>
      <c r="AH100" s="10" t="s">
        <v>1696</v>
      </c>
      <c r="AI100" s="10" t="s">
        <v>1752</v>
      </c>
      <c r="AJ100" s="10" t="s">
        <v>1698</v>
      </c>
      <c r="AK100" s="10" t="s">
        <v>1753</v>
      </c>
      <c r="AL100" s="11"/>
      <c r="AM100" s="11"/>
      <c r="AN100" s="11"/>
      <c r="AO100" s="11"/>
      <c r="AP100" s="11"/>
      <c r="AQ100" s="11"/>
      <c r="AR100" s="10" t="s">
        <v>1116</v>
      </c>
      <c r="AS100" s="10" t="s">
        <v>66</v>
      </c>
      <c r="AT100" s="10" t="s">
        <v>53</v>
      </c>
    </row>
    <row r="101" spans="1:48" ht="14" x14ac:dyDescent="0.15">
      <c r="A101" s="8"/>
      <c r="B101" s="9"/>
      <c r="C101" s="10"/>
      <c r="D101" s="10"/>
      <c r="E101" s="10"/>
      <c r="F101" s="10"/>
      <c r="G101" s="11"/>
      <c r="H101" s="10"/>
      <c r="I101" s="10"/>
      <c r="J101" s="10"/>
      <c r="K101" s="11"/>
      <c r="L101" s="10"/>
      <c r="M101" s="11"/>
      <c r="N101" s="10"/>
      <c r="O101" s="11"/>
      <c r="P101" s="11"/>
      <c r="Q101" s="10"/>
      <c r="R101" s="11"/>
      <c r="S101" s="10"/>
      <c r="T101" s="10"/>
      <c r="U101" s="10"/>
      <c r="V101" s="11"/>
      <c r="W101" s="10"/>
      <c r="X101" s="10"/>
      <c r="Y101" s="10"/>
      <c r="Z101" s="10"/>
      <c r="AA101" s="10"/>
      <c r="AB101" s="11"/>
      <c r="AC101" s="11"/>
      <c r="AD101" s="11"/>
      <c r="AE101" s="11"/>
      <c r="AF101" s="28">
        <f>SUM(AF94:AF100)</f>
        <v>131023</v>
      </c>
      <c r="AG101" s="11"/>
      <c r="AH101" s="10"/>
      <c r="AI101" s="10"/>
      <c r="AJ101" s="10"/>
      <c r="AK101" s="10"/>
      <c r="AL101" s="11"/>
      <c r="AM101" s="11"/>
      <c r="AN101" s="11"/>
      <c r="AO101" s="11"/>
      <c r="AP101" s="11"/>
      <c r="AQ101" s="11"/>
      <c r="AR101" s="10"/>
      <c r="AS101" s="10"/>
      <c r="AT101" s="10"/>
      <c r="AV101" s="23" t="s">
        <v>4064</v>
      </c>
    </row>
    <row r="102" spans="1:48" x14ac:dyDescent="0.15">
      <c r="A102" s="8" t="s">
        <v>2137</v>
      </c>
      <c r="B102" s="20" t="s">
        <v>2138</v>
      </c>
      <c r="C102" s="10" t="s">
        <v>2139</v>
      </c>
      <c r="D102" s="10" t="s">
        <v>2140</v>
      </c>
      <c r="E102" s="10" t="s">
        <v>51</v>
      </c>
      <c r="F102" s="10" t="s">
        <v>2141</v>
      </c>
      <c r="G102" s="11"/>
      <c r="H102" s="10" t="s">
        <v>1683</v>
      </c>
      <c r="I102" s="10" t="s">
        <v>53</v>
      </c>
      <c r="J102" s="10" t="s">
        <v>54</v>
      </c>
      <c r="K102" s="11"/>
      <c r="L102" s="10" t="s">
        <v>2142</v>
      </c>
      <c r="M102" s="11"/>
      <c r="N102" s="10" t="s">
        <v>2143</v>
      </c>
      <c r="O102" s="11"/>
      <c r="P102" s="11"/>
      <c r="Q102" s="10" t="s">
        <v>75</v>
      </c>
      <c r="R102" s="11"/>
      <c r="S102" s="10" t="s">
        <v>2144</v>
      </c>
      <c r="T102" s="10" t="s">
        <v>2145</v>
      </c>
      <c r="U102" s="10" t="s">
        <v>2146</v>
      </c>
      <c r="V102" s="11"/>
      <c r="W102" s="10" t="s">
        <v>2147</v>
      </c>
      <c r="X102" s="10" t="s">
        <v>80</v>
      </c>
      <c r="Y102" s="10" t="s">
        <v>80</v>
      </c>
      <c r="Z102" s="10" t="s">
        <v>2148</v>
      </c>
      <c r="AA102" s="10" t="s">
        <v>2149</v>
      </c>
      <c r="AB102" s="11"/>
      <c r="AC102" s="11"/>
      <c r="AD102" s="11"/>
      <c r="AE102" s="11"/>
      <c r="AF102" s="27">
        <v>19152</v>
      </c>
      <c r="AG102" s="11"/>
      <c r="AH102" s="10" t="s">
        <v>156</v>
      </c>
      <c r="AI102" s="11"/>
      <c r="AJ102" s="11"/>
      <c r="AK102" s="11"/>
      <c r="AL102" s="11"/>
      <c r="AM102" s="11"/>
      <c r="AN102" s="11"/>
      <c r="AO102" s="11"/>
      <c r="AP102" s="11"/>
      <c r="AQ102" s="11"/>
      <c r="AR102" s="10" t="s">
        <v>2150</v>
      </c>
      <c r="AS102" s="10" t="s">
        <v>66</v>
      </c>
      <c r="AT102" s="10" t="s">
        <v>53</v>
      </c>
    </row>
    <row r="103" spans="1:48" ht="14" x14ac:dyDescent="0.15">
      <c r="A103" s="8"/>
      <c r="B103" s="18"/>
      <c r="C103" s="10"/>
      <c r="D103" s="10"/>
      <c r="E103" s="10"/>
      <c r="F103" s="10"/>
      <c r="G103" s="11"/>
      <c r="H103" s="10"/>
      <c r="I103" s="10"/>
      <c r="J103" s="10"/>
      <c r="K103" s="11"/>
      <c r="L103" s="10"/>
      <c r="M103" s="11"/>
      <c r="N103" s="10"/>
      <c r="O103" s="11"/>
      <c r="P103" s="11"/>
      <c r="Q103" s="10"/>
      <c r="R103" s="11"/>
      <c r="S103" s="10"/>
      <c r="T103" s="10"/>
      <c r="U103" s="10"/>
      <c r="V103" s="11"/>
      <c r="W103" s="10"/>
      <c r="X103" s="10"/>
      <c r="Y103" s="10"/>
      <c r="Z103" s="10"/>
      <c r="AA103" s="10"/>
      <c r="AB103" s="11"/>
      <c r="AC103" s="11"/>
      <c r="AD103" s="11"/>
      <c r="AE103" s="11"/>
      <c r="AF103" s="28">
        <f>SUM(AF102)</f>
        <v>19152</v>
      </c>
      <c r="AG103" s="11"/>
      <c r="AH103" s="10"/>
      <c r="AI103" s="11"/>
      <c r="AJ103" s="11"/>
      <c r="AK103" s="11"/>
      <c r="AL103" s="11"/>
      <c r="AM103" s="11"/>
      <c r="AN103" s="11"/>
      <c r="AO103" s="11"/>
      <c r="AP103" s="11"/>
      <c r="AQ103" s="11"/>
      <c r="AR103" s="10"/>
      <c r="AS103" s="10"/>
      <c r="AT103" s="10"/>
      <c r="AV103" s="31" t="s">
        <v>4070</v>
      </c>
    </row>
    <row r="104" spans="1:48" x14ac:dyDescent="0.15">
      <c r="A104" s="8" t="s">
        <v>1853</v>
      </c>
      <c r="B104" s="20" t="s">
        <v>1854</v>
      </c>
      <c r="C104" s="10" t="s">
        <v>1855</v>
      </c>
      <c r="D104" s="10" t="s">
        <v>1856</v>
      </c>
      <c r="E104" s="10" t="s">
        <v>51</v>
      </c>
      <c r="F104" s="10" t="s">
        <v>1816</v>
      </c>
      <c r="G104" s="11"/>
      <c r="H104" s="10" t="s">
        <v>72</v>
      </c>
      <c r="I104" s="10" t="s">
        <v>53</v>
      </c>
      <c r="J104" s="10" t="s">
        <v>54</v>
      </c>
      <c r="K104" s="11"/>
      <c r="L104" s="10" t="s">
        <v>1759</v>
      </c>
      <c r="M104" s="11"/>
      <c r="N104" s="11"/>
      <c r="O104" s="11"/>
      <c r="P104" s="11"/>
      <c r="Q104" s="10" t="s">
        <v>75</v>
      </c>
      <c r="R104" s="11"/>
      <c r="S104" s="10" t="s">
        <v>1817</v>
      </c>
      <c r="T104" s="10" t="s">
        <v>1818</v>
      </c>
      <c r="U104" s="10" t="s">
        <v>1819</v>
      </c>
      <c r="V104" s="11"/>
      <c r="W104" s="10" t="s">
        <v>1821</v>
      </c>
      <c r="X104" s="10" t="s">
        <v>80</v>
      </c>
      <c r="Y104" s="10" t="s">
        <v>80</v>
      </c>
      <c r="Z104" s="10" t="s">
        <v>1857</v>
      </c>
      <c r="AA104" s="10" t="s">
        <v>1858</v>
      </c>
      <c r="AB104" s="11"/>
      <c r="AC104" s="11"/>
      <c r="AD104" s="11"/>
      <c r="AE104" s="11"/>
      <c r="AF104" s="27">
        <v>17644</v>
      </c>
      <c r="AG104" s="11"/>
      <c r="AH104" s="10" t="s">
        <v>538</v>
      </c>
      <c r="AI104" s="10" t="s">
        <v>1335</v>
      </c>
      <c r="AJ104" s="10" t="s">
        <v>1859</v>
      </c>
      <c r="AK104" s="10" t="s">
        <v>1860</v>
      </c>
      <c r="AL104" s="11"/>
      <c r="AM104" s="11"/>
      <c r="AN104" s="11"/>
      <c r="AO104" s="11"/>
      <c r="AP104" s="11"/>
      <c r="AQ104" s="11"/>
      <c r="AR104" s="10" t="s">
        <v>1861</v>
      </c>
      <c r="AS104" s="10" t="s">
        <v>66</v>
      </c>
      <c r="AT104" s="10" t="s">
        <v>53</v>
      </c>
    </row>
    <row r="105" spans="1:48" x14ac:dyDescent="0.15">
      <c r="A105" s="8" t="s">
        <v>1862</v>
      </c>
      <c r="B105" s="9" t="s">
        <v>1863</v>
      </c>
      <c r="C105" s="10" t="s">
        <v>1864</v>
      </c>
      <c r="D105" s="10" t="s">
        <v>1865</v>
      </c>
      <c r="E105" s="10" t="s">
        <v>51</v>
      </c>
      <c r="F105" s="10" t="s">
        <v>1816</v>
      </c>
      <c r="G105" s="11"/>
      <c r="H105" s="10" t="s">
        <v>239</v>
      </c>
      <c r="I105" s="10" t="s">
        <v>53</v>
      </c>
      <c r="J105" s="10" t="s">
        <v>54</v>
      </c>
      <c r="K105" s="11"/>
      <c r="L105" s="10" t="s">
        <v>1759</v>
      </c>
      <c r="M105" s="11"/>
      <c r="N105" s="10" t="s">
        <v>1760</v>
      </c>
      <c r="O105" s="11"/>
      <c r="P105" s="11"/>
      <c r="Q105" s="10" t="s">
        <v>75</v>
      </c>
      <c r="R105" s="11"/>
      <c r="S105" s="10" t="s">
        <v>1817</v>
      </c>
      <c r="T105" s="10" t="s">
        <v>1818</v>
      </c>
      <c r="U105" s="10" t="s">
        <v>1819</v>
      </c>
      <c r="V105" s="11"/>
      <c r="W105" s="10" t="s">
        <v>1821</v>
      </c>
      <c r="X105" s="10" t="s">
        <v>80</v>
      </c>
      <c r="Y105" s="10" t="s">
        <v>80</v>
      </c>
      <c r="Z105" s="10" t="s">
        <v>1866</v>
      </c>
      <c r="AA105" s="10" t="s">
        <v>1867</v>
      </c>
      <c r="AB105" s="11"/>
      <c r="AC105" s="11"/>
      <c r="AD105" s="11"/>
      <c r="AE105" s="11"/>
      <c r="AF105" s="27">
        <v>33152</v>
      </c>
      <c r="AG105" s="11"/>
      <c r="AH105" s="10" t="s">
        <v>1868</v>
      </c>
      <c r="AI105" s="10" t="s">
        <v>1335</v>
      </c>
      <c r="AJ105" s="10" t="s">
        <v>1869</v>
      </c>
      <c r="AK105" s="10" t="s">
        <v>1870</v>
      </c>
      <c r="AL105" s="11"/>
      <c r="AM105" s="11"/>
      <c r="AN105" s="11"/>
      <c r="AO105" s="11"/>
      <c r="AP105" s="11"/>
      <c r="AQ105" s="11"/>
      <c r="AR105" s="10" t="s">
        <v>1871</v>
      </c>
      <c r="AS105" s="10" t="s">
        <v>66</v>
      </c>
      <c r="AT105" s="10" t="s">
        <v>53</v>
      </c>
    </row>
    <row r="106" spans="1:48" x14ac:dyDescent="0.15">
      <c r="A106" s="8" t="s">
        <v>1872</v>
      </c>
      <c r="B106" s="9" t="s">
        <v>1873</v>
      </c>
      <c r="C106" s="10" t="s">
        <v>1874</v>
      </c>
      <c r="D106" s="10" t="s">
        <v>1875</v>
      </c>
      <c r="E106" s="10" t="s">
        <v>51</v>
      </c>
      <c r="F106" s="10" t="s">
        <v>1816</v>
      </c>
      <c r="G106" s="11"/>
      <c r="H106" s="10" t="s">
        <v>1683</v>
      </c>
      <c r="I106" s="10" t="s">
        <v>53</v>
      </c>
      <c r="J106" s="10" t="s">
        <v>54</v>
      </c>
      <c r="K106" s="11"/>
      <c r="L106" s="10" t="s">
        <v>1759</v>
      </c>
      <c r="M106" s="11"/>
      <c r="N106" s="10" t="s">
        <v>1760</v>
      </c>
      <c r="O106" s="11"/>
      <c r="P106" s="11"/>
      <c r="Q106" s="10" t="s">
        <v>75</v>
      </c>
      <c r="R106" s="11"/>
      <c r="S106" s="10" t="s">
        <v>1817</v>
      </c>
      <c r="T106" s="10" t="s">
        <v>1818</v>
      </c>
      <c r="U106" s="10" t="s">
        <v>1819</v>
      </c>
      <c r="V106" s="11"/>
      <c r="W106" s="10" t="s">
        <v>1821</v>
      </c>
      <c r="X106" s="10" t="s">
        <v>80</v>
      </c>
      <c r="Y106" s="10" t="s">
        <v>80</v>
      </c>
      <c r="Z106" s="10" t="s">
        <v>1876</v>
      </c>
      <c r="AA106" s="10" t="s">
        <v>1877</v>
      </c>
      <c r="AB106" s="11"/>
      <c r="AC106" s="11"/>
      <c r="AD106" s="11"/>
      <c r="AE106" s="11"/>
      <c r="AF106" s="27">
        <v>8620</v>
      </c>
      <c r="AG106" s="11"/>
      <c r="AH106" s="10" t="s">
        <v>1878</v>
      </c>
      <c r="AI106" s="10" t="s">
        <v>1335</v>
      </c>
      <c r="AJ106" s="10" t="s">
        <v>1879</v>
      </c>
      <c r="AK106" s="10" t="s">
        <v>1880</v>
      </c>
      <c r="AL106" s="11"/>
      <c r="AM106" s="11"/>
      <c r="AN106" s="11"/>
      <c r="AO106" s="11"/>
      <c r="AP106" s="11"/>
      <c r="AQ106" s="11"/>
      <c r="AR106" s="10" t="s">
        <v>1881</v>
      </c>
      <c r="AS106" s="10" t="s">
        <v>66</v>
      </c>
      <c r="AT106" s="10" t="s">
        <v>53</v>
      </c>
    </row>
    <row r="107" spans="1:48" x14ac:dyDescent="0.15">
      <c r="A107" s="8" t="s">
        <v>3149</v>
      </c>
      <c r="B107" s="9" t="s">
        <v>3150</v>
      </c>
      <c r="C107" s="10" t="s">
        <v>3151</v>
      </c>
      <c r="D107" s="10" t="s">
        <v>3152</v>
      </c>
      <c r="E107" s="10" t="s">
        <v>51</v>
      </c>
      <c r="F107" s="10" t="s">
        <v>1816</v>
      </c>
      <c r="G107" s="11"/>
      <c r="H107" s="10" t="s">
        <v>3153</v>
      </c>
      <c r="I107" s="10" t="s">
        <v>53</v>
      </c>
      <c r="J107" s="10" t="s">
        <v>54</v>
      </c>
      <c r="K107" s="11"/>
      <c r="L107" s="10" t="s">
        <v>1759</v>
      </c>
      <c r="M107" s="11"/>
      <c r="N107" s="11"/>
      <c r="O107" s="11"/>
      <c r="P107" s="11"/>
      <c r="Q107" s="10" t="s">
        <v>75</v>
      </c>
      <c r="R107" s="11"/>
      <c r="S107" s="10" t="s">
        <v>1817</v>
      </c>
      <c r="T107" s="10" t="s">
        <v>1818</v>
      </c>
      <c r="U107" s="10" t="s">
        <v>1819</v>
      </c>
      <c r="V107" s="11"/>
      <c r="W107" s="10" t="s">
        <v>1821</v>
      </c>
      <c r="X107" s="10" t="s">
        <v>80</v>
      </c>
      <c r="Y107" s="10" t="s">
        <v>80</v>
      </c>
      <c r="Z107" s="10" t="s">
        <v>3154</v>
      </c>
      <c r="AA107" s="10" t="s">
        <v>3155</v>
      </c>
      <c r="AB107" s="11"/>
      <c r="AC107" s="11"/>
      <c r="AD107" s="11"/>
      <c r="AE107" s="11"/>
      <c r="AF107" s="27">
        <v>902</v>
      </c>
      <c r="AG107" s="11"/>
      <c r="AH107" s="10" t="s">
        <v>3156</v>
      </c>
      <c r="AI107" s="11"/>
      <c r="AJ107" s="10" t="s">
        <v>3157</v>
      </c>
      <c r="AK107" s="10" t="s">
        <v>3158</v>
      </c>
      <c r="AL107" s="11"/>
      <c r="AM107" s="11"/>
      <c r="AN107" s="11"/>
      <c r="AO107" s="11"/>
      <c r="AP107" s="11"/>
      <c r="AQ107" s="11"/>
      <c r="AR107" s="10" t="s">
        <v>3159</v>
      </c>
      <c r="AS107" s="10" t="s">
        <v>66</v>
      </c>
      <c r="AT107" s="10" t="s">
        <v>53</v>
      </c>
    </row>
    <row r="108" spans="1:48" ht="14" x14ac:dyDescent="0.15">
      <c r="A108" s="8"/>
      <c r="B108" s="9"/>
      <c r="C108" s="10"/>
      <c r="D108" s="10"/>
      <c r="E108" s="10"/>
      <c r="F108" s="10"/>
      <c r="G108" s="11"/>
      <c r="H108" s="10"/>
      <c r="I108" s="10"/>
      <c r="J108" s="10"/>
      <c r="K108" s="11"/>
      <c r="L108" s="10" t="s">
        <v>1759</v>
      </c>
      <c r="M108" s="11"/>
      <c r="N108" s="10" t="s">
        <v>1760</v>
      </c>
      <c r="O108" s="11"/>
      <c r="P108" s="11"/>
      <c r="Q108" s="10" t="s">
        <v>75</v>
      </c>
      <c r="R108" s="11"/>
      <c r="S108" s="10" t="s">
        <v>1817</v>
      </c>
      <c r="T108" s="10" t="s">
        <v>1818</v>
      </c>
      <c r="U108" s="10"/>
      <c r="V108" s="11"/>
      <c r="W108" s="10"/>
      <c r="X108" s="10"/>
      <c r="Y108" s="10"/>
      <c r="Z108" s="10"/>
      <c r="AA108" s="10"/>
      <c r="AB108" s="11"/>
      <c r="AC108" s="11"/>
      <c r="AD108" s="11"/>
      <c r="AE108" s="11"/>
      <c r="AF108" s="28">
        <f>SUM(AF104:AF107)</f>
        <v>60318</v>
      </c>
      <c r="AG108" s="11"/>
      <c r="AH108" s="10"/>
      <c r="AI108" s="11"/>
      <c r="AJ108" s="10"/>
      <c r="AK108" s="10"/>
      <c r="AL108" s="11"/>
      <c r="AM108" s="11"/>
      <c r="AN108" s="11"/>
      <c r="AO108" s="11"/>
      <c r="AP108" s="11"/>
      <c r="AQ108" s="11"/>
      <c r="AR108" s="10"/>
      <c r="AS108" s="10"/>
      <c r="AT108" s="10"/>
      <c r="AV108" s="23" t="s">
        <v>4064</v>
      </c>
    </row>
    <row r="109" spans="1:48" x14ac:dyDescent="0.15">
      <c r="A109" s="8" t="s">
        <v>3501</v>
      </c>
      <c r="B109" s="20" t="s">
        <v>3502</v>
      </c>
      <c r="C109" s="10" t="s">
        <v>3503</v>
      </c>
      <c r="D109" s="10" t="s">
        <v>3504</v>
      </c>
      <c r="E109" s="10" t="s">
        <v>51</v>
      </c>
      <c r="F109" s="10" t="s">
        <v>3444</v>
      </c>
      <c r="G109" s="11"/>
      <c r="H109" s="10" t="s">
        <v>552</v>
      </c>
      <c r="I109" s="10" t="s">
        <v>53</v>
      </c>
      <c r="J109" s="10" t="s">
        <v>54</v>
      </c>
      <c r="K109" s="11"/>
      <c r="L109" s="10" t="s">
        <v>3445</v>
      </c>
      <c r="M109" s="11"/>
      <c r="N109" s="11"/>
      <c r="O109" s="11"/>
      <c r="P109" s="11"/>
      <c r="Q109" s="10" t="s">
        <v>75</v>
      </c>
      <c r="R109" s="11"/>
      <c r="S109" s="10" t="s">
        <v>3446</v>
      </c>
      <c r="T109" s="10" t="s">
        <v>3447</v>
      </c>
      <c r="U109" s="10" t="s">
        <v>3448</v>
      </c>
      <c r="V109" s="11"/>
      <c r="W109" s="10" t="s">
        <v>3505</v>
      </c>
      <c r="X109" s="10" t="s">
        <v>80</v>
      </c>
      <c r="Y109" s="10" t="s">
        <v>80</v>
      </c>
      <c r="Z109" s="10" t="s">
        <v>3506</v>
      </c>
      <c r="AA109" s="10" t="s">
        <v>3507</v>
      </c>
      <c r="AB109" s="11"/>
      <c r="AC109" s="11"/>
      <c r="AD109" s="11"/>
      <c r="AE109" s="10" t="s">
        <v>3452</v>
      </c>
      <c r="AF109" s="27">
        <v>796</v>
      </c>
      <c r="AG109" s="11"/>
      <c r="AH109" s="11"/>
      <c r="AI109" s="10" t="s">
        <v>1190</v>
      </c>
      <c r="AJ109" s="11"/>
      <c r="AK109" s="10" t="s">
        <v>3494</v>
      </c>
      <c r="AL109" s="11"/>
      <c r="AM109" s="11"/>
      <c r="AN109" s="11"/>
      <c r="AO109" s="11"/>
      <c r="AP109" s="11"/>
      <c r="AQ109" s="11"/>
      <c r="AR109" s="10" t="s">
        <v>556</v>
      </c>
      <c r="AS109" s="10" t="s">
        <v>66</v>
      </c>
      <c r="AT109" s="10" t="s">
        <v>53</v>
      </c>
    </row>
    <row r="110" spans="1:48" x14ac:dyDescent="0.15">
      <c r="A110" s="8" t="s">
        <v>3508</v>
      </c>
      <c r="B110" s="9" t="s">
        <v>3509</v>
      </c>
      <c r="C110" s="10" t="s">
        <v>1731</v>
      </c>
      <c r="D110" s="10" t="s">
        <v>3510</v>
      </c>
      <c r="E110" s="10" t="s">
        <v>51</v>
      </c>
      <c r="F110" s="10" t="s">
        <v>3444</v>
      </c>
      <c r="G110" s="11"/>
      <c r="H110" s="10" t="s">
        <v>561</v>
      </c>
      <c r="I110" s="10" t="s">
        <v>53</v>
      </c>
      <c r="J110" s="10" t="s">
        <v>54</v>
      </c>
      <c r="K110" s="11"/>
      <c r="L110" s="10" t="s">
        <v>3445</v>
      </c>
      <c r="M110" s="11"/>
      <c r="N110" s="11"/>
      <c r="O110" s="11"/>
      <c r="P110" s="11"/>
      <c r="Q110" s="10" t="s">
        <v>75</v>
      </c>
      <c r="R110" s="11"/>
      <c r="S110" s="10" t="s">
        <v>3446</v>
      </c>
      <c r="T110" s="10" t="s">
        <v>3447</v>
      </c>
      <c r="U110" s="10" t="s">
        <v>3448</v>
      </c>
      <c r="V110" s="11"/>
      <c r="W110" s="10" t="s">
        <v>3511</v>
      </c>
      <c r="X110" s="10" t="s">
        <v>80</v>
      </c>
      <c r="Y110" s="10" t="s">
        <v>80</v>
      </c>
      <c r="Z110" s="10" t="s">
        <v>3512</v>
      </c>
      <c r="AA110" s="10" t="s">
        <v>3513</v>
      </c>
      <c r="AB110" s="11"/>
      <c r="AC110" s="11"/>
      <c r="AD110" s="11"/>
      <c r="AE110" s="10" t="s">
        <v>3452</v>
      </c>
      <c r="AF110" s="27">
        <v>941</v>
      </c>
      <c r="AG110" s="11"/>
      <c r="AH110" s="11"/>
      <c r="AI110" s="11"/>
      <c r="AJ110" s="11"/>
      <c r="AK110" s="10" t="s">
        <v>3494</v>
      </c>
      <c r="AL110" s="11"/>
      <c r="AM110" s="11"/>
      <c r="AN110" s="11"/>
      <c r="AO110" s="11"/>
      <c r="AP110" s="11"/>
      <c r="AQ110" s="11"/>
      <c r="AR110" s="10" t="s">
        <v>556</v>
      </c>
      <c r="AS110" s="10" t="s">
        <v>66</v>
      </c>
      <c r="AT110" s="10" t="s">
        <v>53</v>
      </c>
    </row>
    <row r="111" spans="1:48" x14ac:dyDescent="0.15">
      <c r="A111" s="8" t="s">
        <v>3514</v>
      </c>
      <c r="B111" s="9" t="s">
        <v>3515</v>
      </c>
      <c r="C111" s="10" t="s">
        <v>1740</v>
      </c>
      <c r="D111" s="10" t="s">
        <v>3516</v>
      </c>
      <c r="E111" s="10" t="s">
        <v>51</v>
      </c>
      <c r="F111" s="10" t="s">
        <v>3444</v>
      </c>
      <c r="G111" s="11"/>
      <c r="H111" s="10" t="s">
        <v>568</v>
      </c>
      <c r="I111" s="10" t="s">
        <v>53</v>
      </c>
      <c r="J111" s="10" t="s">
        <v>54</v>
      </c>
      <c r="K111" s="11"/>
      <c r="L111" s="10" t="s">
        <v>3445</v>
      </c>
      <c r="M111" s="11"/>
      <c r="N111" s="11"/>
      <c r="O111" s="11"/>
      <c r="P111" s="11"/>
      <c r="Q111" s="10" t="s">
        <v>75</v>
      </c>
      <c r="R111" s="11"/>
      <c r="S111" s="10" t="s">
        <v>3446</v>
      </c>
      <c r="T111" s="10" t="s">
        <v>3447</v>
      </c>
      <c r="U111" s="10" t="s">
        <v>3448</v>
      </c>
      <c r="V111" s="11"/>
      <c r="W111" s="10" t="s">
        <v>3517</v>
      </c>
      <c r="X111" s="10" t="s">
        <v>80</v>
      </c>
      <c r="Y111" s="10" t="s">
        <v>80</v>
      </c>
      <c r="Z111" s="10" t="s">
        <v>3518</v>
      </c>
      <c r="AA111" s="10" t="s">
        <v>3519</v>
      </c>
      <c r="AB111" s="11"/>
      <c r="AC111" s="11"/>
      <c r="AD111" s="11"/>
      <c r="AE111" s="10" t="s">
        <v>3452</v>
      </c>
      <c r="AF111" s="27">
        <v>4987</v>
      </c>
      <c r="AG111" s="11"/>
      <c r="AH111" s="11"/>
      <c r="AI111" s="11"/>
      <c r="AJ111" s="11"/>
      <c r="AK111" s="10" t="s">
        <v>3520</v>
      </c>
      <c r="AL111" s="11"/>
      <c r="AM111" s="11"/>
      <c r="AN111" s="11"/>
      <c r="AO111" s="11"/>
      <c r="AP111" s="11"/>
      <c r="AQ111" s="11"/>
      <c r="AR111" s="10" t="s">
        <v>556</v>
      </c>
      <c r="AS111" s="10" t="s">
        <v>66</v>
      </c>
      <c r="AT111" s="10" t="s">
        <v>53</v>
      </c>
    </row>
    <row r="112" spans="1:48" ht="14" x14ac:dyDescent="0.15">
      <c r="A112" s="8"/>
      <c r="B112" s="9"/>
      <c r="C112" s="10"/>
      <c r="D112" s="10"/>
      <c r="E112" s="10"/>
      <c r="F112" s="10"/>
      <c r="G112" s="11"/>
      <c r="H112" s="10"/>
      <c r="I112" s="10"/>
      <c r="J112" s="10"/>
      <c r="K112" s="11"/>
      <c r="L112" s="10"/>
      <c r="M112" s="11"/>
      <c r="N112" s="11"/>
      <c r="O112" s="11"/>
      <c r="P112" s="11"/>
      <c r="Q112" s="10"/>
      <c r="R112" s="11"/>
      <c r="S112" s="10"/>
      <c r="T112" s="10"/>
      <c r="U112" s="10"/>
      <c r="V112" s="11"/>
      <c r="W112" s="10"/>
      <c r="X112" s="10"/>
      <c r="Y112" s="10"/>
      <c r="Z112" s="10"/>
      <c r="AA112" s="10"/>
      <c r="AB112" s="11"/>
      <c r="AC112" s="11"/>
      <c r="AD112" s="11"/>
      <c r="AE112" s="10"/>
      <c r="AF112" s="28">
        <f>SUM(AF109:AF111)</f>
        <v>6724</v>
      </c>
      <c r="AG112" s="11"/>
      <c r="AH112" s="11"/>
      <c r="AI112" s="11"/>
      <c r="AJ112" s="11"/>
      <c r="AK112" s="10"/>
      <c r="AL112" s="11"/>
      <c r="AM112" s="11"/>
      <c r="AN112" s="11"/>
      <c r="AO112" s="11"/>
      <c r="AP112" s="11"/>
      <c r="AQ112" s="11"/>
      <c r="AR112" s="10"/>
      <c r="AS112" s="10"/>
      <c r="AT112" s="10"/>
      <c r="AV112" s="23" t="s">
        <v>4064</v>
      </c>
    </row>
    <row r="113" spans="1:49" x14ac:dyDescent="0.15">
      <c r="A113" s="8" t="s">
        <v>2080</v>
      </c>
      <c r="B113" s="20" t="s">
        <v>2081</v>
      </c>
      <c r="C113" s="10" t="s">
        <v>2082</v>
      </c>
      <c r="D113" s="10" t="s">
        <v>2083</v>
      </c>
      <c r="E113" s="10" t="s">
        <v>51</v>
      </c>
      <c r="F113" s="10" t="s">
        <v>2057</v>
      </c>
      <c r="G113" s="11"/>
      <c r="H113" s="10" t="s">
        <v>2084</v>
      </c>
      <c r="I113" s="10" t="s">
        <v>53</v>
      </c>
      <c r="J113" s="10" t="s">
        <v>54</v>
      </c>
      <c r="K113" s="11"/>
      <c r="L113" s="10" t="s">
        <v>2073</v>
      </c>
      <c r="M113" s="11"/>
      <c r="N113" s="10" t="s">
        <v>2074</v>
      </c>
      <c r="O113" s="11"/>
      <c r="P113" s="11"/>
      <c r="Q113" s="10" t="s">
        <v>75</v>
      </c>
      <c r="R113" s="11"/>
      <c r="S113" s="10" t="s">
        <v>2059</v>
      </c>
      <c r="T113" s="10" t="s">
        <v>2060</v>
      </c>
      <c r="U113" s="10" t="s">
        <v>2061</v>
      </c>
      <c r="V113" s="11"/>
      <c r="W113" s="10" t="s">
        <v>2062</v>
      </c>
      <c r="X113" s="10" t="s">
        <v>80</v>
      </c>
      <c r="Y113" s="10" t="s">
        <v>80</v>
      </c>
      <c r="Z113" s="10" t="s">
        <v>2085</v>
      </c>
      <c r="AA113" s="10" t="s">
        <v>2086</v>
      </c>
      <c r="AB113" s="11"/>
      <c r="AC113" s="11"/>
      <c r="AD113" s="11"/>
      <c r="AE113" s="11"/>
      <c r="AF113" s="27">
        <v>6500</v>
      </c>
      <c r="AG113" s="11"/>
      <c r="AH113" s="11"/>
      <c r="AI113" s="11"/>
      <c r="AJ113" s="11"/>
      <c r="AK113" s="10" t="s">
        <v>2087</v>
      </c>
      <c r="AL113" s="11"/>
      <c r="AM113" s="11"/>
      <c r="AN113" s="11"/>
      <c r="AO113" s="11"/>
      <c r="AP113" s="11"/>
      <c r="AQ113" s="11"/>
      <c r="AR113" s="10" t="s">
        <v>2088</v>
      </c>
      <c r="AS113" s="10" t="s">
        <v>66</v>
      </c>
      <c r="AT113" s="10" t="s">
        <v>53</v>
      </c>
    </row>
    <row r="114" spans="1:49" x14ac:dyDescent="0.15">
      <c r="A114" s="8" t="s">
        <v>2089</v>
      </c>
      <c r="B114" s="9" t="s">
        <v>2090</v>
      </c>
      <c r="C114" s="10" t="s">
        <v>2091</v>
      </c>
      <c r="D114" s="10" t="s">
        <v>2092</v>
      </c>
      <c r="E114" s="10" t="s">
        <v>51</v>
      </c>
      <c r="F114" s="10" t="s">
        <v>2057</v>
      </c>
      <c r="G114" s="11"/>
      <c r="H114" s="10" t="s">
        <v>2093</v>
      </c>
      <c r="I114" s="10" t="s">
        <v>53</v>
      </c>
      <c r="J114" s="10" t="s">
        <v>54</v>
      </c>
      <c r="K114" s="11"/>
      <c r="L114" s="10" t="s">
        <v>2073</v>
      </c>
      <c r="M114" s="11"/>
      <c r="N114" s="10" t="s">
        <v>2074</v>
      </c>
      <c r="O114" s="11"/>
      <c r="P114" s="11"/>
      <c r="Q114" s="10" t="s">
        <v>75</v>
      </c>
      <c r="R114" s="11"/>
      <c r="S114" s="10" t="s">
        <v>2059</v>
      </c>
      <c r="T114" s="10" t="s">
        <v>2060</v>
      </c>
      <c r="U114" s="10" t="s">
        <v>2061</v>
      </c>
      <c r="V114" s="11"/>
      <c r="W114" s="10" t="s">
        <v>2062</v>
      </c>
      <c r="X114" s="10" t="s">
        <v>80</v>
      </c>
      <c r="Y114" s="10" t="s">
        <v>80</v>
      </c>
      <c r="Z114" s="10" t="s">
        <v>2094</v>
      </c>
      <c r="AA114" s="10" t="s">
        <v>2095</v>
      </c>
      <c r="AB114" s="11"/>
      <c r="AC114" s="11"/>
      <c r="AD114" s="11"/>
      <c r="AE114" s="11"/>
      <c r="AF114" s="27">
        <v>2600</v>
      </c>
      <c r="AG114" s="11"/>
      <c r="AH114" s="11"/>
      <c r="AI114" s="11"/>
      <c r="AJ114" s="11"/>
      <c r="AK114" s="10" t="s">
        <v>2087</v>
      </c>
      <c r="AL114" s="11"/>
      <c r="AM114" s="11"/>
      <c r="AN114" s="11"/>
      <c r="AO114" s="11"/>
      <c r="AP114" s="11"/>
      <c r="AQ114" s="11"/>
      <c r="AR114" s="10" t="s">
        <v>2088</v>
      </c>
      <c r="AS114" s="10" t="s">
        <v>66</v>
      </c>
      <c r="AT114" s="10" t="s">
        <v>53</v>
      </c>
    </row>
    <row r="115" spans="1:49" ht="14" x14ac:dyDescent="0.15">
      <c r="A115" s="8"/>
      <c r="B115" s="9"/>
      <c r="C115" s="10"/>
      <c r="D115" s="10"/>
      <c r="E115" s="10"/>
      <c r="F115" s="10"/>
      <c r="G115" s="11"/>
      <c r="H115" s="10"/>
      <c r="I115" s="10"/>
      <c r="J115" s="10"/>
      <c r="K115" s="11"/>
      <c r="L115" s="10"/>
      <c r="M115" s="11"/>
      <c r="N115" s="10"/>
      <c r="O115" s="11"/>
      <c r="P115" s="11"/>
      <c r="Q115" s="10"/>
      <c r="R115" s="11"/>
      <c r="S115" s="10"/>
      <c r="T115" s="10"/>
      <c r="U115" s="10"/>
      <c r="V115" s="11"/>
      <c r="W115" s="10"/>
      <c r="X115" s="10"/>
      <c r="Y115" s="10"/>
      <c r="Z115" s="10"/>
      <c r="AA115" s="10"/>
      <c r="AB115" s="11"/>
      <c r="AC115" s="11"/>
      <c r="AD115" s="11"/>
      <c r="AE115" s="11"/>
      <c r="AF115" s="28">
        <f>SUM(AF113:AF114)</f>
        <v>9100</v>
      </c>
      <c r="AG115" s="11"/>
      <c r="AH115" s="11"/>
      <c r="AI115" s="11"/>
      <c r="AJ115" s="11"/>
      <c r="AK115" s="10"/>
      <c r="AL115" s="11"/>
      <c r="AM115" s="11"/>
      <c r="AN115" s="11"/>
      <c r="AO115" s="11"/>
      <c r="AP115" s="11"/>
      <c r="AQ115" s="11"/>
      <c r="AR115" s="10"/>
      <c r="AS115" s="10"/>
      <c r="AT115" s="10"/>
      <c r="AV115" s="31" t="s">
        <v>4072</v>
      </c>
    </row>
    <row r="116" spans="1:49" x14ac:dyDescent="0.15">
      <c r="A116" s="8" t="s">
        <v>2032</v>
      </c>
      <c r="B116" s="20" t="s">
        <v>2033</v>
      </c>
      <c r="C116" s="10" t="s">
        <v>2034</v>
      </c>
      <c r="D116" s="10" t="s">
        <v>2035</v>
      </c>
      <c r="E116" s="10" t="s">
        <v>51</v>
      </c>
      <c r="F116" s="10" t="s">
        <v>1954</v>
      </c>
      <c r="G116" s="11"/>
      <c r="H116" s="10" t="s">
        <v>72</v>
      </c>
      <c r="I116" s="10" t="s">
        <v>53</v>
      </c>
      <c r="J116" s="10" t="s">
        <v>54</v>
      </c>
      <c r="K116" s="11"/>
      <c r="L116" s="10" t="s">
        <v>2036</v>
      </c>
      <c r="M116" s="11"/>
      <c r="N116" s="11"/>
      <c r="O116" s="11"/>
      <c r="P116" s="11"/>
      <c r="Q116" s="10" t="s">
        <v>75</v>
      </c>
      <c r="R116" s="11"/>
      <c r="S116" s="10" t="s">
        <v>1959</v>
      </c>
      <c r="T116" s="10" t="s">
        <v>1960</v>
      </c>
      <c r="U116" s="10" t="s">
        <v>1961</v>
      </c>
      <c r="V116" s="11"/>
      <c r="W116" s="10" t="s">
        <v>1962</v>
      </c>
      <c r="X116" s="10" t="s">
        <v>80</v>
      </c>
      <c r="Y116" s="10" t="s">
        <v>80</v>
      </c>
      <c r="Z116" s="10" t="s">
        <v>2037</v>
      </c>
      <c r="AA116" s="10" t="s">
        <v>2038</v>
      </c>
      <c r="AB116" s="11"/>
      <c r="AC116" s="11"/>
      <c r="AD116" s="11"/>
      <c r="AE116" s="10" t="s">
        <v>2039</v>
      </c>
      <c r="AF116" s="27">
        <v>96</v>
      </c>
      <c r="AG116" s="11"/>
      <c r="AH116" s="10" t="s">
        <v>2040</v>
      </c>
      <c r="AI116" s="10" t="s">
        <v>1335</v>
      </c>
      <c r="AJ116" s="10" t="s">
        <v>2041</v>
      </c>
      <c r="AK116" s="10" t="s">
        <v>2042</v>
      </c>
      <c r="AL116" s="11"/>
      <c r="AM116" s="11"/>
      <c r="AN116" s="11"/>
      <c r="AO116" s="11"/>
      <c r="AP116" s="11"/>
      <c r="AQ116" s="11"/>
      <c r="AR116" s="10" t="s">
        <v>2043</v>
      </c>
      <c r="AS116" s="10" t="s">
        <v>66</v>
      </c>
      <c r="AT116" s="10" t="s">
        <v>53</v>
      </c>
    </row>
    <row r="117" spans="1:49" x14ac:dyDescent="0.15">
      <c r="A117" s="8" t="s">
        <v>2044</v>
      </c>
      <c r="B117" s="9" t="s">
        <v>2045</v>
      </c>
      <c r="C117" s="10" t="s">
        <v>2046</v>
      </c>
      <c r="D117" s="10" t="s">
        <v>2047</v>
      </c>
      <c r="E117" s="10" t="s">
        <v>51</v>
      </c>
      <c r="F117" s="10" t="s">
        <v>1954</v>
      </c>
      <c r="G117" s="11"/>
      <c r="H117" s="10" t="s">
        <v>1749</v>
      </c>
      <c r="I117" s="10" t="s">
        <v>53</v>
      </c>
      <c r="J117" s="10" t="s">
        <v>54</v>
      </c>
      <c r="K117" s="11"/>
      <c r="L117" s="10" t="s">
        <v>2048</v>
      </c>
      <c r="M117" s="11"/>
      <c r="N117" s="11"/>
      <c r="O117" s="11"/>
      <c r="P117" s="11"/>
      <c r="Q117" s="10" t="s">
        <v>75</v>
      </c>
      <c r="R117" s="11"/>
      <c r="S117" s="10" t="s">
        <v>1959</v>
      </c>
      <c r="T117" s="10" t="s">
        <v>1960</v>
      </c>
      <c r="U117" s="10" t="s">
        <v>1961</v>
      </c>
      <c r="V117" s="11"/>
      <c r="W117" s="10" t="s">
        <v>1962</v>
      </c>
      <c r="X117" s="10" t="s">
        <v>80</v>
      </c>
      <c r="Y117" s="10" t="s">
        <v>80</v>
      </c>
      <c r="Z117" s="10" t="s">
        <v>2049</v>
      </c>
      <c r="AA117" s="10" t="s">
        <v>2050</v>
      </c>
      <c r="AB117" s="11"/>
      <c r="AC117" s="11"/>
      <c r="AD117" s="11"/>
      <c r="AE117" s="10" t="s">
        <v>2039</v>
      </c>
      <c r="AF117" s="27">
        <v>600</v>
      </c>
      <c r="AG117" s="11"/>
      <c r="AH117" s="11"/>
      <c r="AI117" s="10" t="s">
        <v>2051</v>
      </c>
      <c r="AJ117" s="10" t="s">
        <v>2052</v>
      </c>
      <c r="AK117" s="10" t="s">
        <v>2042</v>
      </c>
      <c r="AL117" s="11"/>
      <c r="AM117" s="11"/>
      <c r="AN117" s="11"/>
      <c r="AO117" s="11"/>
      <c r="AP117" s="11"/>
      <c r="AQ117" s="11"/>
      <c r="AR117" s="10" t="s">
        <v>1251</v>
      </c>
      <c r="AS117" s="10" t="s">
        <v>66</v>
      </c>
      <c r="AT117" s="10" t="s">
        <v>53</v>
      </c>
    </row>
    <row r="118" spans="1:49" ht="14" x14ac:dyDescent="0.15">
      <c r="A118" s="8"/>
      <c r="B118" s="9"/>
      <c r="C118" s="10"/>
      <c r="D118" s="10"/>
      <c r="E118" s="10"/>
      <c r="F118" s="10"/>
      <c r="G118" s="11"/>
      <c r="H118" s="10"/>
      <c r="I118" s="10"/>
      <c r="J118" s="10"/>
      <c r="K118" s="11"/>
      <c r="L118" s="10"/>
      <c r="M118" s="11"/>
      <c r="N118" s="11"/>
      <c r="O118" s="11"/>
      <c r="P118" s="11"/>
      <c r="Q118" s="10"/>
      <c r="R118" s="11"/>
      <c r="S118" s="10"/>
      <c r="T118" s="10"/>
      <c r="U118" s="10"/>
      <c r="V118" s="11"/>
      <c r="W118" s="10"/>
      <c r="X118" s="10"/>
      <c r="Y118" s="10"/>
      <c r="Z118" s="10"/>
      <c r="AA118" s="10"/>
      <c r="AB118" s="11"/>
      <c r="AC118" s="11"/>
      <c r="AD118" s="11"/>
      <c r="AE118" s="10"/>
      <c r="AF118" s="28">
        <f>SUM(AF116:AF117)</f>
        <v>696</v>
      </c>
      <c r="AG118" s="11"/>
      <c r="AH118" s="11"/>
      <c r="AI118" s="10"/>
      <c r="AJ118" s="10"/>
      <c r="AK118" s="10"/>
      <c r="AL118" s="11"/>
      <c r="AM118" s="11"/>
      <c r="AN118" s="11"/>
      <c r="AO118" s="11"/>
      <c r="AP118" s="11"/>
      <c r="AQ118" s="11"/>
      <c r="AR118" s="10"/>
      <c r="AS118" s="10"/>
      <c r="AT118" s="10"/>
      <c r="AV118" s="31" t="s">
        <v>4070</v>
      </c>
      <c r="AW118" s="23" t="s">
        <v>4074</v>
      </c>
    </row>
    <row r="119" spans="1:49" x14ac:dyDescent="0.15">
      <c r="A119" s="8" t="s">
        <v>3332</v>
      </c>
      <c r="B119" s="20" t="s">
        <v>3333</v>
      </c>
      <c r="C119" s="10" t="s">
        <v>3334</v>
      </c>
      <c r="D119" s="10" t="s">
        <v>3335</v>
      </c>
      <c r="E119" s="10" t="s">
        <v>51</v>
      </c>
      <c r="F119" s="10" t="s">
        <v>3298</v>
      </c>
      <c r="G119" s="11"/>
      <c r="H119" s="10" t="s">
        <v>3336</v>
      </c>
      <c r="I119" s="10" t="s">
        <v>53</v>
      </c>
      <c r="J119" s="10" t="s">
        <v>54</v>
      </c>
      <c r="K119" s="11"/>
      <c r="L119" s="10" t="s">
        <v>3337</v>
      </c>
      <c r="M119" s="11"/>
      <c r="N119" s="11"/>
      <c r="O119" s="11"/>
      <c r="P119" s="11"/>
      <c r="Q119" s="10" t="s">
        <v>361</v>
      </c>
      <c r="R119" s="11"/>
      <c r="S119" s="10" t="s">
        <v>3300</v>
      </c>
      <c r="T119" s="10" t="s">
        <v>3301</v>
      </c>
      <c r="U119" s="10" t="s">
        <v>3302</v>
      </c>
      <c r="V119" s="11"/>
      <c r="W119" s="10" t="s">
        <v>3303</v>
      </c>
      <c r="X119" s="10" t="s">
        <v>80</v>
      </c>
      <c r="Y119" s="10" t="s">
        <v>80</v>
      </c>
      <c r="Z119" s="10" t="s">
        <v>3338</v>
      </c>
      <c r="AA119" s="10" t="s">
        <v>3339</v>
      </c>
      <c r="AB119" s="11"/>
      <c r="AC119" s="11"/>
      <c r="AD119" s="11"/>
      <c r="AE119" s="10" t="s">
        <v>3340</v>
      </c>
      <c r="AF119" s="27">
        <v>2350</v>
      </c>
      <c r="AG119" s="11"/>
      <c r="AH119" s="10" t="s">
        <v>3341</v>
      </c>
      <c r="AI119" s="10" t="s">
        <v>3342</v>
      </c>
      <c r="AJ119" s="10" t="s">
        <v>3343</v>
      </c>
      <c r="AK119" s="10" t="s">
        <v>3344</v>
      </c>
      <c r="AL119" s="11"/>
      <c r="AM119" s="11"/>
      <c r="AN119" s="11"/>
      <c r="AO119" s="11"/>
      <c r="AP119" s="11"/>
      <c r="AQ119" s="11"/>
      <c r="AR119" s="10" t="s">
        <v>2606</v>
      </c>
      <c r="AS119" s="10" t="s">
        <v>66</v>
      </c>
      <c r="AT119" s="10" t="s">
        <v>53</v>
      </c>
    </row>
    <row r="120" spans="1:49" x14ac:dyDescent="0.15">
      <c r="A120" s="8" t="s">
        <v>3345</v>
      </c>
      <c r="B120" s="9" t="s">
        <v>3346</v>
      </c>
      <c r="C120" s="10" t="s">
        <v>3347</v>
      </c>
      <c r="D120" s="10" t="s">
        <v>3348</v>
      </c>
      <c r="E120" s="10" t="s">
        <v>51</v>
      </c>
      <c r="F120" s="10" t="s">
        <v>3298</v>
      </c>
      <c r="G120" s="11"/>
      <c r="H120" s="10" t="s">
        <v>561</v>
      </c>
      <c r="I120" s="10" t="s">
        <v>53</v>
      </c>
      <c r="J120" s="10" t="s">
        <v>54</v>
      </c>
      <c r="K120" s="11"/>
      <c r="L120" s="10" t="s">
        <v>3337</v>
      </c>
      <c r="M120" s="11"/>
      <c r="N120" s="11"/>
      <c r="O120" s="11"/>
      <c r="P120" s="11"/>
      <c r="Q120" s="10" t="s">
        <v>361</v>
      </c>
      <c r="R120" s="11"/>
      <c r="S120" s="10" t="s">
        <v>3300</v>
      </c>
      <c r="T120" s="10" t="s">
        <v>3301</v>
      </c>
      <c r="U120" s="10" t="s">
        <v>3302</v>
      </c>
      <c r="V120" s="11"/>
      <c r="W120" s="10" t="s">
        <v>3303</v>
      </c>
      <c r="X120" s="10" t="s">
        <v>80</v>
      </c>
      <c r="Y120" s="10" t="s">
        <v>80</v>
      </c>
      <c r="Z120" s="10" t="s">
        <v>3349</v>
      </c>
      <c r="AA120" s="10" t="s">
        <v>3350</v>
      </c>
      <c r="AB120" s="11"/>
      <c r="AC120" s="11"/>
      <c r="AD120" s="11"/>
      <c r="AE120" s="10" t="s">
        <v>3340</v>
      </c>
      <c r="AF120" s="27"/>
      <c r="AG120" s="11"/>
      <c r="AH120" s="10" t="s">
        <v>3341</v>
      </c>
      <c r="AI120" s="10" t="s">
        <v>1335</v>
      </c>
      <c r="AJ120" s="10" t="s">
        <v>3343</v>
      </c>
      <c r="AK120" s="10" t="s">
        <v>3351</v>
      </c>
      <c r="AL120" s="11"/>
      <c r="AM120" s="11"/>
      <c r="AN120" s="11"/>
      <c r="AO120" s="11"/>
      <c r="AP120" s="11"/>
      <c r="AQ120" s="11"/>
      <c r="AR120" s="10" t="s">
        <v>556</v>
      </c>
      <c r="AS120" s="10" t="s">
        <v>66</v>
      </c>
      <c r="AT120" s="10" t="s">
        <v>53</v>
      </c>
    </row>
    <row r="121" spans="1:49" x14ac:dyDescent="0.15">
      <c r="A121" s="8" t="s">
        <v>3798</v>
      </c>
      <c r="B121" s="9" t="s">
        <v>3799</v>
      </c>
      <c r="C121" s="10" t="s">
        <v>1756</v>
      </c>
      <c r="D121" s="10" t="s">
        <v>3800</v>
      </c>
      <c r="E121" s="10" t="s">
        <v>51</v>
      </c>
      <c r="F121" s="10" t="s">
        <v>3298</v>
      </c>
      <c r="G121" s="10" t="s">
        <v>3801</v>
      </c>
      <c r="H121" s="10" t="s">
        <v>568</v>
      </c>
      <c r="I121" s="10" t="s">
        <v>53</v>
      </c>
      <c r="J121" s="10" t="s">
        <v>54</v>
      </c>
      <c r="K121" s="11"/>
      <c r="L121" s="10" t="s">
        <v>3337</v>
      </c>
      <c r="M121" s="11"/>
      <c r="N121" s="10" t="s">
        <v>3802</v>
      </c>
      <c r="O121" s="11"/>
      <c r="P121" s="11"/>
      <c r="Q121" s="10" t="s">
        <v>361</v>
      </c>
      <c r="R121" s="10" t="s">
        <v>3803</v>
      </c>
      <c r="S121" s="10" t="s">
        <v>3300</v>
      </c>
      <c r="T121" s="10" t="s">
        <v>3301</v>
      </c>
      <c r="U121" s="10" t="s">
        <v>3302</v>
      </c>
      <c r="V121" s="10" t="s">
        <v>3804</v>
      </c>
      <c r="W121" s="10" t="s">
        <v>3805</v>
      </c>
      <c r="X121" s="10" t="s">
        <v>80</v>
      </c>
      <c r="Y121" s="10" t="s">
        <v>80</v>
      </c>
      <c r="Z121" s="10" t="s">
        <v>3806</v>
      </c>
      <c r="AA121" s="10" t="s">
        <v>3807</v>
      </c>
      <c r="AB121" s="11"/>
      <c r="AC121" s="11"/>
      <c r="AD121" s="11"/>
      <c r="AE121" s="10" t="s">
        <v>3340</v>
      </c>
      <c r="AF121" s="27">
        <v>9000</v>
      </c>
      <c r="AG121" s="11"/>
      <c r="AH121" s="11"/>
      <c r="AI121" s="10" t="s">
        <v>3808</v>
      </c>
      <c r="AJ121" s="10" t="s">
        <v>3217</v>
      </c>
      <c r="AK121" s="10" t="s">
        <v>3809</v>
      </c>
      <c r="AL121" s="11"/>
      <c r="AM121" s="11"/>
      <c r="AN121" s="11"/>
      <c r="AO121" s="11"/>
      <c r="AP121" s="11"/>
      <c r="AQ121" s="11"/>
      <c r="AR121" s="10" t="s">
        <v>556</v>
      </c>
      <c r="AS121" s="10" t="s">
        <v>66</v>
      </c>
      <c r="AT121" s="10" t="s">
        <v>53</v>
      </c>
    </row>
    <row r="122" spans="1:49" ht="14" x14ac:dyDescent="0.15">
      <c r="A122" s="8"/>
      <c r="B122" s="9"/>
      <c r="C122" s="10"/>
      <c r="D122" s="10"/>
      <c r="E122" s="10"/>
      <c r="F122" s="10"/>
      <c r="G122" s="10"/>
      <c r="H122" s="10"/>
      <c r="I122" s="10"/>
      <c r="J122" s="10"/>
      <c r="K122" s="11"/>
      <c r="L122" s="10"/>
      <c r="M122" s="11"/>
      <c r="N122" s="10"/>
      <c r="O122" s="11"/>
      <c r="P122" s="11"/>
      <c r="Q122" s="10"/>
      <c r="R122" s="10"/>
      <c r="S122" s="10"/>
      <c r="T122" s="10"/>
      <c r="U122" s="10"/>
      <c r="V122" s="10"/>
      <c r="W122" s="10"/>
      <c r="X122" s="10"/>
      <c r="Y122" s="10"/>
      <c r="Z122" s="10"/>
      <c r="AA122" s="10"/>
      <c r="AB122" s="11"/>
      <c r="AC122" s="11"/>
      <c r="AD122" s="11"/>
      <c r="AE122" s="10"/>
      <c r="AF122" s="28">
        <f>SUM(AF119:AF121)</f>
        <v>11350</v>
      </c>
      <c r="AG122" s="11"/>
      <c r="AH122" s="11"/>
      <c r="AI122" s="10"/>
      <c r="AJ122" s="10"/>
      <c r="AK122" s="10"/>
      <c r="AL122" s="11"/>
      <c r="AM122" s="11"/>
      <c r="AN122" s="11"/>
      <c r="AO122" s="11"/>
      <c r="AP122" s="11"/>
      <c r="AQ122" s="11"/>
      <c r="AR122" s="10"/>
      <c r="AS122" s="10"/>
      <c r="AT122" s="10"/>
      <c r="AV122" s="31" t="s">
        <v>4070</v>
      </c>
      <c r="AW122" s="23" t="s">
        <v>4075</v>
      </c>
    </row>
    <row r="123" spans="1:49" x14ac:dyDescent="0.15">
      <c r="A123" s="8" t="s">
        <v>67</v>
      </c>
      <c r="B123" s="20" t="s">
        <v>68</v>
      </c>
      <c r="C123" s="10" t="s">
        <v>69</v>
      </c>
      <c r="D123" s="10" t="s">
        <v>70</v>
      </c>
      <c r="E123" s="10" t="s">
        <v>51</v>
      </c>
      <c r="F123" s="10" t="s">
        <v>71</v>
      </c>
      <c r="G123" s="11"/>
      <c r="H123" s="10" t="s">
        <v>72</v>
      </c>
      <c r="I123" s="10" t="s">
        <v>53</v>
      </c>
      <c r="J123" s="10" t="s">
        <v>54</v>
      </c>
      <c r="K123" s="11"/>
      <c r="L123" s="10" t="s">
        <v>73</v>
      </c>
      <c r="M123" s="11"/>
      <c r="N123" s="10" t="s">
        <v>74</v>
      </c>
      <c r="O123" s="11"/>
      <c r="P123" s="11"/>
      <c r="Q123" s="10" t="s">
        <v>75</v>
      </c>
      <c r="R123" s="11"/>
      <c r="S123" s="10" t="s">
        <v>76</v>
      </c>
      <c r="T123" s="10" t="s">
        <v>77</v>
      </c>
      <c r="U123" s="10" t="s">
        <v>78</v>
      </c>
      <c r="V123" s="11"/>
      <c r="W123" s="10" t="s">
        <v>79</v>
      </c>
      <c r="X123" s="10" t="s">
        <v>80</v>
      </c>
      <c r="Y123" s="10" t="s">
        <v>80</v>
      </c>
      <c r="Z123" s="10" t="s">
        <v>81</v>
      </c>
      <c r="AA123" s="10" t="s">
        <v>82</v>
      </c>
      <c r="AB123" s="11"/>
      <c r="AC123" s="11"/>
      <c r="AD123" s="11"/>
      <c r="AE123" s="11"/>
      <c r="AF123" s="27">
        <v>396</v>
      </c>
      <c r="AG123" s="11"/>
      <c r="AH123" s="10" t="s">
        <v>83</v>
      </c>
      <c r="AI123" s="11"/>
      <c r="AJ123" s="10" t="s">
        <v>84</v>
      </c>
      <c r="AK123" s="10" t="s">
        <v>85</v>
      </c>
      <c r="AL123" s="11"/>
      <c r="AM123" s="11"/>
      <c r="AN123" s="11"/>
      <c r="AO123" s="11"/>
      <c r="AP123" s="11"/>
      <c r="AQ123" s="11"/>
      <c r="AR123" s="10" t="s">
        <v>86</v>
      </c>
      <c r="AS123" s="10" t="s">
        <v>66</v>
      </c>
      <c r="AT123" s="10" t="s">
        <v>53</v>
      </c>
    </row>
    <row r="124" spans="1:49" x14ac:dyDescent="0.15">
      <c r="A124" s="8" t="s">
        <v>174</v>
      </c>
      <c r="B124" s="9" t="s">
        <v>175</v>
      </c>
      <c r="C124" s="10" t="s">
        <v>176</v>
      </c>
      <c r="D124" s="10" t="s">
        <v>177</v>
      </c>
      <c r="E124" s="10" t="s">
        <v>51</v>
      </c>
      <c r="F124" s="10" t="s">
        <v>71</v>
      </c>
      <c r="G124" s="11"/>
      <c r="H124" s="10" t="s">
        <v>72</v>
      </c>
      <c r="I124" s="10" t="s">
        <v>53</v>
      </c>
      <c r="J124" s="10" t="s">
        <v>54</v>
      </c>
      <c r="K124" s="11"/>
      <c r="L124" s="10" t="s">
        <v>178</v>
      </c>
      <c r="M124" s="11"/>
      <c r="N124" s="10" t="s">
        <v>117</v>
      </c>
      <c r="O124" s="11"/>
      <c r="P124" s="11"/>
      <c r="Q124" s="10" t="s">
        <v>75</v>
      </c>
      <c r="R124" s="11"/>
      <c r="S124" s="10" t="s">
        <v>76</v>
      </c>
      <c r="T124" s="10" t="s">
        <v>77</v>
      </c>
      <c r="U124" s="10" t="s">
        <v>78</v>
      </c>
      <c r="V124" s="11"/>
      <c r="W124" s="10" t="s">
        <v>79</v>
      </c>
      <c r="X124" s="10" t="s">
        <v>80</v>
      </c>
      <c r="Y124" s="10" t="s">
        <v>80</v>
      </c>
      <c r="Z124" s="10" t="s">
        <v>179</v>
      </c>
      <c r="AA124" s="10" t="s">
        <v>180</v>
      </c>
      <c r="AB124" s="11"/>
      <c r="AC124" s="11"/>
      <c r="AD124" s="11"/>
      <c r="AE124" s="11"/>
      <c r="AF124" s="27">
        <v>5100</v>
      </c>
      <c r="AG124" s="11"/>
      <c r="AH124" s="10" t="s">
        <v>181</v>
      </c>
      <c r="AI124" s="11"/>
      <c r="AJ124" s="10" t="s">
        <v>122</v>
      </c>
      <c r="AK124" s="10" t="s">
        <v>110</v>
      </c>
      <c r="AL124" s="11"/>
      <c r="AM124" s="11"/>
      <c r="AN124" s="11"/>
      <c r="AO124" s="11"/>
      <c r="AP124" s="11"/>
      <c r="AQ124" s="11"/>
      <c r="AR124" s="10" t="s">
        <v>182</v>
      </c>
      <c r="AS124" s="10" t="s">
        <v>66</v>
      </c>
      <c r="AT124" s="10" t="s">
        <v>53</v>
      </c>
    </row>
    <row r="125" spans="1:49" x14ac:dyDescent="0.15">
      <c r="A125" s="8" t="s">
        <v>183</v>
      </c>
      <c r="B125" s="9" t="s">
        <v>184</v>
      </c>
      <c r="C125" s="10" t="s">
        <v>185</v>
      </c>
      <c r="D125" s="10" t="s">
        <v>186</v>
      </c>
      <c r="E125" s="10" t="s">
        <v>51</v>
      </c>
      <c r="F125" s="10" t="s">
        <v>71</v>
      </c>
      <c r="G125" s="11"/>
      <c r="H125" s="10" t="s">
        <v>72</v>
      </c>
      <c r="I125" s="10" t="s">
        <v>53</v>
      </c>
      <c r="J125" s="10" t="s">
        <v>54</v>
      </c>
      <c r="K125" s="11"/>
      <c r="L125" s="10" t="s">
        <v>178</v>
      </c>
      <c r="M125" s="11"/>
      <c r="N125" s="10" t="s">
        <v>117</v>
      </c>
      <c r="O125" s="11"/>
      <c r="P125" s="11"/>
      <c r="Q125" s="10" t="s">
        <v>75</v>
      </c>
      <c r="R125" s="11"/>
      <c r="S125" s="10" t="s">
        <v>76</v>
      </c>
      <c r="T125" s="10" t="s">
        <v>77</v>
      </c>
      <c r="U125" s="10" t="s">
        <v>78</v>
      </c>
      <c r="V125" s="11"/>
      <c r="W125" s="10" t="s">
        <v>79</v>
      </c>
      <c r="X125" s="10" t="s">
        <v>80</v>
      </c>
      <c r="Y125" s="10" t="s">
        <v>80</v>
      </c>
      <c r="Z125" s="10" t="s">
        <v>187</v>
      </c>
      <c r="AA125" s="10" t="s">
        <v>188</v>
      </c>
      <c r="AB125" s="11"/>
      <c r="AC125" s="11"/>
      <c r="AD125" s="11"/>
      <c r="AE125" s="11"/>
      <c r="AF125" s="27">
        <v>133</v>
      </c>
      <c r="AG125" s="11"/>
      <c r="AH125" s="10" t="s">
        <v>141</v>
      </c>
      <c r="AI125" s="11"/>
      <c r="AJ125" s="10" t="s">
        <v>189</v>
      </c>
      <c r="AK125" s="10" t="s">
        <v>110</v>
      </c>
      <c r="AL125" s="11"/>
      <c r="AM125" s="11"/>
      <c r="AN125" s="11"/>
      <c r="AO125" s="11"/>
      <c r="AP125" s="11"/>
      <c r="AQ125" s="11"/>
      <c r="AR125" s="10" t="s">
        <v>190</v>
      </c>
      <c r="AS125" s="10" t="s">
        <v>66</v>
      </c>
      <c r="AT125" s="10" t="s">
        <v>53</v>
      </c>
    </row>
    <row r="126" spans="1:49" x14ac:dyDescent="0.15">
      <c r="A126" s="8" t="s">
        <v>191</v>
      </c>
      <c r="B126" s="9" t="s">
        <v>192</v>
      </c>
      <c r="C126" s="10" t="s">
        <v>193</v>
      </c>
      <c r="D126" s="10" t="s">
        <v>194</v>
      </c>
      <c r="E126" s="10" t="s">
        <v>51</v>
      </c>
      <c r="F126" s="10" t="s">
        <v>71</v>
      </c>
      <c r="G126" s="11"/>
      <c r="H126" s="10" t="s">
        <v>72</v>
      </c>
      <c r="I126" s="10" t="s">
        <v>53</v>
      </c>
      <c r="J126" s="10" t="s">
        <v>54</v>
      </c>
      <c r="K126" s="11"/>
      <c r="L126" s="10" t="s">
        <v>178</v>
      </c>
      <c r="M126" s="11"/>
      <c r="N126" s="10" t="s">
        <v>117</v>
      </c>
      <c r="O126" s="11"/>
      <c r="P126" s="11"/>
      <c r="Q126" s="10" t="s">
        <v>75</v>
      </c>
      <c r="R126" s="11"/>
      <c r="S126" s="10" t="s">
        <v>76</v>
      </c>
      <c r="T126" s="10" t="s">
        <v>77</v>
      </c>
      <c r="U126" s="10" t="s">
        <v>78</v>
      </c>
      <c r="V126" s="11"/>
      <c r="W126" s="10" t="s">
        <v>79</v>
      </c>
      <c r="X126" s="10" t="s">
        <v>80</v>
      </c>
      <c r="Y126" s="10" t="s">
        <v>80</v>
      </c>
      <c r="Z126" s="10" t="s">
        <v>195</v>
      </c>
      <c r="AA126" s="10" t="s">
        <v>196</v>
      </c>
      <c r="AB126" s="11"/>
      <c r="AC126" s="11"/>
      <c r="AD126" s="11"/>
      <c r="AE126" s="11"/>
      <c r="AF126" s="27">
        <v>5194</v>
      </c>
      <c r="AG126" s="11"/>
      <c r="AH126" s="10" t="s">
        <v>197</v>
      </c>
      <c r="AI126" s="11"/>
      <c r="AJ126" s="10" t="s">
        <v>198</v>
      </c>
      <c r="AK126" s="10" t="s">
        <v>110</v>
      </c>
      <c r="AL126" s="11"/>
      <c r="AM126" s="11"/>
      <c r="AN126" s="11"/>
      <c r="AO126" s="11"/>
      <c r="AP126" s="11"/>
      <c r="AQ126" s="11"/>
      <c r="AR126" s="10" t="s">
        <v>199</v>
      </c>
      <c r="AS126" s="10" t="s">
        <v>66</v>
      </c>
      <c r="AT126" s="10" t="s">
        <v>53</v>
      </c>
    </row>
    <row r="127" spans="1:49" x14ac:dyDescent="0.15">
      <c r="A127" s="8" t="s">
        <v>200</v>
      </c>
      <c r="B127" s="9" t="s">
        <v>201</v>
      </c>
      <c r="C127" s="10" t="s">
        <v>202</v>
      </c>
      <c r="D127" s="10" t="s">
        <v>203</v>
      </c>
      <c r="E127" s="10" t="s">
        <v>51</v>
      </c>
      <c r="F127" s="10" t="s">
        <v>71</v>
      </c>
      <c r="G127" s="11"/>
      <c r="H127" s="10" t="s">
        <v>72</v>
      </c>
      <c r="I127" s="10" t="s">
        <v>53</v>
      </c>
      <c r="J127" s="10" t="s">
        <v>54</v>
      </c>
      <c r="K127" s="11"/>
      <c r="L127" s="10" t="s">
        <v>178</v>
      </c>
      <c r="M127" s="11"/>
      <c r="N127" s="10" t="s">
        <v>117</v>
      </c>
      <c r="O127" s="11"/>
      <c r="P127" s="11"/>
      <c r="Q127" s="10" t="s">
        <v>75</v>
      </c>
      <c r="R127" s="11"/>
      <c r="S127" s="10" t="s">
        <v>76</v>
      </c>
      <c r="T127" s="10" t="s">
        <v>77</v>
      </c>
      <c r="U127" s="10" t="s">
        <v>78</v>
      </c>
      <c r="V127" s="11"/>
      <c r="W127" s="10" t="s">
        <v>79</v>
      </c>
      <c r="X127" s="10" t="s">
        <v>80</v>
      </c>
      <c r="Y127" s="10" t="s">
        <v>80</v>
      </c>
      <c r="Z127" s="10" t="s">
        <v>204</v>
      </c>
      <c r="AA127" s="10" t="s">
        <v>205</v>
      </c>
      <c r="AB127" s="11"/>
      <c r="AC127" s="11"/>
      <c r="AD127" s="11"/>
      <c r="AE127" s="11"/>
      <c r="AF127" s="27">
        <v>249</v>
      </c>
      <c r="AG127" s="11"/>
      <c r="AH127" s="10" t="s">
        <v>149</v>
      </c>
      <c r="AI127" s="11"/>
      <c r="AJ127" s="10" t="s">
        <v>206</v>
      </c>
      <c r="AK127" s="10" t="s">
        <v>110</v>
      </c>
      <c r="AL127" s="11"/>
      <c r="AM127" s="11"/>
      <c r="AN127" s="11"/>
      <c r="AO127" s="11"/>
      <c r="AP127" s="11"/>
      <c r="AQ127" s="11"/>
      <c r="AR127" s="10" t="s">
        <v>207</v>
      </c>
      <c r="AS127" s="10" t="s">
        <v>66</v>
      </c>
      <c r="AT127" s="10" t="s">
        <v>53</v>
      </c>
    </row>
    <row r="128" spans="1:49" x14ac:dyDescent="0.15">
      <c r="A128" s="8" t="s">
        <v>208</v>
      </c>
      <c r="B128" s="9" t="s">
        <v>209</v>
      </c>
      <c r="C128" s="10" t="s">
        <v>210</v>
      </c>
      <c r="D128" s="10" t="s">
        <v>211</v>
      </c>
      <c r="E128" s="10" t="s">
        <v>51</v>
      </c>
      <c r="F128" s="10" t="s">
        <v>71</v>
      </c>
      <c r="G128" s="11"/>
      <c r="H128" s="10" t="s">
        <v>72</v>
      </c>
      <c r="I128" s="10" t="s">
        <v>53</v>
      </c>
      <c r="J128" s="10" t="s">
        <v>54</v>
      </c>
      <c r="K128" s="11"/>
      <c r="L128" s="10" t="s">
        <v>178</v>
      </c>
      <c r="M128" s="11"/>
      <c r="N128" s="10" t="s">
        <v>117</v>
      </c>
      <c r="O128" s="11"/>
      <c r="P128" s="11"/>
      <c r="Q128" s="10" t="s">
        <v>75</v>
      </c>
      <c r="R128" s="11"/>
      <c r="S128" s="10" t="s">
        <v>76</v>
      </c>
      <c r="T128" s="10" t="s">
        <v>77</v>
      </c>
      <c r="U128" s="10" t="s">
        <v>78</v>
      </c>
      <c r="V128" s="11"/>
      <c r="W128" s="10" t="s">
        <v>79</v>
      </c>
      <c r="X128" s="10" t="s">
        <v>80</v>
      </c>
      <c r="Y128" s="10" t="s">
        <v>80</v>
      </c>
      <c r="Z128" s="10" t="s">
        <v>212</v>
      </c>
      <c r="AA128" s="10" t="s">
        <v>213</v>
      </c>
      <c r="AB128" s="11"/>
      <c r="AC128" s="11"/>
      <c r="AD128" s="11"/>
      <c r="AE128" s="11"/>
      <c r="AF128" s="27">
        <v>6068</v>
      </c>
      <c r="AG128" s="11"/>
      <c r="AH128" s="10" t="s">
        <v>156</v>
      </c>
      <c r="AI128" s="11"/>
      <c r="AJ128" s="10" t="s">
        <v>214</v>
      </c>
      <c r="AK128" s="10" t="s">
        <v>110</v>
      </c>
      <c r="AL128" s="11"/>
      <c r="AM128" s="11"/>
      <c r="AN128" s="11"/>
      <c r="AO128" s="11"/>
      <c r="AP128" s="11"/>
      <c r="AQ128" s="11"/>
      <c r="AR128" s="10" t="s">
        <v>215</v>
      </c>
      <c r="AS128" s="10" t="s">
        <v>66</v>
      </c>
      <c r="AT128" s="10" t="s">
        <v>53</v>
      </c>
    </row>
    <row r="129" spans="1:49" x14ac:dyDescent="0.15">
      <c r="A129" s="8" t="s">
        <v>216</v>
      </c>
      <c r="B129" s="9" t="s">
        <v>217</v>
      </c>
      <c r="C129" s="10" t="s">
        <v>218</v>
      </c>
      <c r="D129" s="10" t="s">
        <v>219</v>
      </c>
      <c r="E129" s="10" t="s">
        <v>51</v>
      </c>
      <c r="F129" s="10" t="s">
        <v>71</v>
      </c>
      <c r="G129" s="11"/>
      <c r="H129" s="10" t="s">
        <v>72</v>
      </c>
      <c r="I129" s="10" t="s">
        <v>53</v>
      </c>
      <c r="J129" s="10" t="s">
        <v>54</v>
      </c>
      <c r="K129" s="11"/>
      <c r="L129" s="10" t="s">
        <v>178</v>
      </c>
      <c r="M129" s="11"/>
      <c r="N129" s="10" t="s">
        <v>117</v>
      </c>
      <c r="O129" s="11"/>
      <c r="P129" s="11"/>
      <c r="Q129" s="10" t="s">
        <v>75</v>
      </c>
      <c r="R129" s="11"/>
      <c r="S129" s="10" t="s">
        <v>76</v>
      </c>
      <c r="T129" s="10" t="s">
        <v>77</v>
      </c>
      <c r="U129" s="10" t="s">
        <v>78</v>
      </c>
      <c r="V129" s="11"/>
      <c r="W129" s="10" t="s">
        <v>79</v>
      </c>
      <c r="X129" s="10" t="s">
        <v>80</v>
      </c>
      <c r="Y129" s="10" t="s">
        <v>80</v>
      </c>
      <c r="Z129" s="10" t="s">
        <v>220</v>
      </c>
      <c r="AA129" s="10" t="s">
        <v>221</v>
      </c>
      <c r="AB129" s="11"/>
      <c r="AC129" s="11"/>
      <c r="AD129" s="11"/>
      <c r="AE129" s="11"/>
      <c r="AF129" s="27">
        <v>6017</v>
      </c>
      <c r="AG129" s="11"/>
      <c r="AH129" s="10" t="s">
        <v>222</v>
      </c>
      <c r="AI129" s="11"/>
      <c r="AJ129" s="10" t="s">
        <v>223</v>
      </c>
      <c r="AK129" s="10" t="s">
        <v>110</v>
      </c>
      <c r="AL129" s="11"/>
      <c r="AM129" s="11"/>
      <c r="AN129" s="11"/>
      <c r="AO129" s="11"/>
      <c r="AP129" s="11"/>
      <c r="AQ129" s="11"/>
      <c r="AR129" s="10" t="s">
        <v>224</v>
      </c>
      <c r="AS129" s="10" t="s">
        <v>66</v>
      </c>
      <c r="AT129" s="10" t="s">
        <v>53</v>
      </c>
    </row>
    <row r="130" spans="1:49" x14ac:dyDescent="0.15">
      <c r="A130" s="8" t="s">
        <v>225</v>
      </c>
      <c r="B130" s="9" t="s">
        <v>226</v>
      </c>
      <c r="C130" s="10" t="s">
        <v>227</v>
      </c>
      <c r="D130" s="10" t="s">
        <v>228</v>
      </c>
      <c r="E130" s="10" t="s">
        <v>51</v>
      </c>
      <c r="F130" s="10" t="s">
        <v>71</v>
      </c>
      <c r="G130" s="11"/>
      <c r="H130" s="10" t="s">
        <v>229</v>
      </c>
      <c r="I130" s="10" t="s">
        <v>53</v>
      </c>
      <c r="J130" s="10" t="s">
        <v>54</v>
      </c>
      <c r="K130" s="11"/>
      <c r="L130" s="10" t="s">
        <v>178</v>
      </c>
      <c r="M130" s="11"/>
      <c r="N130" s="10" t="s">
        <v>117</v>
      </c>
      <c r="O130" s="11"/>
      <c r="P130" s="11"/>
      <c r="Q130" s="10" t="s">
        <v>75</v>
      </c>
      <c r="R130" s="11"/>
      <c r="S130" s="10" t="s">
        <v>76</v>
      </c>
      <c r="T130" s="10" t="s">
        <v>77</v>
      </c>
      <c r="U130" s="10" t="s">
        <v>78</v>
      </c>
      <c r="V130" s="11"/>
      <c r="W130" s="10" t="s">
        <v>79</v>
      </c>
      <c r="X130" s="10" t="s">
        <v>80</v>
      </c>
      <c r="Y130" s="10" t="s">
        <v>80</v>
      </c>
      <c r="Z130" s="10" t="s">
        <v>230</v>
      </c>
      <c r="AA130" s="10" t="s">
        <v>231</v>
      </c>
      <c r="AB130" s="11"/>
      <c r="AC130" s="11"/>
      <c r="AD130" s="11"/>
      <c r="AE130" s="11"/>
      <c r="AF130" s="27">
        <v>166</v>
      </c>
      <c r="AG130" s="11"/>
      <c r="AH130" s="10" t="s">
        <v>232</v>
      </c>
      <c r="AI130" s="11"/>
      <c r="AJ130" s="10" t="s">
        <v>233</v>
      </c>
      <c r="AK130" s="10" t="s">
        <v>110</v>
      </c>
      <c r="AL130" s="11"/>
      <c r="AM130" s="11"/>
      <c r="AN130" s="11"/>
      <c r="AO130" s="11"/>
      <c r="AP130" s="11"/>
      <c r="AQ130" s="11"/>
      <c r="AR130" s="10" t="s">
        <v>234</v>
      </c>
      <c r="AS130" s="10" t="s">
        <v>66</v>
      </c>
      <c r="AT130" s="10" t="s">
        <v>53</v>
      </c>
    </row>
    <row r="131" spans="1:49" x14ac:dyDescent="0.15">
      <c r="A131" s="8" t="s">
        <v>235</v>
      </c>
      <c r="B131" s="9" t="s">
        <v>236</v>
      </c>
      <c r="C131" s="10" t="s">
        <v>237</v>
      </c>
      <c r="D131" s="10" t="s">
        <v>238</v>
      </c>
      <c r="E131" s="10" t="s">
        <v>51</v>
      </c>
      <c r="F131" s="10" t="s">
        <v>71</v>
      </c>
      <c r="G131" s="11"/>
      <c r="H131" s="10" t="s">
        <v>239</v>
      </c>
      <c r="I131" s="10" t="s">
        <v>53</v>
      </c>
      <c r="J131" s="10" t="s">
        <v>54</v>
      </c>
      <c r="K131" s="11"/>
      <c r="L131" s="10" t="s">
        <v>178</v>
      </c>
      <c r="M131" s="11"/>
      <c r="N131" s="10" t="s">
        <v>117</v>
      </c>
      <c r="O131" s="11"/>
      <c r="P131" s="11"/>
      <c r="Q131" s="10" t="s">
        <v>75</v>
      </c>
      <c r="R131" s="11"/>
      <c r="S131" s="10" t="s">
        <v>76</v>
      </c>
      <c r="T131" s="10" t="s">
        <v>77</v>
      </c>
      <c r="U131" s="10" t="s">
        <v>78</v>
      </c>
      <c r="V131" s="11"/>
      <c r="W131" s="10" t="s">
        <v>79</v>
      </c>
      <c r="X131" s="10" t="s">
        <v>80</v>
      </c>
      <c r="Y131" s="10" t="s">
        <v>80</v>
      </c>
      <c r="Z131" s="10" t="s">
        <v>240</v>
      </c>
      <c r="AA131" s="10" t="s">
        <v>241</v>
      </c>
      <c r="AB131" s="11"/>
      <c r="AC131" s="11"/>
      <c r="AD131" s="11"/>
      <c r="AE131" s="11"/>
      <c r="AF131" s="27">
        <v>38000</v>
      </c>
      <c r="AG131" s="11"/>
      <c r="AH131" s="10" t="s">
        <v>242</v>
      </c>
      <c r="AI131" s="11"/>
      <c r="AJ131" s="10" t="s">
        <v>243</v>
      </c>
      <c r="AK131" s="10" t="s">
        <v>110</v>
      </c>
      <c r="AL131" s="11"/>
      <c r="AM131" s="11"/>
      <c r="AN131" s="11"/>
      <c r="AO131" s="11"/>
      <c r="AP131" s="11"/>
      <c r="AQ131" s="11"/>
      <c r="AR131" s="10" t="s">
        <v>244</v>
      </c>
      <c r="AS131" s="10" t="s">
        <v>66</v>
      </c>
      <c r="AT131" s="10" t="s">
        <v>53</v>
      </c>
    </row>
    <row r="132" spans="1:49" ht="14" x14ac:dyDescent="0.15">
      <c r="A132" s="8"/>
      <c r="B132" s="9"/>
      <c r="C132" s="10"/>
      <c r="D132" s="10"/>
      <c r="E132" s="10"/>
      <c r="F132" s="10"/>
      <c r="G132" s="11"/>
      <c r="H132" s="10"/>
      <c r="I132" s="10"/>
      <c r="J132" s="10"/>
      <c r="K132" s="11"/>
      <c r="L132" s="10"/>
      <c r="M132" s="11"/>
      <c r="N132" s="10"/>
      <c r="O132" s="11"/>
      <c r="P132" s="11"/>
      <c r="Q132" s="10"/>
      <c r="R132" s="11"/>
      <c r="S132" s="10"/>
      <c r="T132" s="10"/>
      <c r="U132" s="10"/>
      <c r="V132" s="11"/>
      <c r="W132" s="10"/>
      <c r="X132" s="10"/>
      <c r="Y132" s="10"/>
      <c r="Z132" s="10"/>
      <c r="AA132" s="10"/>
      <c r="AB132" s="11"/>
      <c r="AC132" s="11"/>
      <c r="AD132" s="11"/>
      <c r="AE132" s="11"/>
      <c r="AF132" s="28">
        <f>SUM(AF123:AF131)</f>
        <v>61323</v>
      </c>
      <c r="AG132" s="11"/>
      <c r="AH132" s="10"/>
      <c r="AI132" s="11"/>
      <c r="AJ132" s="10"/>
      <c r="AK132" s="10"/>
      <c r="AL132" s="11"/>
      <c r="AM132" s="11"/>
      <c r="AN132" s="11"/>
      <c r="AO132" s="11"/>
      <c r="AP132" s="11"/>
      <c r="AQ132" s="11"/>
      <c r="AR132" s="10"/>
      <c r="AS132" s="10"/>
      <c r="AT132" s="10"/>
      <c r="AV132" s="23" t="s">
        <v>4064</v>
      </c>
      <c r="AW132" s="23" t="s">
        <v>4075</v>
      </c>
    </row>
    <row r="133" spans="1:49" x14ac:dyDescent="0.15">
      <c r="A133" s="8" t="s">
        <v>1770</v>
      </c>
      <c r="B133" s="20" t="s">
        <v>1771</v>
      </c>
      <c r="C133" s="10" t="s">
        <v>1772</v>
      </c>
      <c r="D133" s="10" t="s">
        <v>1773</v>
      </c>
      <c r="E133" s="10" t="s">
        <v>51</v>
      </c>
      <c r="F133" s="10" t="s">
        <v>71</v>
      </c>
      <c r="G133" s="11"/>
      <c r="H133" s="10" t="s">
        <v>1774</v>
      </c>
      <c r="I133" s="10" t="s">
        <v>53</v>
      </c>
      <c r="J133" s="10" t="s">
        <v>54</v>
      </c>
      <c r="K133" s="11"/>
      <c r="L133" s="10" t="s">
        <v>1759</v>
      </c>
      <c r="M133" s="11"/>
      <c r="N133" s="10" t="s">
        <v>1760</v>
      </c>
      <c r="O133" s="11"/>
      <c r="P133" s="11"/>
      <c r="Q133" s="11"/>
      <c r="R133" s="11"/>
      <c r="S133" s="10" t="s">
        <v>1775</v>
      </c>
      <c r="T133" s="10" t="s">
        <v>1776</v>
      </c>
      <c r="U133" s="10" t="s">
        <v>1777</v>
      </c>
      <c r="V133" s="11"/>
      <c r="W133" s="10" t="s">
        <v>1778</v>
      </c>
      <c r="X133" s="10" t="s">
        <v>80</v>
      </c>
      <c r="Y133" s="10" t="s">
        <v>80</v>
      </c>
      <c r="Z133" s="10" t="s">
        <v>1779</v>
      </c>
      <c r="AA133" s="10" t="s">
        <v>1780</v>
      </c>
      <c r="AB133" s="11"/>
      <c r="AC133" s="11"/>
      <c r="AD133" s="11"/>
      <c r="AE133" s="11"/>
      <c r="AF133" s="27">
        <v>200</v>
      </c>
      <c r="AG133" s="11"/>
      <c r="AH133" s="10" t="s">
        <v>1696</v>
      </c>
      <c r="AI133" s="10" t="s">
        <v>1335</v>
      </c>
      <c r="AJ133" s="10" t="s">
        <v>1698</v>
      </c>
      <c r="AK133" s="10" t="s">
        <v>1768</v>
      </c>
      <c r="AL133" s="11"/>
      <c r="AM133" s="11"/>
      <c r="AN133" s="11"/>
      <c r="AO133" s="11"/>
      <c r="AP133" s="11"/>
      <c r="AQ133" s="11"/>
      <c r="AR133" s="10" t="s">
        <v>556</v>
      </c>
      <c r="AS133" s="10" t="s">
        <v>66</v>
      </c>
      <c r="AT133" s="10" t="s">
        <v>53</v>
      </c>
    </row>
    <row r="134" spans="1:49" x14ac:dyDescent="0.15">
      <c r="A134" s="8" t="s">
        <v>3140</v>
      </c>
      <c r="B134" s="9" t="s">
        <v>3141</v>
      </c>
      <c r="C134" s="10" t="s">
        <v>3142</v>
      </c>
      <c r="D134" s="10" t="s">
        <v>3143</v>
      </c>
      <c r="E134" s="10" t="s">
        <v>51</v>
      </c>
      <c r="F134" s="10" t="s">
        <v>71</v>
      </c>
      <c r="G134" s="11"/>
      <c r="H134" s="10" t="s">
        <v>3144</v>
      </c>
      <c r="I134" s="10" t="s">
        <v>53</v>
      </c>
      <c r="J134" s="10" t="s">
        <v>54</v>
      </c>
      <c r="K134" s="11"/>
      <c r="L134" s="10" t="s">
        <v>3134</v>
      </c>
      <c r="M134" s="11"/>
      <c r="N134" s="10" t="s">
        <v>3135</v>
      </c>
      <c r="O134" s="11"/>
      <c r="P134" s="11"/>
      <c r="Q134" s="10" t="s">
        <v>75</v>
      </c>
      <c r="R134" s="11"/>
      <c r="S134" s="10" t="s">
        <v>1775</v>
      </c>
      <c r="T134" s="10" t="s">
        <v>1776</v>
      </c>
      <c r="U134" s="10" t="s">
        <v>1777</v>
      </c>
      <c r="V134" s="11"/>
      <c r="W134" s="10" t="s">
        <v>1778</v>
      </c>
      <c r="X134" s="10" t="s">
        <v>80</v>
      </c>
      <c r="Y134" s="10" t="s">
        <v>80</v>
      </c>
      <c r="Z134" s="10" t="s">
        <v>3145</v>
      </c>
      <c r="AA134" s="10" t="s">
        <v>3146</v>
      </c>
      <c r="AB134" s="11"/>
      <c r="AC134" s="11"/>
      <c r="AD134" s="11"/>
      <c r="AE134" s="11"/>
      <c r="AF134" s="27">
        <v>6000</v>
      </c>
      <c r="AG134" s="11"/>
      <c r="AH134" s="10" t="s">
        <v>3147</v>
      </c>
      <c r="AI134" s="11"/>
      <c r="AJ134" s="11"/>
      <c r="AK134" s="11"/>
      <c r="AL134" s="11"/>
      <c r="AM134" s="11"/>
      <c r="AN134" s="11"/>
      <c r="AO134" s="11"/>
      <c r="AP134" s="11"/>
      <c r="AQ134" s="11"/>
      <c r="AR134" s="10" t="s">
        <v>3148</v>
      </c>
      <c r="AS134" s="10" t="s">
        <v>66</v>
      </c>
      <c r="AT134" s="10" t="s">
        <v>53</v>
      </c>
    </row>
    <row r="135" spans="1:49" ht="14" x14ac:dyDescent="0.15">
      <c r="A135" s="8"/>
      <c r="B135" s="9"/>
      <c r="C135" s="10"/>
      <c r="D135" s="10"/>
      <c r="E135" s="10"/>
      <c r="F135" s="10"/>
      <c r="G135" s="11"/>
      <c r="H135" s="10"/>
      <c r="I135" s="10"/>
      <c r="J135" s="10"/>
      <c r="K135" s="11"/>
      <c r="L135" s="10"/>
      <c r="M135" s="11"/>
      <c r="N135" s="10"/>
      <c r="O135" s="11"/>
      <c r="P135" s="11"/>
      <c r="Q135" s="10"/>
      <c r="R135" s="11"/>
      <c r="S135" s="10"/>
      <c r="T135" s="10"/>
      <c r="U135" s="10"/>
      <c r="V135" s="11"/>
      <c r="W135" s="10"/>
      <c r="X135" s="10"/>
      <c r="Y135" s="10"/>
      <c r="Z135" s="10"/>
      <c r="AA135" s="10"/>
      <c r="AB135" s="11"/>
      <c r="AC135" s="11"/>
      <c r="AD135" s="11"/>
      <c r="AE135" s="11"/>
      <c r="AF135" s="28">
        <f>SUM(AF133:AF134)</f>
        <v>6200</v>
      </c>
      <c r="AG135" s="11"/>
      <c r="AH135" s="10"/>
      <c r="AI135" s="11"/>
      <c r="AJ135" s="11"/>
      <c r="AK135" s="11"/>
      <c r="AL135" s="11"/>
      <c r="AM135" s="11"/>
      <c r="AN135" s="11"/>
      <c r="AO135" s="11"/>
      <c r="AP135" s="11"/>
      <c r="AQ135" s="11"/>
      <c r="AR135" s="10"/>
      <c r="AS135" s="10"/>
      <c r="AT135" s="10"/>
      <c r="AV135" s="23" t="s">
        <v>4064</v>
      </c>
    </row>
    <row r="136" spans="1:49" x14ac:dyDescent="0.15">
      <c r="A136" s="8" t="s">
        <v>3971</v>
      </c>
      <c r="B136" s="20" t="s">
        <v>3972</v>
      </c>
      <c r="C136" s="10" t="s">
        <v>3973</v>
      </c>
      <c r="D136" s="10" t="s">
        <v>3974</v>
      </c>
      <c r="E136" s="10" t="s">
        <v>51</v>
      </c>
      <c r="F136" s="10" t="s">
        <v>71</v>
      </c>
      <c r="G136" s="11"/>
      <c r="H136" s="10" t="s">
        <v>3975</v>
      </c>
      <c r="I136" s="10" t="s">
        <v>53</v>
      </c>
      <c r="J136" s="10" t="s">
        <v>54</v>
      </c>
      <c r="K136" s="11"/>
      <c r="L136" s="10" t="s">
        <v>3976</v>
      </c>
      <c r="M136" s="11"/>
      <c r="N136" s="10" t="s">
        <v>3977</v>
      </c>
      <c r="O136" s="11"/>
      <c r="P136" s="11"/>
      <c r="Q136" s="10" t="s">
        <v>75</v>
      </c>
      <c r="R136" s="11"/>
      <c r="S136" s="10" t="s">
        <v>3887</v>
      </c>
      <c r="T136" s="10" t="s">
        <v>3888</v>
      </c>
      <c r="U136" s="10" t="s">
        <v>3889</v>
      </c>
      <c r="V136" s="10" t="s">
        <v>3978</v>
      </c>
      <c r="W136" s="10" t="s">
        <v>3979</v>
      </c>
      <c r="X136" s="10" t="s">
        <v>60</v>
      </c>
      <c r="Y136" s="10" t="s">
        <v>80</v>
      </c>
      <c r="Z136" s="10" t="s">
        <v>3980</v>
      </c>
      <c r="AA136" s="10" t="s">
        <v>3981</v>
      </c>
      <c r="AB136" s="11"/>
      <c r="AC136" s="11"/>
      <c r="AD136" s="11"/>
      <c r="AE136" s="10" t="s">
        <v>3982</v>
      </c>
      <c r="AF136" s="27">
        <v>700114</v>
      </c>
      <c r="AG136" s="11"/>
      <c r="AH136" s="11"/>
      <c r="AI136" s="11"/>
      <c r="AJ136" s="11"/>
      <c r="AK136" s="10" t="s">
        <v>3983</v>
      </c>
      <c r="AL136" s="11"/>
      <c r="AM136" s="11"/>
      <c r="AN136" s="11"/>
      <c r="AO136" s="11"/>
      <c r="AP136" s="11"/>
      <c r="AQ136" s="11"/>
      <c r="AR136" s="10" t="s">
        <v>727</v>
      </c>
      <c r="AS136" s="10" t="s">
        <v>66</v>
      </c>
      <c r="AT136" s="10" t="s">
        <v>53</v>
      </c>
    </row>
    <row r="137" spans="1:49" ht="14" x14ac:dyDescent="0.15">
      <c r="AF137" s="29">
        <f ca="1">SUM(AF136:AF137)</f>
        <v>700114</v>
      </c>
      <c r="AV137" s="23" t="s">
        <v>4064</v>
      </c>
    </row>
    <row r="138" spans="1:49" s="24" customFormat="1" ht="14" x14ac:dyDescent="0.15">
      <c r="B138" s="25" t="s">
        <v>4062</v>
      </c>
      <c r="AF138" s="32">
        <f ca="1">SUM(AF4,AF6,AF15,AF20,AF24,AF53,AF57,AF66,AF71,AF93,AF101,AF103,AF108,AF112,AF115,AF118,AF122,AF132,AF135,AF137)</f>
        <v>4773238</v>
      </c>
    </row>
    <row r="139" spans="1:49" x14ac:dyDescent="0.15">
      <c r="AF139" s="16">
        <f ca="1">SUM(AF132,AF135,AF137)</f>
        <v>0</v>
      </c>
    </row>
  </sheetData>
  <sortState xmlns:xlrd2="http://schemas.microsoft.com/office/spreadsheetml/2017/richdata2" ref="A2:AT137">
    <sortCondition ref="F1:F137"/>
  </sortState>
  <hyperlinks>
    <hyperlink ref="L123" r:id="rId1" xr:uid="{10E59A21-AE16-0D44-8439-180EF0651F9A}"/>
    <hyperlink ref="N123" r:id="rId2" xr:uid="{B097C0CB-C87B-C946-95A8-24792DB080B1}"/>
    <hyperlink ref="L124" r:id="rId3" xr:uid="{C55A7DC2-C20B-A64D-9831-403DE5D5B62B}"/>
    <hyperlink ref="N124" r:id="rId4" xr:uid="{840D8C63-BB17-674E-BFF6-5F3008307684}"/>
    <hyperlink ref="L125" r:id="rId5" xr:uid="{73884452-7AF3-E644-8355-3A4DDA394C3E}"/>
    <hyperlink ref="N125" r:id="rId6" xr:uid="{5A2DB82B-6AA5-0C4E-B4DA-4C98B5C2AA6C}"/>
    <hyperlink ref="L126" r:id="rId7" xr:uid="{594257E7-A1CE-BA44-A0E1-046DCB6D2CDA}"/>
    <hyperlink ref="N126" r:id="rId8" xr:uid="{D8347AD5-CC37-0E4A-8110-838898F77BBF}"/>
    <hyperlink ref="L127" r:id="rId9" xr:uid="{AC88349E-1B77-2542-832E-C034CE87B833}"/>
    <hyperlink ref="N127" r:id="rId10" xr:uid="{A939E08C-19B7-914C-922D-9E869D6D371D}"/>
    <hyperlink ref="L128" r:id="rId11" xr:uid="{D21B8079-96BD-3142-A65A-2752A6ACE03B}"/>
    <hyperlink ref="N128" r:id="rId12" xr:uid="{31B0DBA4-9D8C-154F-8B46-54E6938EC9F5}"/>
    <hyperlink ref="L129" r:id="rId13" xr:uid="{B701440F-3BB7-C345-95FC-BAFAFAF67C85}"/>
    <hyperlink ref="N129" r:id="rId14" xr:uid="{A9AFE2DD-545C-8E40-9151-970DCC2DCA32}"/>
    <hyperlink ref="L130" r:id="rId15" xr:uid="{C8892191-FBB0-934C-8E6B-794928D5F942}"/>
    <hyperlink ref="N130" r:id="rId16" xr:uid="{5B28EB40-B8D6-4545-892F-707895BAB8DB}"/>
    <hyperlink ref="L131" r:id="rId17" xr:uid="{94B18DD8-E733-9141-9935-6176D41CB78D}"/>
    <hyperlink ref="N131" r:id="rId18" xr:uid="{2601CAE7-8113-E044-AEEF-9BF9499F952B}"/>
    <hyperlink ref="L54" r:id="rId19" xr:uid="{53059C34-1227-3745-B19E-7CE84F0B5549}"/>
    <hyperlink ref="N54" r:id="rId20" xr:uid="{479B497B-297F-B04B-885E-06CF3AD75893}"/>
    <hyperlink ref="L55" r:id="rId21" xr:uid="{179CE645-8BA6-FD43-A33B-7EAE5E2C8162}"/>
    <hyperlink ref="N55" r:id="rId22" xr:uid="{AB371143-1839-7446-9F84-1F8FF84D4E35}"/>
    <hyperlink ref="L56" r:id="rId23" xr:uid="{573D60ED-689F-854A-A5FD-EE8100D49C64}"/>
    <hyperlink ref="N56" r:id="rId24" xr:uid="{05748985-4C30-A641-8D8E-AD59D2C70352}"/>
    <hyperlink ref="L72" r:id="rId25" xr:uid="{ADC07537-D0E0-F346-A761-684B9B16D60D}"/>
    <hyperlink ref="L73" r:id="rId26" xr:uid="{8F9A0879-40D5-804B-BC72-129CDBC6088C}"/>
    <hyperlink ref="L74" r:id="rId27" xr:uid="{D38F4BA0-7A76-6D40-8BCD-26EDCDABE8A2}"/>
    <hyperlink ref="L75" r:id="rId28" xr:uid="{F5614ED8-3690-3D4A-87D6-000AA124C07B}"/>
    <hyperlink ref="L76" r:id="rId29" xr:uid="{09A3064D-AA6C-B649-8237-3567808B629C}"/>
    <hyperlink ref="L77" r:id="rId30" xr:uid="{6448D40D-FD74-7044-B223-B07CE7F19179}"/>
    <hyperlink ref="L78" r:id="rId31" xr:uid="{0E4258CD-BBC5-294A-A993-27170A4A24BC}"/>
    <hyperlink ref="L79" r:id="rId32" xr:uid="{C531D807-1EB0-E542-9ED0-28E11AD6402B}"/>
    <hyperlink ref="L80" r:id="rId33" xr:uid="{A8E19E11-AE67-744D-88D8-2D91025D5810}"/>
    <hyperlink ref="L81" r:id="rId34" xr:uid="{899AC3CE-1388-3147-ACBD-0FB573D1B603}"/>
    <hyperlink ref="L82" r:id="rId35" xr:uid="{78C1D739-F9B2-1F4D-85D0-1F468BC8BA72}"/>
    <hyperlink ref="L83" r:id="rId36" xr:uid="{C0EA8C52-DD0E-CD4E-A95B-D3E941B78082}"/>
    <hyperlink ref="L84" r:id="rId37" xr:uid="{EED970A0-482B-C048-BE5E-B55FE61F545C}"/>
    <hyperlink ref="L85" r:id="rId38" xr:uid="{4969DA3E-19EE-474B-91F8-49EE41A50CDB}"/>
    <hyperlink ref="L86" r:id="rId39" xr:uid="{C6BECD15-D773-204F-BA97-E08D562C579F}"/>
    <hyperlink ref="L87" r:id="rId40" xr:uid="{A97DE222-0C0D-1D45-901C-8763411D2A45}"/>
    <hyperlink ref="L88" r:id="rId41" xr:uid="{4781A3FB-5020-014A-8CC9-EFD50D29CA4A}"/>
    <hyperlink ref="L89" r:id="rId42" xr:uid="{7AC6F3D3-57ED-B047-85EA-122CB732B782}"/>
    <hyperlink ref="L90" r:id="rId43" xr:uid="{0B148F44-CAEB-7349-B3C0-58FE65A9971C}"/>
    <hyperlink ref="L91" r:id="rId44" xr:uid="{1FB68943-A353-1A49-9565-DF59A7F3D92C}"/>
    <hyperlink ref="L92" r:id="rId45" xr:uid="{648FBEC4-5C25-EE4C-96A3-505757515F42}"/>
    <hyperlink ref="L5" r:id="rId46" xr:uid="{F42227D1-4426-134B-82D0-D2E28C17E984}"/>
    <hyperlink ref="L67" r:id="rId47" display="saskia.klaassen@bl.ch" xr:uid="{203EBEF2-682E-9044-9F42-0E9A935E9DDF}"/>
    <hyperlink ref="L68" r:id="rId48" display="saskia.klaassen@bl.ch" xr:uid="{27F4E9CA-364D-E94A-9F39-0EA7891EC5AE}"/>
    <hyperlink ref="L94" r:id="rId49" xr:uid="{C3FA0D84-24A7-894B-B285-EF6FF926393D}"/>
    <hyperlink ref="N94" r:id="rId50" xr:uid="{E5B6B8C7-3CE6-B841-9BAD-F2B3E23EDE70}"/>
    <hyperlink ref="L95" r:id="rId51" xr:uid="{5351DD8E-7AB6-8C43-BE89-BF17CEEFA96B}"/>
    <hyperlink ref="N95" r:id="rId52" xr:uid="{A3A3E0B1-7A29-214F-BE2D-7A9D71DFFFF4}"/>
    <hyperlink ref="L96" r:id="rId53" xr:uid="{38CC3A58-C53B-7A44-9019-E1D2A0BBEEE1}"/>
    <hyperlink ref="N96" r:id="rId54" xr:uid="{0C73BC16-5A73-1449-9839-23379010B389}"/>
    <hyperlink ref="L97" r:id="rId55" xr:uid="{B1AC4407-AD4D-2F44-A326-CCA19AE3A389}"/>
    <hyperlink ref="N97" r:id="rId56" xr:uid="{83AD2765-B467-DB48-80F6-A242DC16D254}"/>
    <hyperlink ref="AK97" r:id="rId57" display="https://viaf.org/viaf/310654525;Louis" xr:uid="{3A0CA719-3975-B84C-9180-680E5FF889A2}"/>
    <hyperlink ref="L98" r:id="rId58" xr:uid="{BC1B8A0F-78D5-3641-8922-AD5A6A82470C}"/>
    <hyperlink ref="N98" r:id="rId59" xr:uid="{EE8CF0C1-6A57-BF48-8EDB-81131A423883}"/>
    <hyperlink ref="AK98" r:id="rId60" display="https://viaf.org/viaf/42606656;Ayer" xr:uid="{21C0B5EF-41F7-C543-84D1-BBEF007893EC}"/>
    <hyperlink ref="L99" r:id="rId61" xr:uid="{8EA8738C-DCDA-AD4A-8B82-CABD6F22C6DC}"/>
    <hyperlink ref="N99" r:id="rId62" xr:uid="{EBF3C9FD-19EC-024D-BFE8-5084250F9107}"/>
    <hyperlink ref="L100" r:id="rId63" xr:uid="{27097100-ACF0-D643-BA8B-857589832355}"/>
    <hyperlink ref="N100" r:id="rId64" xr:uid="{A92A5CC3-A776-7748-95B3-BD76549BA647}"/>
    <hyperlink ref="L51" r:id="rId65" xr:uid="{D32AD9D8-615F-9D43-845D-6D924CEBE897}"/>
    <hyperlink ref="N51" r:id="rId66" xr:uid="{0ACDE20A-2526-6644-88E2-C66763CB316C}"/>
    <hyperlink ref="L133" r:id="rId67" xr:uid="{B6823B48-E069-D34B-912F-5724FCC92136}"/>
    <hyperlink ref="N133" r:id="rId68" xr:uid="{ACE853A4-4F38-BA48-A25E-D515013D23DB}"/>
    <hyperlink ref="L104" r:id="rId69" xr:uid="{28AAC736-4495-7048-8047-A32736706575}"/>
    <hyperlink ref="L105" r:id="rId70" xr:uid="{FA57AF14-4FB2-CF4E-BB88-8451E7A4289E}"/>
    <hyperlink ref="N105" r:id="rId71" xr:uid="{1C85A6D5-A035-1C45-B7F6-D0A7479EEB35}"/>
    <hyperlink ref="L106" r:id="rId72" xr:uid="{95A7F74D-AC5C-A24E-8CEE-81C5DEA3EC07}"/>
    <hyperlink ref="N106" r:id="rId73" xr:uid="{C1BC28F1-7DB8-5A4F-89AB-C6A26C2BAF52}"/>
    <hyperlink ref="L116" r:id="rId74" xr:uid="{8C2006E3-D219-6A42-94C8-420BCB6E205C}"/>
    <hyperlink ref="AE116" r:id="rId75" display="madeleine.geiger@naturmuseumsg.ch" xr:uid="{48BAFD2C-579A-2143-85F7-0E6090B5960D}"/>
    <hyperlink ref="L117" r:id="rId76" xr:uid="{59A8B2C4-4D7D-A94D-B58E-EDE109C84816}"/>
    <hyperlink ref="AE117" r:id="rId77" display="madeleine.geiger@naturmuseumsg.ch" xr:uid="{A237F93B-10A3-EB4E-A111-E1391B46CEE1}"/>
    <hyperlink ref="L113" r:id="rId78" xr:uid="{2F22AABF-246D-5143-A4E1-61E62CF541F5}"/>
    <hyperlink ref="N113" r:id="rId79" xr:uid="{D150A633-DCF5-E844-952D-D65C4D68A8F6}"/>
    <hyperlink ref="L114" r:id="rId80" xr:uid="{DC64863A-7C6F-1D4E-84AC-6B38A460255D}"/>
    <hyperlink ref="N114" r:id="rId81" xr:uid="{73A7EB44-03D6-1740-84EB-29A3B09E15EC}"/>
    <hyperlink ref="L102" r:id="rId82" xr:uid="{E45D0492-FDCC-C14D-A3FA-C5E5E2682233}"/>
    <hyperlink ref="N102" r:id="rId83" xr:uid="{E8DB1A3E-61A1-9B4C-9C19-17D6657B2E5D}"/>
    <hyperlink ref="L58" r:id="rId84" xr:uid="{04D9293A-5A58-E245-840C-EE2143AE6359}"/>
    <hyperlink ref="N58" r:id="rId85" xr:uid="{D62963AA-EDD2-474D-8D39-1DAB919DD29A}"/>
    <hyperlink ref="L59" r:id="rId86" xr:uid="{900ADAB1-D3A6-CC49-83D6-5B2C4326946D}"/>
    <hyperlink ref="N59" r:id="rId87" xr:uid="{56B0DEB7-E0A4-CF49-A5E1-283E0EEAA266}"/>
    <hyperlink ref="L60" r:id="rId88" xr:uid="{844130A7-A5AB-FC43-9F02-86567D63A32A}"/>
    <hyperlink ref="N60" r:id="rId89" xr:uid="{2BE7D394-9226-CD48-A0B9-D85CC0E56BE2}"/>
    <hyperlink ref="L61" r:id="rId90" xr:uid="{18E910EE-3490-8743-8770-EF31644F0D45}"/>
    <hyperlink ref="N61" r:id="rId91" xr:uid="{86462BDB-FB40-594F-ABDC-0CEB6B2EB6D1}"/>
    <hyperlink ref="L62" r:id="rId92" xr:uid="{C08C61CE-068E-1340-A286-CA0E13FE4B56}"/>
    <hyperlink ref="N62" r:id="rId93" xr:uid="{BFFF3853-6FC0-C548-932F-385800954F7C}"/>
    <hyperlink ref="L63" r:id="rId94" xr:uid="{21E51545-511A-FA47-9DE9-BB593049B673}"/>
    <hyperlink ref="N63" r:id="rId95" xr:uid="{4333A16E-E870-6747-8177-681ECB8A9DCF}"/>
    <hyperlink ref="L64" r:id="rId96" xr:uid="{5036837B-B4E2-B043-ABC7-7B7540BEB9DB}"/>
    <hyperlink ref="N64" r:id="rId97" xr:uid="{452EEC4C-9AD9-5F44-9F96-A1B90836B294}"/>
    <hyperlink ref="L65" r:id="rId98" xr:uid="{B15120A7-6187-0645-917F-555B845E3311}"/>
    <hyperlink ref="N65" r:id="rId99" xr:uid="{29C1CC8D-FFFD-3546-A596-D42A7A6D8B38}"/>
    <hyperlink ref="L2" r:id="rId100" xr:uid="{AD11E796-E210-484B-85CD-46B7DEE08E3A}"/>
    <hyperlink ref="L3" r:id="rId101" xr:uid="{86420272-7F42-704D-926D-AE582CDB365C}"/>
    <hyperlink ref="L25" r:id="rId102" xr:uid="{1C4CA2FB-088C-E54F-A0F7-87FBE0E429D7}"/>
    <hyperlink ref="L26" r:id="rId103" xr:uid="{0D70CB9A-7EC9-8F4C-8D93-3615BC54159F}"/>
    <hyperlink ref="L27" r:id="rId104" xr:uid="{7C61FEBC-9194-AB4F-8E88-DE19D7216C10}"/>
    <hyperlink ref="L28" r:id="rId105" xr:uid="{E9D1EEFF-D95F-CD46-9A18-ADE52BE991B5}"/>
    <hyperlink ref="L29" r:id="rId106" xr:uid="{F805AF3A-6DC1-2542-B999-169662A3A7E2}"/>
    <hyperlink ref="L30" r:id="rId107" xr:uid="{F7F40D72-183C-CB48-B2D6-9C38FCB61159}"/>
    <hyperlink ref="L31" r:id="rId108" xr:uid="{E0D56D27-64C1-2B48-BAFE-4C6EC3AE1472}"/>
    <hyperlink ref="L32" r:id="rId109" xr:uid="{01BF092A-425F-EB49-86D6-2C57F98D3EEE}"/>
    <hyperlink ref="L33" r:id="rId110" xr:uid="{77D1C9B7-5269-734B-9A1A-E03CC80E9AC6}"/>
    <hyperlink ref="L34" r:id="rId111" xr:uid="{C544ED77-C2D0-AA43-9D17-547503CE2CFC}"/>
    <hyperlink ref="L35" r:id="rId112" xr:uid="{88C95F2B-AE14-4944-879B-D147E46A9A79}"/>
    <hyperlink ref="L36" r:id="rId113" xr:uid="{A674FF01-DED0-454A-B82B-6AFD80D41A40}"/>
    <hyperlink ref="L37" r:id="rId114" xr:uid="{E6DBDF9C-48FA-F043-BDA4-3CB6CFE833F7}"/>
    <hyperlink ref="L38" r:id="rId115" xr:uid="{25B9CCF2-92FA-4C43-95A5-9ABCBEA3537F}"/>
    <hyperlink ref="AK38" r:id="rId116" display="https://viaf.org/viaf/42606656;M" xr:uid="{EF359BFD-5C20-8F40-8DA8-3FF9D621CEFA}"/>
    <hyperlink ref="L39" r:id="rId117" xr:uid="{EFDEE58C-7BAA-544D-BE0D-51F3C5B38AFF}"/>
    <hyperlink ref="L40" r:id="rId118" xr:uid="{DB5EA8AE-ACBF-2740-99FB-DEC5B2CB789B}"/>
    <hyperlink ref="L41" r:id="rId119" xr:uid="{E77F5FFB-78E5-C64D-B4F7-270202CA3306}"/>
    <hyperlink ref="L42" r:id="rId120" xr:uid="{634C4D20-792B-F149-A6CE-3DE593AF7B6B}"/>
    <hyperlink ref="L43" r:id="rId121" xr:uid="{5C59C619-2FE4-254B-8753-3762B317DCD8}"/>
    <hyperlink ref="L44" r:id="rId122" xr:uid="{AC19DAB1-A62F-BE48-9CE7-794D3EA6DDC1}"/>
    <hyperlink ref="L45" r:id="rId123" xr:uid="{96B79D13-00F5-7B4B-A9FB-B6BBD1F1E169}"/>
    <hyperlink ref="AK45" r:id="rId124" display="https://viaf.org/viaf/42606656" xr:uid="{68041A4F-C124-F040-BFC5-25A5AE404539}"/>
    <hyperlink ref="L46" r:id="rId125" xr:uid="{F7B504B4-C0A4-8141-80DE-7F3E362A745B}"/>
    <hyperlink ref="L47" r:id="rId126" xr:uid="{9F2D4E06-937A-F446-B55E-A81B8408B65A}"/>
    <hyperlink ref="L48" r:id="rId127" xr:uid="{B9D3CACD-114A-A946-B6CD-83EF2C5460EB}"/>
    <hyperlink ref="L49" r:id="rId128" xr:uid="{B4BD13B6-3520-6D4C-A8A8-D8EFA7D4B70A}"/>
    <hyperlink ref="L50" r:id="rId129" xr:uid="{95D310DD-0F59-0044-85DF-DE8C57E5DD0E}"/>
    <hyperlink ref="L134" r:id="rId130" xr:uid="{C3C10F39-A56E-F145-9F78-8D16FD4538E0}"/>
    <hyperlink ref="N134" r:id="rId131" location="kulturama" xr:uid="{1DA4C9C0-EE77-6747-BE35-D76EDAB57EB1}"/>
    <hyperlink ref="L107" r:id="rId132" xr:uid="{21AFA166-BDEF-EF48-A380-76F712E42276}"/>
    <hyperlink ref="L16" r:id="rId133" xr:uid="{5AE67AFD-CD54-6845-847B-93590068500F}"/>
    <hyperlink ref="AE16" r:id="rId134" display="katja.rembold@boga.unibe.ch" xr:uid="{4C3CE4AA-25FB-D64E-BC6F-86FEB1113D23}"/>
    <hyperlink ref="L18" r:id="rId135" xr:uid="{589F017F-19C4-A643-A780-2F5D8C8450D9}"/>
    <hyperlink ref="AE18" r:id="rId136" display="ursula.menkveld@nmbe.ch" xr:uid="{CF966954-B4B2-6041-AE8C-9BEF66C8A5AE}"/>
    <hyperlink ref="L19" r:id="rId137" xr:uid="{A6C7B052-D334-8142-B4C3-A5EF3C0E8CB5}"/>
    <hyperlink ref="AE19" r:id="rId138" display="beda.hofmann@nmbe.ch" xr:uid="{912C5A3B-7A24-614B-96ED-1E2410CC91FA}"/>
    <hyperlink ref="L119" r:id="rId139" xr:uid="{7E2B81EF-F1EC-AE4E-99D0-2075FEC7A2F0}"/>
    <hyperlink ref="AE119" r:id="rId140" display="sandra.scherrer@win.ch" xr:uid="{671E41CE-F6AB-5547-8462-6D10C7894352}"/>
    <hyperlink ref="AK119" r:id="rId141" display="https://viaf.org/viaf/317147511;Emil" xr:uid="{3DA2BBD2-9B95-3A45-8DFE-43E96325888D}"/>
    <hyperlink ref="L120" r:id="rId142" xr:uid="{1A6AF516-34B7-AA4A-9FE9-9C25CDC34A5F}"/>
    <hyperlink ref="AE120" r:id="rId143" display="sandra.scherrer@win.ch" xr:uid="{745E2D93-C9CC-224B-96C7-45C4A4396C3E}"/>
    <hyperlink ref="L21" r:id="rId144" xr:uid="{7818EDA6-D288-2345-96CF-979DF2403FA4}"/>
    <hyperlink ref="AE21" r:id="rId145" display="barbara.richner@tg.ch" xr:uid="{22E15B9B-EFA7-3943-9FFC-F9D2B13687F9}"/>
    <hyperlink ref="L22" r:id="rId146" xr:uid="{80882F19-227D-D443-BD02-48DE929980FD}"/>
    <hyperlink ref="AE22" r:id="rId147" display="barbara.richner@tg.ch" xr:uid="{687AFBBA-EE8C-7841-A322-220747DAA270}"/>
    <hyperlink ref="L23" r:id="rId148" xr:uid="{56687E42-4D39-9645-B578-BBA62AC35BE2}"/>
    <hyperlink ref="AE23" r:id="rId149" display="barbara.richner@tg.ch" xr:uid="{B8ECE998-FE31-2B41-AE6B-2F6D551C6EAD}"/>
    <hyperlink ref="L109" r:id="rId150" xr:uid="{8B8EDFA6-5E19-2D45-87CF-6F5CD0E067BB}"/>
    <hyperlink ref="AE109" r:id="rId151" display="helene.gabioud-duinat@admin.vs.ch" xr:uid="{4BD257B8-DFE3-4345-9528-9BCED053B0A1}"/>
    <hyperlink ref="L110" r:id="rId152" xr:uid="{5D3FB2FF-0E66-2D4D-A855-DF120F89B6C0}"/>
    <hyperlink ref="AE110" r:id="rId153" display="helene.gabioud-duinat@admin.vs.ch" xr:uid="{0014FB0C-F85A-FE46-B267-EF958F86CE93}"/>
    <hyperlink ref="L111" r:id="rId154" xr:uid="{EB22CADC-4E7D-B641-870A-0BE6CCBD1D5A}"/>
    <hyperlink ref="AE111" r:id="rId155" display="helene.gabioud-duinat@admin.vs.ch" xr:uid="{9BF3D017-1A28-0246-89CB-5D8CE1FECCCA}"/>
    <hyperlink ref="L7" r:id="rId156" xr:uid="{54239634-5D37-394A-AC21-DD048325E685}"/>
    <hyperlink ref="N7" r:id="rId157" xr:uid="{511B5F47-0FAE-2847-86A9-5D57783222F2}"/>
    <hyperlink ref="AE7" r:id="rId158" display="florian.dammeyer@bs.ch" xr:uid="{201D4EA9-AABA-BE41-A07F-B320D5E8A819}"/>
    <hyperlink ref="AK7" r:id="rId159" display="https://viaf.org/viaf/204798629;Pierre" xr:uid="{7F295045-3AFD-1640-AAEE-F1CB9E1F9BFC}"/>
    <hyperlink ref="L8" r:id="rId160" xr:uid="{28D8B0B6-43F3-9F46-A100-6324F538E9EF}"/>
    <hyperlink ref="N8" r:id="rId161" xr:uid="{3893A269-70D6-EE44-9C4D-8D4D336792DB}"/>
    <hyperlink ref="AE8" r:id="rId162" display="janine.mazenauer@bs.ch" xr:uid="{FF3A4D93-6045-4344-B1CE-EFE13AEA6F44}"/>
    <hyperlink ref="AK8" r:id="rId163" display="https://www.wikidata.org/wiki/Q2077023;Johann" xr:uid="{E65A5793-03A8-8F41-BBE4-746D03983DE4}"/>
    <hyperlink ref="L9" r:id="rId164" xr:uid="{21B68263-BCE8-DD4F-BD0B-2321816FBE96}"/>
    <hyperlink ref="N9" r:id="rId165" xr:uid="{A9708CF0-762B-4F41-9883-9E5722F40188}"/>
    <hyperlink ref="AE9" r:id="rId166" display="michael.knappertsbusch@bs.ch" xr:uid="{9298116A-F2FE-B141-BFA3-906C201F4AA2}"/>
    <hyperlink ref="L10" r:id="rId167" xr:uid="{A62F21F8-5AF0-8348-8056-145DA0E89162}"/>
    <hyperlink ref="N10" r:id="rId168" xr:uid="{58A2BA44-DD12-4343-A4CE-56C75754E159}"/>
    <hyperlink ref="AE10" r:id="rId169" display="walter.etter@bs.ch" xr:uid="{E76D1F0D-43E5-7740-BAD4-4F99DB8E2570}"/>
    <hyperlink ref="AK10" r:id="rId170" display="https://viaf.org/viaf/69702353;John" xr:uid="{810E7DC9-DFDF-2D48-914C-7EDEDC5DC6B4}"/>
    <hyperlink ref="L11" r:id="rId171" xr:uid="{0E7C6A7B-1AF0-C84E-861B-182E2CF4E99C}"/>
    <hyperlink ref="N11" r:id="rId172" xr:uid="{B108F1CC-04BA-9840-ACA6-F1B005360339}"/>
    <hyperlink ref="AE11" r:id="rId173" display="walter.etter@bs.ch" xr:uid="{104C05C5-65FB-974A-8CD8-5C3D0F624589}"/>
    <hyperlink ref="AK11" r:id="rId174" display="https://www.wikidata.org/wiki/Q2077023;Mathieu" xr:uid="{6F0C1D0F-429B-C341-8071-43E89D5DAC3B}"/>
    <hyperlink ref="L12" r:id="rId175" xr:uid="{A62FE168-34B0-734F-BA1C-4D119B0AA58A}"/>
    <hyperlink ref="N12" r:id="rId176" xr:uid="{3F98C9FD-62C7-7047-8789-96F114EE4223}"/>
    <hyperlink ref="AE12" r:id="rId177" display="walter.etter@bs.ch" xr:uid="{B609D9B2-85FA-6540-AD49-8E8A5C3E8DD4}"/>
    <hyperlink ref="AK12" r:id="rId178" display="https://www.wikidata.org/wiki/Q2077023;Johann" xr:uid="{DC45371E-50D6-0B41-BAA0-B61019BB8D68}"/>
    <hyperlink ref="L13" r:id="rId179" xr:uid="{6B4D6963-79C8-9343-AC78-32F9F76E37F4}"/>
    <hyperlink ref="N13" r:id="rId180" xr:uid="{506D3C32-BA74-5D4C-A636-CC94F0B7F106}"/>
    <hyperlink ref="AE13" r:id="rId181" display="janine.mazenauer@bs.ch" xr:uid="{A756E80A-0916-864E-A090-625AFF6F0DA4}"/>
    <hyperlink ref="L14" r:id="rId182" xr:uid="{FE949044-EFA6-2E40-866F-46E931C65CD8}"/>
    <hyperlink ref="AE14" r:id="rId183" display="andre.puschnig@bs.ch" xr:uid="{F7BF30E7-398C-0C4C-8158-D1CD584C12FC}"/>
    <hyperlink ref="AK14" r:id="rId184" display="https://www.wikidata.org/wiki/Q2077023;Friedrich" xr:uid="{25C952FB-7DA1-4842-8463-51425BBB4C67}"/>
    <hyperlink ref="L121" r:id="rId185" xr:uid="{E4E1084A-3F26-1947-A395-AF13A06C4984}"/>
    <hyperlink ref="N121" r:id="rId186" xr:uid="{C971EF7C-0F8D-8B41-A25C-D18254E41B6D}"/>
    <hyperlink ref="AE121" r:id="rId187" display="sandra.scherrer@win.ch" xr:uid="{76A765BD-E6C3-5048-B2AE-C3ACEEF76259}"/>
    <hyperlink ref="L136" r:id="rId188" xr:uid="{93AB893F-7EEC-D74C-8B40-B457C0F95EE4}"/>
    <hyperlink ref="N136" r:id="rId189" xr:uid="{FA721528-E8DA-A04E-AA71-D1A13BE522CB}"/>
    <hyperlink ref="AE136" r:id="rId190" display="andreas.mueller@library.ethz.ch" xr:uid="{9067FA9A-B922-B043-91BA-50207F23A22D}"/>
    <hyperlink ref="AD52" r:id="rId191" xr:uid="{15824F68-EE84-5447-914C-DF90053123EA}"/>
    <hyperlink ref="L108" r:id="rId192" xr:uid="{78804579-6B8A-A94F-ABA2-56E6B76FF2EA}"/>
    <hyperlink ref="N108" r:id="rId193" xr:uid="{EEF9D0B3-C6A0-5F47-8654-AC14EBBE7CE0}"/>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77AB-4E46-D844-91FB-6B049D4A7366}">
  <dimension ref="A2:AT62"/>
  <sheetViews>
    <sheetView zoomScale="120" zoomScaleNormal="120" workbookViewId="0">
      <selection activeCell="A62" sqref="A62"/>
    </sheetView>
  </sheetViews>
  <sheetFormatPr baseColWidth="10" defaultRowHeight="13" x14ac:dyDescent="0.15"/>
  <cols>
    <col min="1" max="1" width="34.6640625" customWidth="1"/>
    <col min="2" max="2" width="27" customWidth="1"/>
    <col min="3" max="3" width="47" customWidth="1"/>
    <col min="4" max="4" width="166.6640625" customWidth="1"/>
    <col min="5" max="5" width="7.5" customWidth="1"/>
    <col min="6" max="6" width="16.33203125" customWidth="1"/>
    <col min="7" max="7" width="8.33203125" customWidth="1"/>
    <col min="8" max="8" width="56.6640625" customWidth="1"/>
    <col min="9" max="9" width="6.1640625" customWidth="1"/>
    <col min="10" max="10" width="17" customWidth="1"/>
    <col min="11" max="11" width="4" customWidth="1"/>
    <col min="12" max="12" width="44.1640625" customWidth="1"/>
    <col min="13" max="13" width="6.5" customWidth="1"/>
    <col min="14" max="14" width="141.1640625" customWidth="1"/>
    <col min="15" max="15" width="10.33203125" customWidth="1"/>
    <col min="16" max="16" width="6.83203125" customWidth="1"/>
    <col min="17" max="17" width="88.6640625" customWidth="1"/>
    <col min="18" max="18" width="15.33203125" customWidth="1"/>
    <col min="19" max="19" width="50.5" customWidth="1"/>
    <col min="20" max="20" width="14.1640625" customWidth="1"/>
    <col min="21" max="21" width="33.6640625" customWidth="1"/>
    <col min="22" max="22" width="14.5" customWidth="1"/>
    <col min="23" max="23" width="91.5" customWidth="1"/>
    <col min="24" max="24" width="10.1640625" customWidth="1"/>
    <col min="25" max="25" width="11.1640625" customWidth="1"/>
    <col min="26" max="27" width="21.83203125" customWidth="1"/>
    <col min="28" max="28" width="7.33203125" customWidth="1"/>
    <col min="29" max="29" width="5" customWidth="1"/>
    <col min="30" max="30" width="9.33203125" customWidth="1"/>
    <col min="31" max="31" width="166.6640625" customWidth="1"/>
    <col min="32" max="32" width="17" customWidth="1"/>
    <col min="33" max="33" width="12.5" customWidth="1"/>
    <col min="34" max="34" width="166.6640625" customWidth="1"/>
    <col min="35" max="35" width="18.6640625" customWidth="1"/>
    <col min="36" max="37" width="166.6640625" customWidth="1"/>
    <col min="38" max="38" width="15.5" customWidth="1"/>
    <col min="39" max="39" width="9.83203125" customWidth="1"/>
    <col min="40" max="40" width="19.1640625" customWidth="1"/>
    <col min="41" max="41" width="11.1640625" customWidth="1"/>
    <col min="42" max="42" width="70.33203125" customWidth="1"/>
    <col min="43" max="43" width="19.1640625" customWidth="1"/>
    <col min="44" max="44" width="59.6640625" customWidth="1"/>
    <col min="45" max="45" width="16.33203125" customWidth="1"/>
    <col min="46" max="46" width="17.83203125" customWidth="1"/>
  </cols>
  <sheetData>
    <row r="2" spans="1:46" x14ac:dyDescent="0.15">
      <c r="A2" s="8" t="s">
        <v>557</v>
      </c>
      <c r="B2" s="9" t="s">
        <v>558</v>
      </c>
      <c r="C2" s="10" t="s">
        <v>559</v>
      </c>
      <c r="D2" s="10" t="s">
        <v>560</v>
      </c>
      <c r="E2" s="10" t="s">
        <v>51</v>
      </c>
      <c r="F2" s="15" t="s">
        <v>475</v>
      </c>
      <c r="G2" s="11"/>
      <c r="H2" s="10" t="s">
        <v>561</v>
      </c>
      <c r="I2" s="10" t="s">
        <v>53</v>
      </c>
      <c r="J2" s="10" t="s">
        <v>54</v>
      </c>
      <c r="K2" s="11"/>
      <c r="L2" s="10" t="s">
        <v>477</v>
      </c>
      <c r="M2" s="11"/>
      <c r="N2" s="10" t="s">
        <v>461</v>
      </c>
      <c r="O2" s="11"/>
      <c r="P2" s="11"/>
      <c r="Q2" s="10" t="s">
        <v>75</v>
      </c>
      <c r="R2" s="11"/>
      <c r="S2" s="10" t="s">
        <v>478</v>
      </c>
      <c r="T2" s="10" t="s">
        <v>479</v>
      </c>
      <c r="U2" s="10" t="s">
        <v>480</v>
      </c>
      <c r="V2" s="11"/>
      <c r="W2" s="10" t="s">
        <v>481</v>
      </c>
      <c r="X2" s="10" t="s">
        <v>80</v>
      </c>
      <c r="Y2" s="10" t="s">
        <v>80</v>
      </c>
      <c r="Z2" s="10" t="s">
        <v>562</v>
      </c>
      <c r="AA2" s="10" t="s">
        <v>562</v>
      </c>
      <c r="AB2" s="11"/>
      <c r="AC2" s="11"/>
      <c r="AD2" s="11"/>
      <c r="AE2" s="11"/>
      <c r="AF2" s="12">
        <v>727</v>
      </c>
      <c r="AG2" s="11"/>
      <c r="AH2" s="10" t="s">
        <v>538</v>
      </c>
      <c r="AI2" s="11"/>
      <c r="AJ2" s="10" t="s">
        <v>554</v>
      </c>
      <c r="AK2" s="10" t="s">
        <v>555</v>
      </c>
      <c r="AL2" s="11"/>
      <c r="AM2" s="11"/>
      <c r="AN2" s="11"/>
      <c r="AO2" s="11"/>
      <c r="AP2" s="11"/>
      <c r="AQ2" s="11"/>
      <c r="AR2" s="10" t="s">
        <v>563</v>
      </c>
      <c r="AS2" s="10" t="s">
        <v>66</v>
      </c>
      <c r="AT2" s="10" t="s">
        <v>53</v>
      </c>
    </row>
    <row r="3" spans="1:46" x14ac:dyDescent="0.15">
      <c r="A3" s="8" t="s">
        <v>564</v>
      </c>
      <c r="B3" s="9" t="s">
        <v>565</v>
      </c>
      <c r="C3" s="10" t="s">
        <v>566</v>
      </c>
      <c r="D3" s="10" t="s">
        <v>567</v>
      </c>
      <c r="E3" s="10" t="s">
        <v>51</v>
      </c>
      <c r="F3" s="10" t="s">
        <v>475</v>
      </c>
      <c r="G3" s="11"/>
      <c r="H3" s="10" t="s">
        <v>568</v>
      </c>
      <c r="I3" s="10" t="s">
        <v>53</v>
      </c>
      <c r="J3" s="10" t="s">
        <v>54</v>
      </c>
      <c r="K3" s="11"/>
      <c r="L3" s="10" t="s">
        <v>477</v>
      </c>
      <c r="M3" s="11"/>
      <c r="N3" s="10" t="s">
        <v>461</v>
      </c>
      <c r="O3" s="11"/>
      <c r="P3" s="11"/>
      <c r="Q3" s="10" t="s">
        <v>75</v>
      </c>
      <c r="R3" s="11"/>
      <c r="S3" s="10" t="s">
        <v>478</v>
      </c>
      <c r="T3" s="10" t="s">
        <v>479</v>
      </c>
      <c r="U3" s="10" t="s">
        <v>480</v>
      </c>
      <c r="V3" s="11"/>
      <c r="W3" s="10" t="s">
        <v>481</v>
      </c>
      <c r="X3" s="10" t="s">
        <v>80</v>
      </c>
      <c r="Y3" s="10" t="s">
        <v>80</v>
      </c>
      <c r="Z3" s="10" t="s">
        <v>569</v>
      </c>
      <c r="AA3" s="10" t="s">
        <v>569</v>
      </c>
      <c r="AB3" s="11"/>
      <c r="AC3" s="11"/>
      <c r="AD3" s="11"/>
      <c r="AE3" s="11"/>
      <c r="AF3" s="12">
        <v>450</v>
      </c>
      <c r="AG3" s="11"/>
      <c r="AH3" s="10" t="s">
        <v>538</v>
      </c>
      <c r="AI3" s="11"/>
      <c r="AJ3" s="10" t="s">
        <v>554</v>
      </c>
      <c r="AK3" s="10" t="s">
        <v>555</v>
      </c>
      <c r="AL3" s="11"/>
      <c r="AM3" s="11"/>
      <c r="AN3" s="11"/>
      <c r="AO3" s="11"/>
      <c r="AP3" s="11"/>
      <c r="AQ3" s="11"/>
      <c r="AR3" s="10" t="s">
        <v>570</v>
      </c>
      <c r="AS3" s="10" t="s">
        <v>66</v>
      </c>
      <c r="AT3" s="10" t="s">
        <v>53</v>
      </c>
    </row>
    <row r="4" spans="1:46" x14ac:dyDescent="0.15">
      <c r="A4" s="8" t="s">
        <v>719</v>
      </c>
      <c r="B4" s="9" t="s">
        <v>720</v>
      </c>
      <c r="C4" s="10" t="s">
        <v>721</v>
      </c>
      <c r="D4" s="10" t="s">
        <v>722</v>
      </c>
      <c r="E4" s="10" t="s">
        <v>51</v>
      </c>
      <c r="F4" s="15" t="s">
        <v>668</v>
      </c>
      <c r="G4" s="11"/>
      <c r="H4" s="10" t="s">
        <v>723</v>
      </c>
      <c r="I4" s="10" t="s">
        <v>53</v>
      </c>
      <c r="J4" s="10" t="s">
        <v>54</v>
      </c>
      <c r="K4" s="11"/>
      <c r="L4" s="11"/>
      <c r="M4" s="11"/>
      <c r="N4" s="11"/>
      <c r="O4" s="11"/>
      <c r="P4" s="11"/>
      <c r="Q4" s="10" t="s">
        <v>75</v>
      </c>
      <c r="R4" s="11"/>
      <c r="S4" s="10" t="s">
        <v>670</v>
      </c>
      <c r="T4" s="10" t="s">
        <v>671</v>
      </c>
      <c r="U4" s="10" t="s">
        <v>672</v>
      </c>
      <c r="V4" s="11"/>
      <c r="W4" s="10" t="s">
        <v>673</v>
      </c>
      <c r="X4" s="10" t="s">
        <v>80</v>
      </c>
      <c r="Y4" s="10" t="s">
        <v>61</v>
      </c>
      <c r="Z4" s="10" t="s">
        <v>724</v>
      </c>
      <c r="AA4" s="10" t="s">
        <v>725</v>
      </c>
      <c r="AB4" s="11"/>
      <c r="AC4" s="11"/>
      <c r="AD4" s="10" t="s">
        <v>726</v>
      </c>
      <c r="AE4" s="11"/>
      <c r="AF4" s="12">
        <v>25926</v>
      </c>
      <c r="AG4" s="11"/>
      <c r="AH4" s="11"/>
      <c r="AI4" s="11"/>
      <c r="AJ4" s="11"/>
      <c r="AK4" s="11"/>
      <c r="AL4" s="10" t="s">
        <v>720</v>
      </c>
      <c r="AM4" s="11"/>
      <c r="AN4" s="11"/>
      <c r="AO4" s="11"/>
      <c r="AP4" s="11"/>
      <c r="AQ4" s="11"/>
      <c r="AR4" s="10" t="s">
        <v>727</v>
      </c>
      <c r="AS4" s="10" t="s">
        <v>66</v>
      </c>
      <c r="AT4" s="10" t="s">
        <v>53</v>
      </c>
    </row>
    <row r="5" spans="1:46" x14ac:dyDescent="0.15">
      <c r="A5" s="8" t="s">
        <v>1077</v>
      </c>
      <c r="B5" s="9" t="s">
        <v>1078</v>
      </c>
      <c r="C5" s="10" t="s">
        <v>1079</v>
      </c>
      <c r="D5" s="10" t="s">
        <v>1080</v>
      </c>
      <c r="E5" s="10" t="s">
        <v>51</v>
      </c>
      <c r="F5" s="10" t="s">
        <v>732</v>
      </c>
      <c r="G5" s="11"/>
      <c r="H5" s="10" t="s">
        <v>561</v>
      </c>
      <c r="I5" s="10" t="s">
        <v>53</v>
      </c>
      <c r="J5" s="10" t="s">
        <v>54</v>
      </c>
      <c r="K5" s="11"/>
      <c r="L5" s="10" t="s">
        <v>1006</v>
      </c>
      <c r="M5" s="11"/>
      <c r="N5" s="11"/>
      <c r="O5" s="11"/>
      <c r="P5" s="11"/>
      <c r="Q5" s="10" t="s">
        <v>75</v>
      </c>
      <c r="R5" s="11"/>
      <c r="S5" s="10" t="s">
        <v>734</v>
      </c>
      <c r="T5" s="10" t="s">
        <v>735</v>
      </c>
      <c r="U5" s="10" t="s">
        <v>736</v>
      </c>
      <c r="V5" s="11"/>
      <c r="W5" s="10" t="s">
        <v>737</v>
      </c>
      <c r="X5" s="10" t="s">
        <v>80</v>
      </c>
      <c r="Y5" s="10" t="s">
        <v>80</v>
      </c>
      <c r="Z5" s="10" t="s">
        <v>1081</v>
      </c>
      <c r="AA5" s="10" t="s">
        <v>1081</v>
      </c>
      <c r="AB5" s="11"/>
      <c r="AC5" s="11"/>
      <c r="AD5" s="11"/>
      <c r="AE5" s="11"/>
      <c r="AF5" s="12">
        <v>4000</v>
      </c>
      <c r="AG5" s="11"/>
      <c r="AH5" s="10" t="s">
        <v>126</v>
      </c>
      <c r="AI5" s="11"/>
      <c r="AJ5" s="10" t="s">
        <v>1082</v>
      </c>
      <c r="AK5" s="10" t="s">
        <v>1045</v>
      </c>
      <c r="AL5" s="11"/>
      <c r="AM5" s="11"/>
      <c r="AN5" s="11"/>
      <c r="AO5" s="11"/>
      <c r="AP5" s="11"/>
      <c r="AQ5" s="11"/>
      <c r="AR5" s="10" t="s">
        <v>1083</v>
      </c>
      <c r="AS5" s="10" t="s">
        <v>66</v>
      </c>
      <c r="AT5" s="10" t="s">
        <v>53</v>
      </c>
    </row>
    <row r="6" spans="1:46" x14ac:dyDescent="0.15">
      <c r="A6" s="8" t="s">
        <v>1084</v>
      </c>
      <c r="B6" s="9" t="s">
        <v>1085</v>
      </c>
      <c r="C6" s="10" t="s">
        <v>1086</v>
      </c>
      <c r="D6" s="10" t="s">
        <v>1087</v>
      </c>
      <c r="E6" s="10" t="s">
        <v>51</v>
      </c>
      <c r="F6" s="10" t="s">
        <v>732</v>
      </c>
      <c r="G6" s="11"/>
      <c r="H6" s="10" t="s">
        <v>561</v>
      </c>
      <c r="I6" s="10" t="s">
        <v>53</v>
      </c>
      <c r="J6" s="10" t="s">
        <v>54</v>
      </c>
      <c r="K6" s="11"/>
      <c r="L6" s="10" t="s">
        <v>1006</v>
      </c>
      <c r="M6" s="11"/>
      <c r="N6" s="11"/>
      <c r="O6" s="11"/>
      <c r="P6" s="11"/>
      <c r="Q6" s="10" t="s">
        <v>75</v>
      </c>
      <c r="R6" s="11"/>
      <c r="S6" s="10" t="s">
        <v>734</v>
      </c>
      <c r="T6" s="10" t="s">
        <v>735</v>
      </c>
      <c r="U6" s="10" t="s">
        <v>736</v>
      </c>
      <c r="V6" s="11"/>
      <c r="W6" s="10" t="s">
        <v>737</v>
      </c>
      <c r="X6" s="10" t="s">
        <v>80</v>
      </c>
      <c r="Y6" s="10" t="s">
        <v>80</v>
      </c>
      <c r="Z6" s="10" t="s">
        <v>1088</v>
      </c>
      <c r="AA6" s="10" t="s">
        <v>1088</v>
      </c>
      <c r="AB6" s="11"/>
      <c r="AC6" s="11"/>
      <c r="AD6" s="11"/>
      <c r="AE6" s="11"/>
      <c r="AF6" s="12">
        <v>500</v>
      </c>
      <c r="AG6" s="11"/>
      <c r="AH6" s="10" t="s">
        <v>126</v>
      </c>
      <c r="AI6" s="11"/>
      <c r="AJ6" s="10" t="s">
        <v>1089</v>
      </c>
      <c r="AK6" s="10" t="s">
        <v>1045</v>
      </c>
      <c r="AL6" s="11"/>
      <c r="AM6" s="11"/>
      <c r="AN6" s="11"/>
      <c r="AO6" s="11"/>
      <c r="AP6" s="11"/>
      <c r="AQ6" s="11"/>
      <c r="AR6" s="10" t="s">
        <v>1090</v>
      </c>
      <c r="AS6" s="10" t="s">
        <v>66</v>
      </c>
      <c r="AT6" s="10" t="s">
        <v>53</v>
      </c>
    </row>
    <row r="7" spans="1:46" x14ac:dyDescent="0.15">
      <c r="A7" s="8" t="s">
        <v>1091</v>
      </c>
      <c r="B7" s="9" t="s">
        <v>1092</v>
      </c>
      <c r="C7" s="10" t="s">
        <v>1093</v>
      </c>
      <c r="D7" s="10" t="s">
        <v>1094</v>
      </c>
      <c r="E7" s="10" t="s">
        <v>51</v>
      </c>
      <c r="F7" s="10" t="s">
        <v>732</v>
      </c>
      <c r="G7" s="11"/>
      <c r="H7" s="10" t="s">
        <v>561</v>
      </c>
      <c r="I7" s="10" t="s">
        <v>53</v>
      </c>
      <c r="J7" s="10" t="s">
        <v>54</v>
      </c>
      <c r="K7" s="11"/>
      <c r="L7" s="10" t="s">
        <v>1006</v>
      </c>
      <c r="M7" s="11"/>
      <c r="N7" s="11"/>
      <c r="O7" s="11"/>
      <c r="P7" s="11"/>
      <c r="Q7" s="10" t="s">
        <v>75</v>
      </c>
      <c r="R7" s="11"/>
      <c r="S7" s="10" t="s">
        <v>734</v>
      </c>
      <c r="T7" s="10" t="s">
        <v>735</v>
      </c>
      <c r="U7" s="10" t="s">
        <v>736</v>
      </c>
      <c r="V7" s="11"/>
      <c r="W7" s="10" t="s">
        <v>737</v>
      </c>
      <c r="X7" s="10" t="s">
        <v>80</v>
      </c>
      <c r="Y7" s="10" t="s">
        <v>80</v>
      </c>
      <c r="Z7" s="10" t="s">
        <v>1095</v>
      </c>
      <c r="AA7" s="10" t="s">
        <v>1095</v>
      </c>
      <c r="AB7" s="11"/>
      <c r="AC7" s="11"/>
      <c r="AD7" s="11"/>
      <c r="AE7" s="11"/>
      <c r="AF7" s="12">
        <v>100</v>
      </c>
      <c r="AG7" s="11"/>
      <c r="AH7" s="10" t="s">
        <v>126</v>
      </c>
      <c r="AI7" s="11"/>
      <c r="AJ7" s="10" t="s">
        <v>1089</v>
      </c>
      <c r="AK7" s="10" t="s">
        <v>1045</v>
      </c>
      <c r="AL7" s="11"/>
      <c r="AM7" s="11"/>
      <c r="AN7" s="11"/>
      <c r="AO7" s="11"/>
      <c r="AP7" s="11"/>
      <c r="AQ7" s="11"/>
      <c r="AR7" s="10" t="s">
        <v>1096</v>
      </c>
      <c r="AS7" s="10" t="s">
        <v>66</v>
      </c>
      <c r="AT7" s="10" t="s">
        <v>53</v>
      </c>
    </row>
    <row r="8" spans="1:46" x14ac:dyDescent="0.15">
      <c r="A8" s="8" t="s">
        <v>1097</v>
      </c>
      <c r="B8" s="9" t="s">
        <v>1098</v>
      </c>
      <c r="C8" s="10" t="s">
        <v>1099</v>
      </c>
      <c r="D8" s="10" t="s">
        <v>1100</v>
      </c>
      <c r="E8" s="10" t="s">
        <v>51</v>
      </c>
      <c r="F8" s="10" t="s">
        <v>732</v>
      </c>
      <c r="G8" s="11"/>
      <c r="H8" s="10" t="s">
        <v>561</v>
      </c>
      <c r="I8" s="10" t="s">
        <v>53</v>
      </c>
      <c r="J8" s="10" t="s">
        <v>54</v>
      </c>
      <c r="K8" s="11"/>
      <c r="L8" s="10" t="s">
        <v>1006</v>
      </c>
      <c r="M8" s="11"/>
      <c r="N8" s="11"/>
      <c r="O8" s="11"/>
      <c r="P8" s="11"/>
      <c r="Q8" s="10" t="s">
        <v>75</v>
      </c>
      <c r="R8" s="11"/>
      <c r="S8" s="10" t="s">
        <v>734</v>
      </c>
      <c r="T8" s="10" t="s">
        <v>735</v>
      </c>
      <c r="U8" s="10" t="s">
        <v>736</v>
      </c>
      <c r="V8" s="11"/>
      <c r="W8" s="10" t="s">
        <v>737</v>
      </c>
      <c r="X8" s="10" t="s">
        <v>80</v>
      </c>
      <c r="Y8" s="10" t="s">
        <v>80</v>
      </c>
      <c r="Z8" s="10" t="s">
        <v>1101</v>
      </c>
      <c r="AA8" s="10" t="s">
        <v>1101</v>
      </c>
      <c r="AB8" s="11"/>
      <c r="AC8" s="11"/>
      <c r="AD8" s="11"/>
      <c r="AE8" s="11"/>
      <c r="AF8" s="12">
        <v>200</v>
      </c>
      <c r="AG8" s="11"/>
      <c r="AH8" s="10" t="s">
        <v>126</v>
      </c>
      <c r="AI8" s="11"/>
      <c r="AJ8" s="10" t="s">
        <v>1102</v>
      </c>
      <c r="AK8" s="10" t="s">
        <v>1045</v>
      </c>
      <c r="AL8" s="11"/>
      <c r="AM8" s="11"/>
      <c r="AN8" s="11"/>
      <c r="AO8" s="11"/>
      <c r="AP8" s="11"/>
      <c r="AQ8" s="11"/>
      <c r="AR8" s="10" t="s">
        <v>1103</v>
      </c>
      <c r="AS8" s="10" t="s">
        <v>66</v>
      </c>
      <c r="AT8" s="10" t="s">
        <v>53</v>
      </c>
    </row>
    <row r="9" spans="1:46" x14ac:dyDescent="0.15">
      <c r="A9" s="8" t="s">
        <v>1104</v>
      </c>
      <c r="B9" s="9" t="s">
        <v>1105</v>
      </c>
      <c r="C9" s="10" t="s">
        <v>1106</v>
      </c>
      <c r="D9" s="10" t="s">
        <v>1107</v>
      </c>
      <c r="E9" s="10" t="s">
        <v>51</v>
      </c>
      <c r="F9" s="10" t="s">
        <v>732</v>
      </c>
      <c r="G9" s="11"/>
      <c r="H9" s="10" t="s">
        <v>561</v>
      </c>
      <c r="I9" s="10" t="s">
        <v>53</v>
      </c>
      <c r="J9" s="10" t="s">
        <v>54</v>
      </c>
      <c r="K9" s="11"/>
      <c r="L9" s="10" t="s">
        <v>1006</v>
      </c>
      <c r="M9" s="11"/>
      <c r="N9" s="11"/>
      <c r="O9" s="11"/>
      <c r="P9" s="11"/>
      <c r="Q9" s="10" t="s">
        <v>75</v>
      </c>
      <c r="R9" s="11"/>
      <c r="S9" s="10" t="s">
        <v>734</v>
      </c>
      <c r="T9" s="10" t="s">
        <v>735</v>
      </c>
      <c r="U9" s="10" t="s">
        <v>736</v>
      </c>
      <c r="V9" s="11"/>
      <c r="W9" s="10" t="s">
        <v>737</v>
      </c>
      <c r="X9" s="10" t="s">
        <v>80</v>
      </c>
      <c r="Y9" s="10" t="s">
        <v>80</v>
      </c>
      <c r="Z9" s="10" t="s">
        <v>1108</v>
      </c>
      <c r="AA9" s="10" t="s">
        <v>1108</v>
      </c>
      <c r="AB9" s="11"/>
      <c r="AC9" s="11"/>
      <c r="AD9" s="11"/>
      <c r="AE9" s="11"/>
      <c r="AF9" s="12">
        <v>800</v>
      </c>
      <c r="AG9" s="11"/>
      <c r="AH9" s="10" t="s">
        <v>126</v>
      </c>
      <c r="AI9" s="11"/>
      <c r="AJ9" s="10" t="s">
        <v>1109</v>
      </c>
      <c r="AK9" s="10" t="s">
        <v>1045</v>
      </c>
      <c r="AL9" s="11"/>
      <c r="AM9" s="11"/>
      <c r="AN9" s="11"/>
      <c r="AO9" s="11"/>
      <c r="AP9" s="11"/>
      <c r="AQ9" s="11"/>
      <c r="AR9" s="10" t="s">
        <v>1110</v>
      </c>
      <c r="AS9" s="10" t="s">
        <v>66</v>
      </c>
      <c r="AT9" s="10" t="s">
        <v>53</v>
      </c>
    </row>
    <row r="10" spans="1:46" x14ac:dyDescent="0.15">
      <c r="A10" s="8" t="s">
        <v>1111</v>
      </c>
      <c r="B10" s="9" t="s">
        <v>1112</v>
      </c>
      <c r="C10" s="10" t="s">
        <v>1113</v>
      </c>
      <c r="D10" s="10" t="s">
        <v>1114</v>
      </c>
      <c r="E10" s="10" t="s">
        <v>51</v>
      </c>
      <c r="F10" s="10" t="s">
        <v>732</v>
      </c>
      <c r="G10" s="11"/>
      <c r="H10" s="10" t="s">
        <v>561</v>
      </c>
      <c r="I10" s="10" t="s">
        <v>53</v>
      </c>
      <c r="J10" s="10" t="s">
        <v>54</v>
      </c>
      <c r="K10" s="11"/>
      <c r="L10" s="10" t="s">
        <v>1006</v>
      </c>
      <c r="M10" s="11"/>
      <c r="N10" s="11"/>
      <c r="O10" s="11"/>
      <c r="P10" s="11"/>
      <c r="Q10" s="10" t="s">
        <v>75</v>
      </c>
      <c r="R10" s="11"/>
      <c r="S10" s="10" t="s">
        <v>734</v>
      </c>
      <c r="T10" s="10" t="s">
        <v>735</v>
      </c>
      <c r="U10" s="10" t="s">
        <v>736</v>
      </c>
      <c r="V10" s="11"/>
      <c r="W10" s="10" t="s">
        <v>737</v>
      </c>
      <c r="X10" s="10" t="s">
        <v>80</v>
      </c>
      <c r="Y10" s="10" t="s">
        <v>80</v>
      </c>
      <c r="Z10" s="10" t="s">
        <v>1115</v>
      </c>
      <c r="AA10" s="10" t="s">
        <v>1115</v>
      </c>
      <c r="AB10" s="11"/>
      <c r="AC10" s="11"/>
      <c r="AD10" s="11"/>
      <c r="AE10" s="11"/>
      <c r="AF10" s="12">
        <v>3000</v>
      </c>
      <c r="AG10" s="11"/>
      <c r="AH10" s="10" t="s">
        <v>126</v>
      </c>
      <c r="AI10" s="11"/>
      <c r="AJ10" s="10" t="s">
        <v>1109</v>
      </c>
      <c r="AK10" s="10" t="s">
        <v>1045</v>
      </c>
      <c r="AL10" s="11"/>
      <c r="AM10" s="11"/>
      <c r="AN10" s="11"/>
      <c r="AO10" s="11"/>
      <c r="AP10" s="11"/>
      <c r="AQ10" s="11"/>
      <c r="AR10" s="10" t="s">
        <v>1116</v>
      </c>
      <c r="AS10" s="10" t="s">
        <v>66</v>
      </c>
      <c r="AT10" s="10" t="s">
        <v>53</v>
      </c>
    </row>
    <row r="11" spans="1:46" x14ac:dyDescent="0.15">
      <c r="A11" s="8" t="s">
        <v>1117</v>
      </c>
      <c r="B11" s="9" t="s">
        <v>1118</v>
      </c>
      <c r="C11" s="10" t="s">
        <v>1119</v>
      </c>
      <c r="D11" s="10" t="s">
        <v>1120</v>
      </c>
      <c r="E11" s="10" t="s">
        <v>51</v>
      </c>
      <c r="F11" s="10" t="s">
        <v>732</v>
      </c>
      <c r="G11" s="11"/>
      <c r="H11" s="10" t="s">
        <v>561</v>
      </c>
      <c r="I11" s="10" t="s">
        <v>53</v>
      </c>
      <c r="J11" s="10" t="s">
        <v>54</v>
      </c>
      <c r="K11" s="11"/>
      <c r="L11" s="10" t="s">
        <v>1006</v>
      </c>
      <c r="M11" s="11"/>
      <c r="N11" s="11"/>
      <c r="O11" s="11"/>
      <c r="P11" s="11"/>
      <c r="Q11" s="10" t="s">
        <v>75</v>
      </c>
      <c r="R11" s="11"/>
      <c r="S11" s="10" t="s">
        <v>734</v>
      </c>
      <c r="T11" s="10" t="s">
        <v>735</v>
      </c>
      <c r="U11" s="10" t="s">
        <v>736</v>
      </c>
      <c r="V11" s="11"/>
      <c r="W11" s="10" t="s">
        <v>737</v>
      </c>
      <c r="X11" s="10" t="s">
        <v>80</v>
      </c>
      <c r="Y11" s="10" t="s">
        <v>80</v>
      </c>
      <c r="Z11" s="10" t="s">
        <v>1121</v>
      </c>
      <c r="AA11" s="10" t="s">
        <v>1121</v>
      </c>
      <c r="AB11" s="11"/>
      <c r="AC11" s="11"/>
      <c r="AD11" s="11"/>
      <c r="AE11" s="11"/>
      <c r="AF11" s="12">
        <v>900</v>
      </c>
      <c r="AG11" s="11"/>
      <c r="AH11" s="10" t="s">
        <v>126</v>
      </c>
      <c r="AI11" s="11"/>
      <c r="AJ11" s="10" t="s">
        <v>1122</v>
      </c>
      <c r="AK11" s="10" t="s">
        <v>1045</v>
      </c>
      <c r="AL11" s="11"/>
      <c r="AM11" s="11"/>
      <c r="AN11" s="11"/>
      <c r="AO11" s="11"/>
      <c r="AP11" s="11"/>
      <c r="AQ11" s="11"/>
      <c r="AR11" s="10" t="s">
        <v>1123</v>
      </c>
      <c r="AS11" s="10" t="s">
        <v>66</v>
      </c>
      <c r="AT11" s="10" t="s">
        <v>53</v>
      </c>
    </row>
    <row r="12" spans="1:46" x14ac:dyDescent="0.15">
      <c r="A12" s="8" t="s">
        <v>1124</v>
      </c>
      <c r="B12" s="9" t="s">
        <v>1125</v>
      </c>
      <c r="C12" s="10" t="s">
        <v>1126</v>
      </c>
      <c r="D12" s="10" t="s">
        <v>1127</v>
      </c>
      <c r="E12" s="10" t="s">
        <v>51</v>
      </c>
      <c r="F12" s="10" t="s">
        <v>732</v>
      </c>
      <c r="G12" s="11"/>
      <c r="H12" s="10" t="s">
        <v>561</v>
      </c>
      <c r="I12" s="10" t="s">
        <v>53</v>
      </c>
      <c r="J12" s="10" t="s">
        <v>54</v>
      </c>
      <c r="K12" s="11"/>
      <c r="L12" s="10" t="s">
        <v>1006</v>
      </c>
      <c r="M12" s="11"/>
      <c r="N12" s="11"/>
      <c r="O12" s="11"/>
      <c r="P12" s="11"/>
      <c r="Q12" s="10" t="s">
        <v>75</v>
      </c>
      <c r="R12" s="11"/>
      <c r="S12" s="10" t="s">
        <v>734</v>
      </c>
      <c r="T12" s="10" t="s">
        <v>735</v>
      </c>
      <c r="U12" s="10" t="s">
        <v>736</v>
      </c>
      <c r="V12" s="11"/>
      <c r="W12" s="10" t="s">
        <v>737</v>
      </c>
      <c r="X12" s="10" t="s">
        <v>80</v>
      </c>
      <c r="Y12" s="10" t="s">
        <v>80</v>
      </c>
      <c r="Z12" s="10" t="s">
        <v>1128</v>
      </c>
      <c r="AA12" s="10" t="s">
        <v>1128</v>
      </c>
      <c r="AB12" s="11"/>
      <c r="AC12" s="11"/>
      <c r="AD12" s="11"/>
      <c r="AE12" s="11"/>
      <c r="AF12" s="12">
        <v>3000</v>
      </c>
      <c r="AG12" s="11"/>
      <c r="AH12" s="11"/>
      <c r="AI12" s="11"/>
      <c r="AJ12" s="10" t="s">
        <v>1044</v>
      </c>
      <c r="AK12" s="10" t="s">
        <v>1045</v>
      </c>
      <c r="AL12" s="11"/>
      <c r="AM12" s="11"/>
      <c r="AN12" s="11"/>
      <c r="AO12" s="11"/>
      <c r="AP12" s="11"/>
      <c r="AQ12" s="11"/>
      <c r="AR12" s="10" t="s">
        <v>1129</v>
      </c>
      <c r="AS12" s="10" t="s">
        <v>66</v>
      </c>
      <c r="AT12" s="10" t="s">
        <v>53</v>
      </c>
    </row>
    <row r="13" spans="1:46" x14ac:dyDescent="0.15">
      <c r="A13" s="8" t="s">
        <v>1130</v>
      </c>
      <c r="B13" s="9" t="s">
        <v>1131</v>
      </c>
      <c r="C13" s="10" t="s">
        <v>1132</v>
      </c>
      <c r="D13" s="10" t="s">
        <v>1133</v>
      </c>
      <c r="E13" s="10" t="s">
        <v>51</v>
      </c>
      <c r="F13" s="10" t="s">
        <v>732</v>
      </c>
      <c r="G13" s="11"/>
      <c r="H13" s="10" t="s">
        <v>568</v>
      </c>
      <c r="I13" s="10" t="s">
        <v>53</v>
      </c>
      <c r="J13" s="10" t="s">
        <v>54</v>
      </c>
      <c r="K13" s="11"/>
      <c r="L13" s="10" t="s">
        <v>1006</v>
      </c>
      <c r="M13" s="11"/>
      <c r="N13" s="11"/>
      <c r="O13" s="11"/>
      <c r="P13" s="11"/>
      <c r="Q13" s="10" t="s">
        <v>75</v>
      </c>
      <c r="R13" s="11"/>
      <c r="S13" s="10" t="s">
        <v>734</v>
      </c>
      <c r="T13" s="10" t="s">
        <v>735</v>
      </c>
      <c r="U13" s="10" t="s">
        <v>736</v>
      </c>
      <c r="V13" s="11"/>
      <c r="W13" s="10" t="s">
        <v>737</v>
      </c>
      <c r="X13" s="10" t="s">
        <v>80</v>
      </c>
      <c r="Y13" s="10" t="s">
        <v>80</v>
      </c>
      <c r="Z13" s="10" t="s">
        <v>1134</v>
      </c>
      <c r="AA13" s="10" t="s">
        <v>1134</v>
      </c>
      <c r="AB13" s="11"/>
      <c r="AC13" s="11"/>
      <c r="AD13" s="11"/>
      <c r="AE13" s="11"/>
      <c r="AF13" s="12">
        <v>600</v>
      </c>
      <c r="AG13" s="11"/>
      <c r="AH13" s="11"/>
      <c r="AI13" s="11"/>
      <c r="AJ13" s="10" t="s">
        <v>1135</v>
      </c>
      <c r="AK13" s="11"/>
      <c r="AL13" s="11"/>
      <c r="AM13" s="11"/>
      <c r="AN13" s="11"/>
      <c r="AO13" s="11"/>
      <c r="AP13" s="11"/>
      <c r="AQ13" s="11"/>
      <c r="AR13" s="10" t="s">
        <v>1136</v>
      </c>
      <c r="AS13" s="10" t="s">
        <v>66</v>
      </c>
      <c r="AT13" s="10" t="s">
        <v>53</v>
      </c>
    </row>
    <row r="14" spans="1:46" x14ac:dyDescent="0.15">
      <c r="A14" s="8" t="s">
        <v>1137</v>
      </c>
      <c r="B14" s="9" t="s">
        <v>1138</v>
      </c>
      <c r="C14" s="10" t="s">
        <v>1139</v>
      </c>
      <c r="D14" s="10" t="s">
        <v>1140</v>
      </c>
      <c r="E14" s="10" t="s">
        <v>51</v>
      </c>
      <c r="F14" s="10" t="s">
        <v>732</v>
      </c>
      <c r="G14" s="11"/>
      <c r="H14" s="10" t="s">
        <v>568</v>
      </c>
      <c r="I14" s="10" t="s">
        <v>53</v>
      </c>
      <c r="J14" s="10" t="s">
        <v>54</v>
      </c>
      <c r="K14" s="11"/>
      <c r="L14" s="10" t="s">
        <v>1006</v>
      </c>
      <c r="M14" s="11"/>
      <c r="N14" s="11"/>
      <c r="O14" s="11"/>
      <c r="P14" s="11"/>
      <c r="Q14" s="10" t="s">
        <v>75</v>
      </c>
      <c r="R14" s="11"/>
      <c r="S14" s="10" t="s">
        <v>734</v>
      </c>
      <c r="T14" s="10" t="s">
        <v>735</v>
      </c>
      <c r="U14" s="10" t="s">
        <v>736</v>
      </c>
      <c r="V14" s="11"/>
      <c r="W14" s="10" t="s">
        <v>737</v>
      </c>
      <c r="X14" s="10" t="s">
        <v>80</v>
      </c>
      <c r="Y14" s="10" t="s">
        <v>80</v>
      </c>
      <c r="Z14" s="10" t="s">
        <v>1141</v>
      </c>
      <c r="AA14" s="10" t="s">
        <v>1141</v>
      </c>
      <c r="AB14" s="11"/>
      <c r="AC14" s="11"/>
      <c r="AD14" s="11"/>
      <c r="AE14" s="11"/>
      <c r="AF14" s="12">
        <v>11000</v>
      </c>
      <c r="AG14" s="11"/>
      <c r="AH14" s="11"/>
      <c r="AI14" s="11"/>
      <c r="AJ14" s="10" t="s">
        <v>1142</v>
      </c>
      <c r="AK14" s="11"/>
      <c r="AL14" s="11"/>
      <c r="AM14" s="11"/>
      <c r="AN14" s="11"/>
      <c r="AO14" s="11"/>
      <c r="AP14" s="11"/>
      <c r="AQ14" s="11"/>
      <c r="AR14" s="10" t="s">
        <v>1143</v>
      </c>
      <c r="AS14" s="10" t="s">
        <v>66</v>
      </c>
      <c r="AT14" s="10" t="s">
        <v>53</v>
      </c>
    </row>
    <row r="15" spans="1:46" x14ac:dyDescent="0.15">
      <c r="A15" s="8" t="s">
        <v>1144</v>
      </c>
      <c r="B15" s="9" t="s">
        <v>1145</v>
      </c>
      <c r="C15" s="10" t="s">
        <v>1146</v>
      </c>
      <c r="D15" s="10" t="s">
        <v>1147</v>
      </c>
      <c r="E15" s="10" t="s">
        <v>51</v>
      </c>
      <c r="F15" s="10" t="s">
        <v>732</v>
      </c>
      <c r="G15" s="11"/>
      <c r="H15" s="10" t="s">
        <v>568</v>
      </c>
      <c r="I15" s="10" t="s">
        <v>53</v>
      </c>
      <c r="J15" s="10" t="s">
        <v>54</v>
      </c>
      <c r="K15" s="11"/>
      <c r="L15" s="10" t="s">
        <v>1006</v>
      </c>
      <c r="M15" s="11"/>
      <c r="N15" s="11"/>
      <c r="O15" s="11"/>
      <c r="P15" s="11"/>
      <c r="Q15" s="10" t="s">
        <v>75</v>
      </c>
      <c r="R15" s="11"/>
      <c r="S15" s="10" t="s">
        <v>734</v>
      </c>
      <c r="T15" s="10" t="s">
        <v>735</v>
      </c>
      <c r="U15" s="10" t="s">
        <v>736</v>
      </c>
      <c r="V15" s="11"/>
      <c r="W15" s="10" t="s">
        <v>737</v>
      </c>
      <c r="X15" s="10" t="s">
        <v>80</v>
      </c>
      <c r="Y15" s="10" t="s">
        <v>80</v>
      </c>
      <c r="Z15" s="10" t="s">
        <v>1148</v>
      </c>
      <c r="AA15" s="10" t="s">
        <v>1148</v>
      </c>
      <c r="AB15" s="11"/>
      <c r="AC15" s="11"/>
      <c r="AD15" s="11"/>
      <c r="AE15" s="11"/>
      <c r="AF15" s="12">
        <v>1</v>
      </c>
      <c r="AG15" s="11"/>
      <c r="AH15" s="11"/>
      <c r="AI15" s="11"/>
      <c r="AJ15" s="10" t="s">
        <v>1149</v>
      </c>
      <c r="AK15" s="11"/>
      <c r="AL15" s="11"/>
      <c r="AM15" s="11"/>
      <c r="AN15" s="11"/>
      <c r="AO15" s="11"/>
      <c r="AP15" s="11"/>
      <c r="AQ15" s="11"/>
      <c r="AR15" s="10" t="s">
        <v>1150</v>
      </c>
      <c r="AS15" s="10" t="s">
        <v>66</v>
      </c>
      <c r="AT15" s="10" t="s">
        <v>53</v>
      </c>
    </row>
    <row r="16" spans="1:46" x14ac:dyDescent="0.15">
      <c r="A16" s="8" t="s">
        <v>1261</v>
      </c>
      <c r="B16" s="9" t="s">
        <v>1262</v>
      </c>
      <c r="C16" s="10" t="s">
        <v>1263</v>
      </c>
      <c r="D16" s="10" t="s">
        <v>1264</v>
      </c>
      <c r="E16" s="10" t="s">
        <v>51</v>
      </c>
      <c r="F16" s="10" t="s">
        <v>1265</v>
      </c>
      <c r="G16" s="11"/>
      <c r="H16" s="10" t="s">
        <v>568</v>
      </c>
      <c r="I16" s="10" t="s">
        <v>53</v>
      </c>
      <c r="J16" s="10" t="s">
        <v>54</v>
      </c>
      <c r="K16" s="11"/>
      <c r="L16" s="10" t="s">
        <v>1266</v>
      </c>
      <c r="M16" s="11"/>
      <c r="N16" s="11"/>
      <c r="O16" s="11"/>
      <c r="P16" s="11"/>
      <c r="Q16" s="10" t="s">
        <v>75</v>
      </c>
      <c r="R16" s="11"/>
      <c r="S16" s="10" t="s">
        <v>1267</v>
      </c>
      <c r="T16" s="10" t="s">
        <v>1268</v>
      </c>
      <c r="U16" s="10" t="s">
        <v>1269</v>
      </c>
      <c r="V16" s="11"/>
      <c r="W16" s="10" t="s">
        <v>1270</v>
      </c>
      <c r="X16" s="10" t="s">
        <v>80</v>
      </c>
      <c r="Y16" s="10" t="s">
        <v>80</v>
      </c>
      <c r="Z16" s="10" t="s">
        <v>1271</v>
      </c>
      <c r="AA16" s="10" t="s">
        <v>1272</v>
      </c>
      <c r="AB16" s="11"/>
      <c r="AC16" s="11"/>
      <c r="AD16" s="11"/>
      <c r="AE16" s="11"/>
      <c r="AF16" s="12">
        <v>1000</v>
      </c>
      <c r="AG16" s="11"/>
      <c r="AH16" s="10" t="s">
        <v>1273</v>
      </c>
      <c r="AI16" s="10" t="s">
        <v>1274</v>
      </c>
      <c r="AJ16" s="10" t="s">
        <v>1203</v>
      </c>
      <c r="AK16" s="10" t="s">
        <v>1220</v>
      </c>
      <c r="AL16" s="11"/>
      <c r="AM16" s="11"/>
      <c r="AN16" s="11"/>
      <c r="AO16" s="11"/>
      <c r="AP16" s="11"/>
      <c r="AQ16" s="11"/>
      <c r="AR16" s="10" t="s">
        <v>563</v>
      </c>
      <c r="AS16" s="10" t="s">
        <v>66</v>
      </c>
      <c r="AT16" s="10" t="s">
        <v>53</v>
      </c>
    </row>
    <row r="17" spans="1:46" x14ac:dyDescent="0.15">
      <c r="A17" s="8" t="s">
        <v>1679</v>
      </c>
      <c r="B17" s="9" t="s">
        <v>1680</v>
      </c>
      <c r="C17" s="10" t="s">
        <v>1681</v>
      </c>
      <c r="D17" s="10" t="s">
        <v>1682</v>
      </c>
      <c r="E17" s="10" t="s">
        <v>51</v>
      </c>
      <c r="F17" s="10" t="s">
        <v>601</v>
      </c>
      <c r="G17" s="11"/>
      <c r="H17" s="10" t="s">
        <v>1683</v>
      </c>
      <c r="I17" s="10" t="s">
        <v>53</v>
      </c>
      <c r="J17" s="10" t="s">
        <v>54</v>
      </c>
      <c r="K17" s="11"/>
      <c r="L17" s="10" t="s">
        <v>1674</v>
      </c>
      <c r="M17" s="11"/>
      <c r="N17" s="11"/>
      <c r="O17" s="11"/>
      <c r="P17" s="11"/>
      <c r="Q17" s="10" t="s">
        <v>603</v>
      </c>
      <c r="R17" s="11"/>
      <c r="S17" s="10" t="s">
        <v>604</v>
      </c>
      <c r="T17" s="10" t="s">
        <v>605</v>
      </c>
      <c r="U17" s="10" t="s">
        <v>606</v>
      </c>
      <c r="V17" s="11"/>
      <c r="W17" s="10" t="s">
        <v>607</v>
      </c>
      <c r="X17" s="10" t="s">
        <v>80</v>
      </c>
      <c r="Y17" s="10" t="s">
        <v>80</v>
      </c>
      <c r="Z17" s="10" t="s">
        <v>1684</v>
      </c>
      <c r="AA17" s="10" t="s">
        <v>1685</v>
      </c>
      <c r="AB17" s="11"/>
      <c r="AC17" s="11"/>
      <c r="AD17" s="11"/>
      <c r="AE17" s="11"/>
      <c r="AF17" s="11"/>
      <c r="AG17" s="11"/>
      <c r="AH17" s="11"/>
      <c r="AI17" s="10" t="s">
        <v>1319</v>
      </c>
      <c r="AJ17" s="11"/>
      <c r="AK17" s="11"/>
      <c r="AL17" s="11"/>
      <c r="AM17" s="11"/>
      <c r="AN17" s="11"/>
      <c r="AO17" s="11"/>
      <c r="AP17" s="11"/>
      <c r="AQ17" s="11"/>
      <c r="AR17" s="10" t="s">
        <v>1686</v>
      </c>
      <c r="AS17" s="10" t="s">
        <v>66</v>
      </c>
      <c r="AT17" s="10" t="s">
        <v>53</v>
      </c>
    </row>
    <row r="18" spans="1:46" x14ac:dyDescent="0.15">
      <c r="A18" s="8" t="s">
        <v>1701</v>
      </c>
      <c r="B18" s="9" t="s">
        <v>1702</v>
      </c>
      <c r="C18" s="10" t="s">
        <v>1703</v>
      </c>
      <c r="D18" s="10" t="s">
        <v>1704</v>
      </c>
      <c r="E18" s="10" t="s">
        <v>51</v>
      </c>
      <c r="F18" s="10" t="s">
        <v>616</v>
      </c>
      <c r="G18" s="11"/>
      <c r="H18" s="10" t="s">
        <v>561</v>
      </c>
      <c r="I18" s="10" t="s">
        <v>53</v>
      </c>
      <c r="J18" s="10" t="s">
        <v>54</v>
      </c>
      <c r="K18" s="11"/>
      <c r="L18" s="10" t="s">
        <v>1692</v>
      </c>
      <c r="M18" s="11"/>
      <c r="N18" s="10" t="s">
        <v>461</v>
      </c>
      <c r="O18" s="11"/>
      <c r="P18" s="11"/>
      <c r="Q18" s="10" t="s">
        <v>75</v>
      </c>
      <c r="R18" s="11"/>
      <c r="S18" s="10" t="s">
        <v>620</v>
      </c>
      <c r="T18" s="10" t="s">
        <v>621</v>
      </c>
      <c r="U18" s="10" t="s">
        <v>622</v>
      </c>
      <c r="V18" s="11"/>
      <c r="W18" s="10" t="s">
        <v>1693</v>
      </c>
      <c r="X18" s="10" t="s">
        <v>80</v>
      </c>
      <c r="Y18" s="10" t="s">
        <v>80</v>
      </c>
      <c r="Z18" s="10" t="s">
        <v>1705</v>
      </c>
      <c r="AA18" s="10" t="s">
        <v>1706</v>
      </c>
      <c r="AB18" s="11"/>
      <c r="AC18" s="11"/>
      <c r="AD18" s="11"/>
      <c r="AE18" s="11"/>
      <c r="AF18" s="12">
        <v>45920</v>
      </c>
      <c r="AG18" s="11"/>
      <c r="AH18" s="10" t="s">
        <v>1696</v>
      </c>
      <c r="AI18" s="10" t="s">
        <v>1707</v>
      </c>
      <c r="AJ18" s="10" t="s">
        <v>1698</v>
      </c>
      <c r="AK18" s="10" t="s">
        <v>1708</v>
      </c>
      <c r="AL18" s="11"/>
      <c r="AM18" s="11"/>
      <c r="AN18" s="11"/>
      <c r="AO18" s="11"/>
      <c r="AP18" s="11"/>
      <c r="AQ18" s="11"/>
      <c r="AR18" s="10" t="s">
        <v>1709</v>
      </c>
      <c r="AS18" s="10" t="s">
        <v>66</v>
      </c>
      <c r="AT18" s="10" t="s">
        <v>53</v>
      </c>
    </row>
    <row r="19" spans="1:46" x14ac:dyDescent="0.15">
      <c r="A19" s="8" t="s">
        <v>1710</v>
      </c>
      <c r="B19" s="9" t="s">
        <v>1711</v>
      </c>
      <c r="C19" s="10" t="s">
        <v>1712</v>
      </c>
      <c r="D19" s="10" t="s">
        <v>1713</v>
      </c>
      <c r="E19" s="10" t="s">
        <v>51</v>
      </c>
      <c r="F19" s="10" t="s">
        <v>616</v>
      </c>
      <c r="G19" s="11"/>
      <c r="H19" s="10" t="s">
        <v>1714</v>
      </c>
      <c r="I19" s="10" t="s">
        <v>53</v>
      </c>
      <c r="J19" s="10" t="s">
        <v>54</v>
      </c>
      <c r="K19" s="11"/>
      <c r="L19" s="10" t="s">
        <v>1692</v>
      </c>
      <c r="M19" s="11"/>
      <c r="N19" s="10" t="s">
        <v>461</v>
      </c>
      <c r="O19" s="11"/>
      <c r="P19" s="11"/>
      <c r="Q19" s="10" t="s">
        <v>75</v>
      </c>
      <c r="R19" s="11"/>
      <c r="S19" s="10" t="s">
        <v>620</v>
      </c>
      <c r="T19" s="10" t="s">
        <v>621</v>
      </c>
      <c r="U19" s="10" t="s">
        <v>622</v>
      </c>
      <c r="V19" s="11"/>
      <c r="W19" s="10" t="s">
        <v>1693</v>
      </c>
      <c r="X19" s="10" t="s">
        <v>80</v>
      </c>
      <c r="Y19" s="10" t="s">
        <v>80</v>
      </c>
      <c r="Z19" s="10" t="s">
        <v>1715</v>
      </c>
      <c r="AA19" s="10" t="s">
        <v>1716</v>
      </c>
      <c r="AB19" s="11"/>
      <c r="AC19" s="11"/>
      <c r="AD19" s="11"/>
      <c r="AE19" s="11"/>
      <c r="AF19" s="12">
        <v>4017</v>
      </c>
      <c r="AG19" s="11"/>
      <c r="AH19" s="10" t="s">
        <v>1696</v>
      </c>
      <c r="AI19" s="10" t="s">
        <v>1190</v>
      </c>
      <c r="AJ19" s="10" t="s">
        <v>1698</v>
      </c>
      <c r="AK19" s="10" t="s">
        <v>1717</v>
      </c>
      <c r="AL19" s="11"/>
      <c r="AM19" s="11"/>
      <c r="AN19" s="11"/>
      <c r="AO19" s="11"/>
      <c r="AP19" s="11"/>
      <c r="AQ19" s="11"/>
      <c r="AR19" s="10" t="s">
        <v>1718</v>
      </c>
      <c r="AS19" s="10" t="s">
        <v>66</v>
      </c>
      <c r="AT19" s="10" t="s">
        <v>53</v>
      </c>
    </row>
    <row r="20" spans="1:46" x14ac:dyDescent="0.15">
      <c r="A20" s="8" t="s">
        <v>1719</v>
      </c>
      <c r="B20" s="9" t="s">
        <v>1720</v>
      </c>
      <c r="C20" s="10" t="s">
        <v>1721</v>
      </c>
      <c r="D20" s="10" t="s">
        <v>1722</v>
      </c>
      <c r="E20" s="10" t="s">
        <v>51</v>
      </c>
      <c r="F20" s="10" t="s">
        <v>616</v>
      </c>
      <c r="G20" s="11"/>
      <c r="H20" s="10" t="s">
        <v>1723</v>
      </c>
      <c r="I20" s="10" t="s">
        <v>53</v>
      </c>
      <c r="J20" s="10" t="s">
        <v>54</v>
      </c>
      <c r="K20" s="11"/>
      <c r="L20" s="10" t="s">
        <v>1692</v>
      </c>
      <c r="M20" s="11"/>
      <c r="N20" s="10" t="s">
        <v>461</v>
      </c>
      <c r="O20" s="11"/>
      <c r="P20" s="11"/>
      <c r="Q20" s="10" t="s">
        <v>75</v>
      </c>
      <c r="R20" s="11"/>
      <c r="S20" s="10" t="s">
        <v>620</v>
      </c>
      <c r="T20" s="10" t="s">
        <v>621</v>
      </c>
      <c r="U20" s="10" t="s">
        <v>622</v>
      </c>
      <c r="V20" s="11"/>
      <c r="W20" s="10" t="s">
        <v>1693</v>
      </c>
      <c r="X20" s="10" t="s">
        <v>80</v>
      </c>
      <c r="Y20" s="10" t="s">
        <v>80</v>
      </c>
      <c r="Z20" s="10" t="s">
        <v>1724</v>
      </c>
      <c r="AA20" s="10" t="s">
        <v>1725</v>
      </c>
      <c r="AB20" s="11"/>
      <c r="AC20" s="11"/>
      <c r="AD20" s="11"/>
      <c r="AE20" s="11"/>
      <c r="AF20" s="12">
        <v>23436</v>
      </c>
      <c r="AG20" s="11"/>
      <c r="AH20" s="10" t="s">
        <v>1696</v>
      </c>
      <c r="AI20" s="10" t="s">
        <v>1726</v>
      </c>
      <c r="AJ20" s="10" t="s">
        <v>1698</v>
      </c>
      <c r="AK20" s="10" t="s">
        <v>1727</v>
      </c>
      <c r="AL20" s="11"/>
      <c r="AM20" s="11"/>
      <c r="AN20" s="11"/>
      <c r="AO20" s="11"/>
      <c r="AP20" s="11"/>
      <c r="AQ20" s="11"/>
      <c r="AR20" s="10" t="s">
        <v>1728</v>
      </c>
      <c r="AS20" s="10" t="s">
        <v>66</v>
      </c>
      <c r="AT20" s="10" t="s">
        <v>53</v>
      </c>
    </row>
    <row r="21" spans="1:46" x14ac:dyDescent="0.15">
      <c r="A21" s="8" t="s">
        <v>1729</v>
      </c>
      <c r="B21" s="9" t="s">
        <v>1730</v>
      </c>
      <c r="C21" s="10" t="s">
        <v>1731</v>
      </c>
      <c r="D21" s="10" t="s">
        <v>1732</v>
      </c>
      <c r="E21" s="10" t="s">
        <v>51</v>
      </c>
      <c r="F21" s="10" t="s">
        <v>616</v>
      </c>
      <c r="G21" s="11"/>
      <c r="H21" s="10" t="s">
        <v>561</v>
      </c>
      <c r="I21" s="10" t="s">
        <v>53</v>
      </c>
      <c r="J21" s="10" t="s">
        <v>54</v>
      </c>
      <c r="K21" s="11"/>
      <c r="L21" s="10" t="s">
        <v>1692</v>
      </c>
      <c r="M21" s="11"/>
      <c r="N21" s="10" t="s">
        <v>461</v>
      </c>
      <c r="O21" s="11"/>
      <c r="P21" s="11"/>
      <c r="Q21" s="10" t="s">
        <v>75</v>
      </c>
      <c r="R21" s="11"/>
      <c r="S21" s="10" t="s">
        <v>620</v>
      </c>
      <c r="T21" s="10" t="s">
        <v>621</v>
      </c>
      <c r="U21" s="10" t="s">
        <v>622</v>
      </c>
      <c r="V21" s="11"/>
      <c r="W21" s="10" t="s">
        <v>1693</v>
      </c>
      <c r="X21" s="10" t="s">
        <v>80</v>
      </c>
      <c r="Y21" s="10" t="s">
        <v>80</v>
      </c>
      <c r="Z21" s="10" t="s">
        <v>1733</v>
      </c>
      <c r="AA21" s="10" t="s">
        <v>1734</v>
      </c>
      <c r="AB21" s="11"/>
      <c r="AC21" s="11"/>
      <c r="AD21" s="11"/>
      <c r="AE21" s="11"/>
      <c r="AF21" s="12">
        <v>6409</v>
      </c>
      <c r="AG21" s="11"/>
      <c r="AH21" s="10" t="s">
        <v>1696</v>
      </c>
      <c r="AI21" s="10" t="s">
        <v>1735</v>
      </c>
      <c r="AJ21" s="10" t="s">
        <v>1698</v>
      </c>
      <c r="AK21" s="10" t="s">
        <v>1736</v>
      </c>
      <c r="AL21" s="11"/>
      <c r="AM21" s="11"/>
      <c r="AN21" s="11"/>
      <c r="AO21" s="11"/>
      <c r="AP21" s="11"/>
      <c r="AQ21" s="11"/>
      <c r="AR21" s="10" t="s">
        <v>1737</v>
      </c>
      <c r="AS21" s="10" t="s">
        <v>66</v>
      </c>
      <c r="AT21" s="10" t="s">
        <v>53</v>
      </c>
    </row>
    <row r="22" spans="1:46" x14ac:dyDescent="0.15">
      <c r="A22" s="8" t="s">
        <v>1738</v>
      </c>
      <c r="B22" s="9" t="s">
        <v>1739</v>
      </c>
      <c r="C22" s="10" t="s">
        <v>1740</v>
      </c>
      <c r="D22" s="10" t="s">
        <v>1741</v>
      </c>
      <c r="E22" s="10" t="s">
        <v>51</v>
      </c>
      <c r="F22" s="10" t="s">
        <v>616</v>
      </c>
      <c r="G22" s="11"/>
      <c r="H22" s="10" t="s">
        <v>568</v>
      </c>
      <c r="I22" s="10" t="s">
        <v>53</v>
      </c>
      <c r="J22" s="10" t="s">
        <v>54</v>
      </c>
      <c r="K22" s="11"/>
      <c r="L22" s="10" t="s">
        <v>1692</v>
      </c>
      <c r="M22" s="11"/>
      <c r="N22" s="10" t="s">
        <v>461</v>
      </c>
      <c r="O22" s="11"/>
      <c r="P22" s="11"/>
      <c r="Q22" s="10" t="s">
        <v>75</v>
      </c>
      <c r="R22" s="11"/>
      <c r="S22" s="10" t="s">
        <v>620</v>
      </c>
      <c r="T22" s="10" t="s">
        <v>621</v>
      </c>
      <c r="U22" s="10" t="s">
        <v>622</v>
      </c>
      <c r="V22" s="11"/>
      <c r="W22" s="10" t="s">
        <v>1693</v>
      </c>
      <c r="X22" s="10" t="s">
        <v>80</v>
      </c>
      <c r="Y22" s="10" t="s">
        <v>80</v>
      </c>
      <c r="Z22" s="10" t="s">
        <v>1742</v>
      </c>
      <c r="AA22" s="10" t="s">
        <v>1743</v>
      </c>
      <c r="AB22" s="11"/>
      <c r="AC22" s="11"/>
      <c r="AD22" s="11"/>
      <c r="AE22" s="11"/>
      <c r="AF22" s="12">
        <v>7643</v>
      </c>
      <c r="AG22" s="11"/>
      <c r="AH22" s="10" t="s">
        <v>1696</v>
      </c>
      <c r="AI22" s="10" t="s">
        <v>1190</v>
      </c>
      <c r="AJ22" s="10" t="s">
        <v>1698</v>
      </c>
      <c r="AK22" s="10" t="s">
        <v>1744</v>
      </c>
      <c r="AL22" s="11"/>
      <c r="AM22" s="11"/>
      <c r="AN22" s="11"/>
      <c r="AO22" s="11"/>
      <c r="AP22" s="11"/>
      <c r="AQ22" s="11"/>
      <c r="AR22" s="10" t="s">
        <v>1116</v>
      </c>
      <c r="AS22" s="10" t="s">
        <v>66</v>
      </c>
      <c r="AT22" s="10" t="s">
        <v>53</v>
      </c>
    </row>
    <row r="23" spans="1:46" x14ac:dyDescent="0.15">
      <c r="A23" s="8" t="s">
        <v>1745</v>
      </c>
      <c r="B23" s="9" t="s">
        <v>1746</v>
      </c>
      <c r="C23" s="10" t="s">
        <v>1747</v>
      </c>
      <c r="D23" s="10" t="s">
        <v>1748</v>
      </c>
      <c r="E23" s="10" t="s">
        <v>51</v>
      </c>
      <c r="F23" s="10" t="s">
        <v>616</v>
      </c>
      <c r="G23" s="11"/>
      <c r="H23" s="10" t="s">
        <v>1749</v>
      </c>
      <c r="I23" s="10" t="s">
        <v>53</v>
      </c>
      <c r="J23" s="10" t="s">
        <v>54</v>
      </c>
      <c r="K23" s="11"/>
      <c r="L23" s="10" t="s">
        <v>1692</v>
      </c>
      <c r="M23" s="11"/>
      <c r="N23" s="10" t="s">
        <v>461</v>
      </c>
      <c r="O23" s="11"/>
      <c r="P23" s="11"/>
      <c r="Q23" s="10" t="s">
        <v>75</v>
      </c>
      <c r="R23" s="11"/>
      <c r="S23" s="10" t="s">
        <v>620</v>
      </c>
      <c r="T23" s="10" t="s">
        <v>621</v>
      </c>
      <c r="U23" s="10" t="s">
        <v>622</v>
      </c>
      <c r="V23" s="11"/>
      <c r="W23" s="10" t="s">
        <v>1693</v>
      </c>
      <c r="X23" s="10" t="s">
        <v>80</v>
      </c>
      <c r="Y23" s="10" t="s">
        <v>80</v>
      </c>
      <c r="Z23" s="10" t="s">
        <v>1750</v>
      </c>
      <c r="AA23" s="10" t="s">
        <v>1751</v>
      </c>
      <c r="AB23" s="11"/>
      <c r="AC23" s="11"/>
      <c r="AD23" s="11"/>
      <c r="AE23" s="11"/>
      <c r="AF23" s="12">
        <v>40</v>
      </c>
      <c r="AG23" s="11"/>
      <c r="AH23" s="10" t="s">
        <v>1696</v>
      </c>
      <c r="AI23" s="10" t="s">
        <v>1752</v>
      </c>
      <c r="AJ23" s="10" t="s">
        <v>1698</v>
      </c>
      <c r="AK23" s="10" t="s">
        <v>1753</v>
      </c>
      <c r="AL23" s="11"/>
      <c r="AM23" s="11"/>
      <c r="AN23" s="11"/>
      <c r="AO23" s="11"/>
      <c r="AP23" s="11"/>
      <c r="AQ23" s="11"/>
      <c r="AR23" s="10" t="s">
        <v>1116</v>
      </c>
      <c r="AS23" s="10" t="s">
        <v>66</v>
      </c>
      <c r="AT23" s="10" t="s">
        <v>53</v>
      </c>
    </row>
    <row r="24" spans="1:46" x14ac:dyDescent="0.15">
      <c r="A24" s="8" t="s">
        <v>1754</v>
      </c>
      <c r="B24" s="9" t="s">
        <v>1755</v>
      </c>
      <c r="C24" s="10" t="s">
        <v>1756</v>
      </c>
      <c r="D24" s="10" t="s">
        <v>1757</v>
      </c>
      <c r="E24" s="10" t="s">
        <v>51</v>
      </c>
      <c r="F24" s="15" t="s">
        <v>1758</v>
      </c>
      <c r="G24" s="11"/>
      <c r="H24" s="10" t="s">
        <v>568</v>
      </c>
      <c r="I24" s="10" t="s">
        <v>53</v>
      </c>
      <c r="J24" s="10" t="s">
        <v>54</v>
      </c>
      <c r="K24" s="11"/>
      <c r="L24" s="10" t="s">
        <v>1759</v>
      </c>
      <c r="M24" s="11"/>
      <c r="N24" s="10" t="s">
        <v>1760</v>
      </c>
      <c r="O24" s="11"/>
      <c r="P24" s="11"/>
      <c r="Q24" s="10" t="s">
        <v>1761</v>
      </c>
      <c r="R24" s="11"/>
      <c r="S24" s="10" t="s">
        <v>1762</v>
      </c>
      <c r="T24" s="10" t="s">
        <v>1763</v>
      </c>
      <c r="U24" s="10" t="s">
        <v>1764</v>
      </c>
      <c r="V24" s="11"/>
      <c r="W24" s="10" t="s">
        <v>1765</v>
      </c>
      <c r="X24" s="10" t="s">
        <v>80</v>
      </c>
      <c r="Y24" s="10" t="s">
        <v>80</v>
      </c>
      <c r="Z24" s="10" t="s">
        <v>1766</v>
      </c>
      <c r="AA24" s="10" t="s">
        <v>1767</v>
      </c>
      <c r="AB24" s="11"/>
      <c r="AC24" s="11"/>
      <c r="AD24" s="11"/>
      <c r="AE24" s="11"/>
      <c r="AF24" s="12">
        <v>31262</v>
      </c>
      <c r="AG24" s="11"/>
      <c r="AH24" s="10" t="s">
        <v>1696</v>
      </c>
      <c r="AI24" s="10" t="s">
        <v>1190</v>
      </c>
      <c r="AJ24" s="10" t="s">
        <v>1698</v>
      </c>
      <c r="AK24" s="10" t="s">
        <v>1768</v>
      </c>
      <c r="AL24" s="11"/>
      <c r="AM24" s="11"/>
      <c r="AN24" s="11"/>
      <c r="AO24" s="11"/>
      <c r="AP24" s="11"/>
      <c r="AQ24" s="11"/>
      <c r="AR24" s="10" t="s">
        <v>1769</v>
      </c>
      <c r="AS24" s="10" t="s">
        <v>66</v>
      </c>
      <c r="AT24" s="10" t="s">
        <v>53</v>
      </c>
    </row>
    <row r="25" spans="1:46" x14ac:dyDescent="0.15">
      <c r="A25" s="8" t="s">
        <v>1770</v>
      </c>
      <c r="B25" s="9" t="s">
        <v>1771</v>
      </c>
      <c r="C25" s="10" t="s">
        <v>1772</v>
      </c>
      <c r="D25" s="10" t="s">
        <v>1773</v>
      </c>
      <c r="E25" s="10" t="s">
        <v>51</v>
      </c>
      <c r="F25" s="10" t="s">
        <v>71</v>
      </c>
      <c r="G25" s="11"/>
      <c r="H25" s="10" t="s">
        <v>1774</v>
      </c>
      <c r="I25" s="10" t="s">
        <v>53</v>
      </c>
      <c r="J25" s="10" t="s">
        <v>54</v>
      </c>
      <c r="K25" s="11"/>
      <c r="L25" s="10" t="s">
        <v>1759</v>
      </c>
      <c r="M25" s="11"/>
      <c r="N25" s="10" t="s">
        <v>1760</v>
      </c>
      <c r="O25" s="11"/>
      <c r="P25" s="11"/>
      <c r="Q25" s="11"/>
      <c r="R25" s="11"/>
      <c r="S25" s="10" t="s">
        <v>1775</v>
      </c>
      <c r="T25" s="10" t="s">
        <v>1776</v>
      </c>
      <c r="U25" s="10" t="s">
        <v>1777</v>
      </c>
      <c r="V25" s="11"/>
      <c r="W25" s="10" t="s">
        <v>1778</v>
      </c>
      <c r="X25" s="10" t="s">
        <v>80</v>
      </c>
      <c r="Y25" s="10" t="s">
        <v>80</v>
      </c>
      <c r="Z25" s="10" t="s">
        <v>1779</v>
      </c>
      <c r="AA25" s="10" t="s">
        <v>1780</v>
      </c>
      <c r="AB25" s="11"/>
      <c r="AC25" s="11"/>
      <c r="AD25" s="11"/>
      <c r="AE25" s="11"/>
      <c r="AF25" s="12">
        <v>200</v>
      </c>
      <c r="AG25" s="11"/>
      <c r="AH25" s="10" t="s">
        <v>1696</v>
      </c>
      <c r="AI25" s="10" t="s">
        <v>1335</v>
      </c>
      <c r="AJ25" s="10" t="s">
        <v>1698</v>
      </c>
      <c r="AK25" s="10" t="s">
        <v>1768</v>
      </c>
      <c r="AL25" s="11"/>
      <c r="AM25" s="11"/>
      <c r="AN25" s="11"/>
      <c r="AO25" s="11"/>
      <c r="AP25" s="11"/>
      <c r="AQ25" s="11"/>
      <c r="AR25" s="10" t="s">
        <v>556</v>
      </c>
      <c r="AS25" s="10" t="s">
        <v>66</v>
      </c>
      <c r="AT25" s="10" t="s">
        <v>53</v>
      </c>
    </row>
    <row r="26" spans="1:46" x14ac:dyDescent="0.15">
      <c r="A26" s="8" t="s">
        <v>1794</v>
      </c>
      <c r="B26" s="9" t="s">
        <v>1795</v>
      </c>
      <c r="C26" s="10" t="s">
        <v>1796</v>
      </c>
      <c r="D26" s="10" t="s">
        <v>1797</v>
      </c>
      <c r="E26" s="10" t="s">
        <v>51</v>
      </c>
      <c r="F26" s="10" t="s">
        <v>71</v>
      </c>
      <c r="G26" s="11"/>
      <c r="H26" s="11"/>
      <c r="I26" s="10" t="s">
        <v>53</v>
      </c>
      <c r="J26" s="10" t="s">
        <v>54</v>
      </c>
      <c r="K26" s="11"/>
      <c r="L26" s="10" t="s">
        <v>1759</v>
      </c>
      <c r="M26" s="11"/>
      <c r="N26" s="10" t="s">
        <v>1760</v>
      </c>
      <c r="O26" s="11"/>
      <c r="P26" s="11"/>
      <c r="Q26" s="11"/>
      <c r="R26" s="11"/>
      <c r="S26" s="10" t="s">
        <v>1775</v>
      </c>
      <c r="T26" s="10" t="s">
        <v>1776</v>
      </c>
      <c r="U26" s="10" t="s">
        <v>1777</v>
      </c>
      <c r="V26" s="11"/>
      <c r="W26" s="10" t="s">
        <v>1778</v>
      </c>
      <c r="X26" s="10" t="s">
        <v>80</v>
      </c>
      <c r="Y26" s="10" t="s">
        <v>80</v>
      </c>
      <c r="Z26" s="10" t="s">
        <v>1798</v>
      </c>
      <c r="AA26" s="10" t="s">
        <v>1799</v>
      </c>
      <c r="AB26" s="11"/>
      <c r="AC26" s="11"/>
      <c r="AD26" s="11"/>
      <c r="AE26" s="11"/>
      <c r="AF26" s="12">
        <v>500</v>
      </c>
      <c r="AG26" s="11"/>
      <c r="AH26" s="10" t="s">
        <v>1696</v>
      </c>
      <c r="AI26" s="10" t="s">
        <v>1335</v>
      </c>
      <c r="AJ26" s="10" t="s">
        <v>1698</v>
      </c>
      <c r="AK26" s="10" t="s">
        <v>1768</v>
      </c>
      <c r="AL26" s="11"/>
      <c r="AM26" s="11"/>
      <c r="AN26" s="11"/>
      <c r="AO26" s="11"/>
      <c r="AP26" s="11"/>
      <c r="AQ26" s="11"/>
      <c r="AR26" s="10" t="s">
        <v>325</v>
      </c>
      <c r="AS26" s="10" t="s">
        <v>66</v>
      </c>
      <c r="AT26" s="10" t="s">
        <v>53</v>
      </c>
    </row>
    <row r="27" spans="1:46" x14ac:dyDescent="0.15">
      <c r="A27" s="8" t="s">
        <v>1872</v>
      </c>
      <c r="B27" s="9" t="s">
        <v>1873</v>
      </c>
      <c r="C27" s="10" t="s">
        <v>1874</v>
      </c>
      <c r="D27" s="10" t="s">
        <v>1875</v>
      </c>
      <c r="E27" s="10" t="s">
        <v>51</v>
      </c>
      <c r="F27" s="10" t="s">
        <v>1816</v>
      </c>
      <c r="G27" s="11"/>
      <c r="H27" s="10" t="s">
        <v>1683</v>
      </c>
      <c r="I27" s="10" t="s">
        <v>53</v>
      </c>
      <c r="J27" s="10" t="s">
        <v>54</v>
      </c>
      <c r="K27" s="11"/>
      <c r="L27" s="10" t="s">
        <v>1759</v>
      </c>
      <c r="M27" s="11"/>
      <c r="N27" s="10" t="s">
        <v>1760</v>
      </c>
      <c r="O27" s="11"/>
      <c r="P27" s="11"/>
      <c r="Q27" s="10" t="s">
        <v>75</v>
      </c>
      <c r="R27" s="11"/>
      <c r="S27" s="10" t="s">
        <v>1817</v>
      </c>
      <c r="T27" s="10" t="s">
        <v>1818</v>
      </c>
      <c r="U27" s="10" t="s">
        <v>1819</v>
      </c>
      <c r="V27" s="11"/>
      <c r="W27" s="10" t="s">
        <v>1821</v>
      </c>
      <c r="X27" s="10" t="s">
        <v>80</v>
      </c>
      <c r="Y27" s="10" t="s">
        <v>80</v>
      </c>
      <c r="Z27" s="10" t="s">
        <v>1876</v>
      </c>
      <c r="AA27" s="10" t="s">
        <v>1877</v>
      </c>
      <c r="AB27" s="11"/>
      <c r="AC27" s="11"/>
      <c r="AD27" s="11"/>
      <c r="AE27" s="11"/>
      <c r="AF27" s="12">
        <v>8620</v>
      </c>
      <c r="AG27" s="11"/>
      <c r="AH27" s="10" t="s">
        <v>1878</v>
      </c>
      <c r="AI27" s="10" t="s">
        <v>1335</v>
      </c>
      <c r="AJ27" s="10" t="s">
        <v>1879</v>
      </c>
      <c r="AK27" s="10" t="s">
        <v>1880</v>
      </c>
      <c r="AL27" s="11"/>
      <c r="AM27" s="11"/>
      <c r="AN27" s="11"/>
      <c r="AO27" s="11"/>
      <c r="AP27" s="11"/>
      <c r="AQ27" s="11"/>
      <c r="AR27" s="10" t="s">
        <v>1881</v>
      </c>
      <c r="AS27" s="10" t="s">
        <v>66</v>
      </c>
      <c r="AT27" s="10" t="s">
        <v>53</v>
      </c>
    </row>
    <row r="28" spans="1:46" x14ac:dyDescent="0.15">
      <c r="A28" s="8" t="s">
        <v>2044</v>
      </c>
      <c r="B28" s="9" t="s">
        <v>2045</v>
      </c>
      <c r="C28" s="10" t="s">
        <v>2046</v>
      </c>
      <c r="D28" s="10" t="s">
        <v>2047</v>
      </c>
      <c r="E28" s="10" t="s">
        <v>51</v>
      </c>
      <c r="F28" s="15" t="s">
        <v>1954</v>
      </c>
      <c r="G28" s="11"/>
      <c r="H28" s="10" t="s">
        <v>1749</v>
      </c>
      <c r="I28" s="10" t="s">
        <v>53</v>
      </c>
      <c r="J28" s="10" t="s">
        <v>54</v>
      </c>
      <c r="K28" s="11"/>
      <c r="L28" s="10" t="s">
        <v>2048</v>
      </c>
      <c r="M28" s="11"/>
      <c r="N28" s="11"/>
      <c r="O28" s="11"/>
      <c r="P28" s="11"/>
      <c r="Q28" s="10" t="s">
        <v>75</v>
      </c>
      <c r="R28" s="11"/>
      <c r="S28" s="10" t="s">
        <v>1959</v>
      </c>
      <c r="T28" s="10" t="s">
        <v>1960</v>
      </c>
      <c r="U28" s="10" t="s">
        <v>1961</v>
      </c>
      <c r="V28" s="11"/>
      <c r="W28" s="10" t="s">
        <v>1962</v>
      </c>
      <c r="X28" s="10" t="s">
        <v>80</v>
      </c>
      <c r="Y28" s="10" t="s">
        <v>80</v>
      </c>
      <c r="Z28" s="10" t="s">
        <v>2049</v>
      </c>
      <c r="AA28" s="10" t="s">
        <v>2050</v>
      </c>
      <c r="AB28" s="11"/>
      <c r="AC28" s="11"/>
      <c r="AD28" s="11"/>
      <c r="AE28" s="10" t="s">
        <v>2039</v>
      </c>
      <c r="AF28" s="12">
        <v>600</v>
      </c>
      <c r="AG28" s="11"/>
      <c r="AH28" s="11"/>
      <c r="AI28" s="10" t="s">
        <v>2051</v>
      </c>
      <c r="AJ28" s="10" t="s">
        <v>2052</v>
      </c>
      <c r="AK28" s="10" t="s">
        <v>2042</v>
      </c>
      <c r="AL28" s="11"/>
      <c r="AM28" s="11"/>
      <c r="AN28" s="11"/>
      <c r="AO28" s="11"/>
      <c r="AP28" s="11"/>
      <c r="AQ28" s="11"/>
      <c r="AR28" s="10" t="s">
        <v>1251</v>
      </c>
      <c r="AS28" s="10" t="s">
        <v>66</v>
      </c>
      <c r="AT28" s="10" t="s">
        <v>53</v>
      </c>
    </row>
    <row r="29" spans="1:46" x14ac:dyDescent="0.15">
      <c r="A29" s="8" t="s">
        <v>2080</v>
      </c>
      <c r="B29" s="9" t="s">
        <v>2081</v>
      </c>
      <c r="C29" s="10" t="s">
        <v>2082</v>
      </c>
      <c r="D29" s="10" t="s">
        <v>2083</v>
      </c>
      <c r="E29" s="10" t="s">
        <v>51</v>
      </c>
      <c r="F29" s="10" t="s">
        <v>2057</v>
      </c>
      <c r="G29" s="11"/>
      <c r="H29" s="10" t="s">
        <v>2084</v>
      </c>
      <c r="I29" s="10" t="s">
        <v>53</v>
      </c>
      <c r="J29" s="10" t="s">
        <v>54</v>
      </c>
      <c r="K29" s="11"/>
      <c r="L29" s="10" t="s">
        <v>2073</v>
      </c>
      <c r="M29" s="11"/>
      <c r="N29" s="10" t="s">
        <v>2074</v>
      </c>
      <c r="O29" s="11"/>
      <c r="P29" s="11"/>
      <c r="Q29" s="10" t="s">
        <v>75</v>
      </c>
      <c r="R29" s="11"/>
      <c r="S29" s="10" t="s">
        <v>2059</v>
      </c>
      <c r="T29" s="10" t="s">
        <v>2060</v>
      </c>
      <c r="U29" s="10" t="s">
        <v>2061</v>
      </c>
      <c r="V29" s="11"/>
      <c r="W29" s="10" t="s">
        <v>2062</v>
      </c>
      <c r="X29" s="10" t="s">
        <v>80</v>
      </c>
      <c r="Y29" s="10" t="s">
        <v>80</v>
      </c>
      <c r="Z29" s="10" t="s">
        <v>2085</v>
      </c>
      <c r="AA29" s="10" t="s">
        <v>2086</v>
      </c>
      <c r="AB29" s="11"/>
      <c r="AC29" s="11"/>
      <c r="AD29" s="11"/>
      <c r="AE29" s="11"/>
      <c r="AF29" s="12">
        <v>6500</v>
      </c>
      <c r="AG29" s="11"/>
      <c r="AH29" s="11"/>
      <c r="AI29" s="11"/>
      <c r="AJ29" s="11"/>
      <c r="AK29" s="10" t="s">
        <v>2087</v>
      </c>
      <c r="AL29" s="11"/>
      <c r="AM29" s="11"/>
      <c r="AN29" s="11"/>
      <c r="AO29" s="11"/>
      <c r="AP29" s="11"/>
      <c r="AQ29" s="11"/>
      <c r="AR29" s="10" t="s">
        <v>2088</v>
      </c>
      <c r="AS29" s="10" t="s">
        <v>66</v>
      </c>
      <c r="AT29" s="10" t="s">
        <v>53</v>
      </c>
    </row>
    <row r="30" spans="1:46" x14ac:dyDescent="0.15">
      <c r="A30" s="8" t="s">
        <v>2089</v>
      </c>
      <c r="B30" s="9" t="s">
        <v>2090</v>
      </c>
      <c r="C30" s="10" t="s">
        <v>2091</v>
      </c>
      <c r="D30" s="10" t="s">
        <v>2092</v>
      </c>
      <c r="E30" s="10" t="s">
        <v>51</v>
      </c>
      <c r="F30" s="10" t="s">
        <v>2057</v>
      </c>
      <c r="G30" s="11"/>
      <c r="H30" s="10" t="s">
        <v>2093</v>
      </c>
      <c r="I30" s="10" t="s">
        <v>53</v>
      </c>
      <c r="J30" s="10" t="s">
        <v>54</v>
      </c>
      <c r="K30" s="11"/>
      <c r="L30" s="10" t="s">
        <v>2073</v>
      </c>
      <c r="M30" s="11"/>
      <c r="N30" s="10" t="s">
        <v>2074</v>
      </c>
      <c r="O30" s="11"/>
      <c r="P30" s="11"/>
      <c r="Q30" s="10" t="s">
        <v>75</v>
      </c>
      <c r="R30" s="11"/>
      <c r="S30" s="10" t="s">
        <v>2059</v>
      </c>
      <c r="T30" s="10" t="s">
        <v>2060</v>
      </c>
      <c r="U30" s="10" t="s">
        <v>2061</v>
      </c>
      <c r="V30" s="11"/>
      <c r="W30" s="10" t="s">
        <v>2062</v>
      </c>
      <c r="X30" s="10" t="s">
        <v>80</v>
      </c>
      <c r="Y30" s="10" t="s">
        <v>80</v>
      </c>
      <c r="Z30" s="10" t="s">
        <v>2094</v>
      </c>
      <c r="AA30" s="10" t="s">
        <v>2095</v>
      </c>
      <c r="AB30" s="11"/>
      <c r="AC30" s="11"/>
      <c r="AD30" s="11"/>
      <c r="AE30" s="11"/>
      <c r="AF30" s="12">
        <v>2600</v>
      </c>
      <c r="AG30" s="11"/>
      <c r="AH30" s="11"/>
      <c r="AI30" s="11"/>
      <c r="AJ30" s="11"/>
      <c r="AK30" s="10" t="s">
        <v>2087</v>
      </c>
      <c r="AL30" s="11"/>
      <c r="AM30" s="11"/>
      <c r="AN30" s="11"/>
      <c r="AO30" s="11"/>
      <c r="AP30" s="11"/>
      <c r="AQ30" s="11"/>
      <c r="AR30" s="10" t="s">
        <v>2088</v>
      </c>
      <c r="AS30" s="10" t="s">
        <v>66</v>
      </c>
      <c r="AT30" s="10" t="s">
        <v>53</v>
      </c>
    </row>
    <row r="31" spans="1:46" x14ac:dyDescent="0.15">
      <c r="A31" s="8" t="s">
        <v>2137</v>
      </c>
      <c r="B31" s="9" t="s">
        <v>2138</v>
      </c>
      <c r="C31" s="10" t="s">
        <v>2139</v>
      </c>
      <c r="D31" s="10" t="s">
        <v>2140</v>
      </c>
      <c r="E31" s="10" t="s">
        <v>51</v>
      </c>
      <c r="F31" s="10" t="s">
        <v>2141</v>
      </c>
      <c r="G31" s="11"/>
      <c r="H31" s="10" t="s">
        <v>1683</v>
      </c>
      <c r="I31" s="10" t="s">
        <v>53</v>
      </c>
      <c r="J31" s="10" t="s">
        <v>54</v>
      </c>
      <c r="K31" s="11"/>
      <c r="L31" s="10" t="s">
        <v>2142</v>
      </c>
      <c r="M31" s="11"/>
      <c r="N31" s="10" t="s">
        <v>2143</v>
      </c>
      <c r="O31" s="11"/>
      <c r="P31" s="11"/>
      <c r="Q31" s="10" t="s">
        <v>75</v>
      </c>
      <c r="R31" s="11"/>
      <c r="S31" s="10" t="s">
        <v>2144</v>
      </c>
      <c r="T31" s="10" t="s">
        <v>2145</v>
      </c>
      <c r="U31" s="10" t="s">
        <v>2146</v>
      </c>
      <c r="V31" s="11"/>
      <c r="W31" s="10" t="s">
        <v>2147</v>
      </c>
      <c r="X31" s="10" t="s">
        <v>80</v>
      </c>
      <c r="Y31" s="10" t="s">
        <v>80</v>
      </c>
      <c r="Z31" s="10" t="s">
        <v>2148</v>
      </c>
      <c r="AA31" s="10" t="s">
        <v>2149</v>
      </c>
      <c r="AB31" s="11"/>
      <c r="AC31" s="11"/>
      <c r="AD31" s="11"/>
      <c r="AE31" s="11"/>
      <c r="AF31" s="12">
        <v>19152</v>
      </c>
      <c r="AG31" s="11"/>
      <c r="AH31" s="10" t="s">
        <v>156</v>
      </c>
      <c r="AI31" s="11"/>
      <c r="AJ31" s="11"/>
      <c r="AK31" s="11"/>
      <c r="AL31" s="11"/>
      <c r="AM31" s="11"/>
      <c r="AN31" s="11"/>
      <c r="AO31" s="11"/>
      <c r="AP31" s="11"/>
      <c r="AQ31" s="11"/>
      <c r="AR31" s="10" t="s">
        <v>2150</v>
      </c>
      <c r="AS31" s="10" t="s">
        <v>66</v>
      </c>
      <c r="AT31" s="10" t="s">
        <v>53</v>
      </c>
    </row>
    <row r="32" spans="1:46" x14ac:dyDescent="0.15">
      <c r="A32" s="8" t="s">
        <v>2328</v>
      </c>
      <c r="B32" s="9" t="s">
        <v>2329</v>
      </c>
      <c r="C32" s="10" t="s">
        <v>2330</v>
      </c>
      <c r="D32" s="10" t="s">
        <v>2331</v>
      </c>
      <c r="E32" s="10" t="s">
        <v>51</v>
      </c>
      <c r="F32" s="15" t="s">
        <v>2163</v>
      </c>
      <c r="G32" s="11"/>
      <c r="H32" s="10" t="s">
        <v>2332</v>
      </c>
      <c r="I32" s="10" t="s">
        <v>53</v>
      </c>
      <c r="J32" s="10" t="s">
        <v>54</v>
      </c>
      <c r="K32" s="11"/>
      <c r="L32" s="10" t="s">
        <v>2333</v>
      </c>
      <c r="M32" s="11"/>
      <c r="N32" s="10" t="s">
        <v>2334</v>
      </c>
      <c r="O32" s="11"/>
      <c r="P32" s="11"/>
      <c r="Q32" s="10" t="s">
        <v>75</v>
      </c>
      <c r="R32" s="11"/>
      <c r="S32" s="10" t="s">
        <v>2309</v>
      </c>
      <c r="T32" s="10" t="s">
        <v>2310</v>
      </c>
      <c r="U32" s="10" t="s">
        <v>2311</v>
      </c>
      <c r="V32" s="11"/>
      <c r="W32" s="10" t="s">
        <v>2312</v>
      </c>
      <c r="X32" s="10" t="s">
        <v>80</v>
      </c>
      <c r="Y32" s="10" t="s">
        <v>80</v>
      </c>
      <c r="Z32" s="10" t="s">
        <v>2335</v>
      </c>
      <c r="AA32" s="10" t="s">
        <v>2336</v>
      </c>
      <c r="AB32" s="11"/>
      <c r="AC32" s="11"/>
      <c r="AD32" s="11"/>
      <c r="AE32" s="11"/>
      <c r="AF32" s="12">
        <v>140000</v>
      </c>
      <c r="AG32" s="11"/>
      <c r="AH32" s="10" t="s">
        <v>2337</v>
      </c>
      <c r="AI32" s="11"/>
      <c r="AJ32" s="10" t="s">
        <v>2338</v>
      </c>
      <c r="AK32" s="10" t="s">
        <v>2339</v>
      </c>
      <c r="AL32" s="11"/>
      <c r="AM32" s="11"/>
      <c r="AN32" s="11"/>
      <c r="AO32" s="11"/>
      <c r="AP32" s="11"/>
      <c r="AQ32" s="11"/>
      <c r="AR32" s="10" t="s">
        <v>2340</v>
      </c>
      <c r="AS32" s="10" t="s">
        <v>66</v>
      </c>
      <c r="AT32" s="10" t="s">
        <v>53</v>
      </c>
    </row>
    <row r="33" spans="1:46" x14ac:dyDescent="0.15">
      <c r="A33" s="8" t="s">
        <v>2353</v>
      </c>
      <c r="B33" s="9" t="s">
        <v>2354</v>
      </c>
      <c r="C33" s="10" t="s">
        <v>2355</v>
      </c>
      <c r="D33" s="10" t="s">
        <v>2356</v>
      </c>
      <c r="E33" s="10" t="s">
        <v>51</v>
      </c>
      <c r="F33" s="10" t="s">
        <v>2163</v>
      </c>
      <c r="G33" s="11"/>
      <c r="H33" s="10" t="s">
        <v>2357</v>
      </c>
      <c r="I33" s="10" t="s">
        <v>53</v>
      </c>
      <c r="J33" s="10" t="s">
        <v>54</v>
      </c>
      <c r="K33" s="11"/>
      <c r="L33" s="10" t="s">
        <v>2346</v>
      </c>
      <c r="M33" s="11"/>
      <c r="N33" s="10" t="s">
        <v>2358</v>
      </c>
      <c r="O33" s="11"/>
      <c r="P33" s="11"/>
      <c r="Q33" s="10" t="s">
        <v>75</v>
      </c>
      <c r="R33" s="11"/>
      <c r="S33" s="10" t="s">
        <v>2309</v>
      </c>
      <c r="T33" s="10" t="s">
        <v>2310</v>
      </c>
      <c r="U33" s="10" t="s">
        <v>2311</v>
      </c>
      <c r="V33" s="11"/>
      <c r="W33" s="10" t="s">
        <v>2359</v>
      </c>
      <c r="X33" s="10" t="s">
        <v>80</v>
      </c>
      <c r="Y33" s="10" t="s">
        <v>80</v>
      </c>
      <c r="Z33" s="10" t="s">
        <v>2360</v>
      </c>
      <c r="AA33" s="10" t="s">
        <v>2361</v>
      </c>
      <c r="AB33" s="11"/>
      <c r="AC33" s="11"/>
      <c r="AD33" s="11"/>
      <c r="AE33" s="11"/>
      <c r="AF33" s="12">
        <v>20000</v>
      </c>
      <c r="AG33" s="11"/>
      <c r="AH33" s="11"/>
      <c r="AI33" s="11"/>
      <c r="AJ33" s="11"/>
      <c r="AK33" s="10" t="s">
        <v>2362</v>
      </c>
      <c r="AL33" s="11"/>
      <c r="AM33" s="11"/>
      <c r="AN33" s="11"/>
      <c r="AO33" s="11"/>
      <c r="AP33" s="11"/>
      <c r="AQ33" s="11"/>
      <c r="AR33" s="10" t="s">
        <v>2363</v>
      </c>
      <c r="AS33" s="10" t="s">
        <v>66</v>
      </c>
      <c r="AT33" s="10" t="s">
        <v>53</v>
      </c>
    </row>
    <row r="34" spans="1:46" x14ac:dyDescent="0.15">
      <c r="A34" s="8" t="s">
        <v>2364</v>
      </c>
      <c r="B34" s="9" t="s">
        <v>2365</v>
      </c>
      <c r="C34" s="10" t="s">
        <v>2366</v>
      </c>
      <c r="D34" s="10" t="s">
        <v>2367</v>
      </c>
      <c r="E34" s="10" t="s">
        <v>51</v>
      </c>
      <c r="F34" s="10" t="s">
        <v>2163</v>
      </c>
      <c r="G34" s="11"/>
      <c r="H34" s="10" t="s">
        <v>2368</v>
      </c>
      <c r="I34" s="10" t="s">
        <v>53</v>
      </c>
      <c r="J34" s="10" t="s">
        <v>54</v>
      </c>
      <c r="K34" s="11"/>
      <c r="L34" s="10" t="s">
        <v>2333</v>
      </c>
      <c r="M34" s="11"/>
      <c r="N34" s="10" t="s">
        <v>2369</v>
      </c>
      <c r="O34" s="11"/>
      <c r="P34" s="11"/>
      <c r="Q34" s="10" t="s">
        <v>75</v>
      </c>
      <c r="R34" s="11"/>
      <c r="S34" s="10" t="s">
        <v>2309</v>
      </c>
      <c r="T34" s="10" t="s">
        <v>2310</v>
      </c>
      <c r="U34" s="10" t="s">
        <v>2311</v>
      </c>
      <c r="V34" s="11"/>
      <c r="W34" s="10" t="s">
        <v>2312</v>
      </c>
      <c r="X34" s="10" t="s">
        <v>80</v>
      </c>
      <c r="Y34" s="10" t="s">
        <v>80</v>
      </c>
      <c r="Z34" s="10" t="s">
        <v>2370</v>
      </c>
      <c r="AA34" s="10" t="s">
        <v>2371</v>
      </c>
      <c r="AB34" s="11"/>
      <c r="AC34" s="11"/>
      <c r="AD34" s="11"/>
      <c r="AE34" s="11"/>
      <c r="AF34" s="12">
        <v>30000</v>
      </c>
      <c r="AG34" s="11"/>
      <c r="AH34" s="11"/>
      <c r="AI34" s="11"/>
      <c r="AJ34" s="10" t="s">
        <v>2372</v>
      </c>
      <c r="AK34" s="10" t="s">
        <v>2373</v>
      </c>
      <c r="AL34" s="11"/>
      <c r="AM34" s="11"/>
      <c r="AN34" s="11"/>
      <c r="AO34" s="11"/>
      <c r="AP34" s="11"/>
      <c r="AQ34" s="11"/>
      <c r="AR34" s="10" t="s">
        <v>2340</v>
      </c>
      <c r="AS34" s="10" t="s">
        <v>66</v>
      </c>
      <c r="AT34" s="10" t="s">
        <v>53</v>
      </c>
    </row>
    <row r="35" spans="1:46" x14ac:dyDescent="0.15">
      <c r="A35" s="8" t="s">
        <v>2374</v>
      </c>
      <c r="B35" s="9" t="s">
        <v>2375</v>
      </c>
      <c r="C35" s="10" t="s">
        <v>2376</v>
      </c>
      <c r="D35" s="10" t="s">
        <v>2377</v>
      </c>
      <c r="E35" s="10" t="s">
        <v>51</v>
      </c>
      <c r="F35" s="10" t="s">
        <v>2163</v>
      </c>
      <c r="G35" s="11"/>
      <c r="H35" s="10" t="s">
        <v>2378</v>
      </c>
      <c r="I35" s="10" t="s">
        <v>53</v>
      </c>
      <c r="J35" s="10" t="s">
        <v>54</v>
      </c>
      <c r="K35" s="11"/>
      <c r="L35" s="10" t="s">
        <v>2346</v>
      </c>
      <c r="M35" s="11"/>
      <c r="N35" s="10" t="s">
        <v>2347</v>
      </c>
      <c r="O35" s="11"/>
      <c r="P35" s="11"/>
      <c r="Q35" s="10" t="s">
        <v>75</v>
      </c>
      <c r="R35" s="11"/>
      <c r="S35" s="10" t="s">
        <v>2309</v>
      </c>
      <c r="T35" s="10" t="s">
        <v>2310</v>
      </c>
      <c r="U35" s="10" t="s">
        <v>2311</v>
      </c>
      <c r="V35" s="11"/>
      <c r="W35" s="10" t="s">
        <v>2312</v>
      </c>
      <c r="X35" s="10" t="s">
        <v>80</v>
      </c>
      <c r="Y35" s="10" t="s">
        <v>80</v>
      </c>
      <c r="Z35" s="10" t="s">
        <v>2379</v>
      </c>
      <c r="AA35" s="10" t="s">
        <v>2380</v>
      </c>
      <c r="AB35" s="11"/>
      <c r="AC35" s="11"/>
      <c r="AD35" s="11"/>
      <c r="AE35" s="11"/>
      <c r="AF35" s="12">
        <v>30000</v>
      </c>
      <c r="AG35" s="11"/>
      <c r="AH35" s="11"/>
      <c r="AI35" s="11"/>
      <c r="AJ35" s="10" t="s">
        <v>2381</v>
      </c>
      <c r="AK35" s="10" t="s">
        <v>2382</v>
      </c>
      <c r="AL35" s="11"/>
      <c r="AM35" s="11"/>
      <c r="AN35" s="11"/>
      <c r="AO35" s="11"/>
      <c r="AP35" s="11"/>
      <c r="AQ35" s="11"/>
      <c r="AR35" s="10" t="s">
        <v>2352</v>
      </c>
      <c r="AS35" s="10" t="s">
        <v>66</v>
      </c>
      <c r="AT35" s="10" t="s">
        <v>53</v>
      </c>
    </row>
    <row r="36" spans="1:46" x14ac:dyDescent="0.15">
      <c r="A36" s="8" t="s">
        <v>2383</v>
      </c>
      <c r="B36" s="9" t="s">
        <v>2384</v>
      </c>
      <c r="C36" s="10" t="s">
        <v>2385</v>
      </c>
      <c r="D36" s="10" t="s">
        <v>2386</v>
      </c>
      <c r="E36" s="10" t="s">
        <v>51</v>
      </c>
      <c r="F36" s="10" t="s">
        <v>2163</v>
      </c>
      <c r="G36" s="11"/>
      <c r="H36" s="10" t="s">
        <v>561</v>
      </c>
      <c r="I36" s="10" t="s">
        <v>53</v>
      </c>
      <c r="J36" s="10" t="s">
        <v>54</v>
      </c>
      <c r="K36" s="11"/>
      <c r="L36" s="10" t="s">
        <v>2333</v>
      </c>
      <c r="M36" s="11"/>
      <c r="N36" s="10" t="s">
        <v>2387</v>
      </c>
      <c r="O36" s="11"/>
      <c r="P36" s="11"/>
      <c r="Q36" s="10" t="s">
        <v>75</v>
      </c>
      <c r="R36" s="11"/>
      <c r="S36" s="10" t="s">
        <v>2309</v>
      </c>
      <c r="T36" s="10" t="s">
        <v>2310</v>
      </c>
      <c r="U36" s="10" t="s">
        <v>2311</v>
      </c>
      <c r="V36" s="11"/>
      <c r="W36" s="10" t="s">
        <v>2312</v>
      </c>
      <c r="X36" s="10" t="s">
        <v>80</v>
      </c>
      <c r="Y36" s="10" t="s">
        <v>80</v>
      </c>
      <c r="Z36" s="10" t="s">
        <v>2388</v>
      </c>
      <c r="AA36" s="10" t="s">
        <v>2389</v>
      </c>
      <c r="AB36" s="11"/>
      <c r="AC36" s="11"/>
      <c r="AD36" s="11"/>
      <c r="AE36" s="11"/>
      <c r="AF36" s="12">
        <v>500</v>
      </c>
      <c r="AG36" s="11"/>
      <c r="AH36" s="11"/>
      <c r="AI36" s="11"/>
      <c r="AJ36" s="10" t="s">
        <v>2390</v>
      </c>
      <c r="AK36" s="10" t="s">
        <v>2391</v>
      </c>
      <c r="AL36" s="11"/>
      <c r="AM36" s="11"/>
      <c r="AN36" s="11"/>
      <c r="AO36" s="11"/>
      <c r="AP36" s="11"/>
      <c r="AQ36" s="11"/>
      <c r="AR36" s="10" t="s">
        <v>2392</v>
      </c>
      <c r="AS36" s="10" t="s">
        <v>66</v>
      </c>
      <c r="AT36" s="10" t="s">
        <v>53</v>
      </c>
    </row>
    <row r="37" spans="1:46" x14ac:dyDescent="0.15">
      <c r="A37" s="8" t="s">
        <v>2601</v>
      </c>
      <c r="B37" s="9" t="s">
        <v>2602</v>
      </c>
      <c r="C37" s="10" t="s">
        <v>1139</v>
      </c>
      <c r="D37" s="10" t="s">
        <v>2603</v>
      </c>
      <c r="E37" s="10" t="s">
        <v>51</v>
      </c>
      <c r="F37" s="15" t="s">
        <v>2501</v>
      </c>
      <c r="G37" s="11"/>
      <c r="H37" s="10" t="s">
        <v>1683</v>
      </c>
      <c r="I37" s="10" t="s">
        <v>53</v>
      </c>
      <c r="J37" s="10" t="s">
        <v>54</v>
      </c>
      <c r="K37" s="11"/>
      <c r="L37" s="10" t="s">
        <v>2502</v>
      </c>
      <c r="M37" s="11"/>
      <c r="N37" s="11"/>
      <c r="O37" s="11"/>
      <c r="P37" s="11"/>
      <c r="Q37" s="10" t="s">
        <v>75</v>
      </c>
      <c r="R37" s="11"/>
      <c r="S37" s="10" t="s">
        <v>2503</v>
      </c>
      <c r="T37" s="10" t="s">
        <v>2504</v>
      </c>
      <c r="U37" s="10" t="s">
        <v>2505</v>
      </c>
      <c r="V37" s="11"/>
      <c r="W37" s="10" t="s">
        <v>2506</v>
      </c>
      <c r="X37" s="10" t="s">
        <v>80</v>
      </c>
      <c r="Y37" s="10" t="s">
        <v>80</v>
      </c>
      <c r="Z37" s="10" t="s">
        <v>2604</v>
      </c>
      <c r="AA37" s="10" t="s">
        <v>2605</v>
      </c>
      <c r="AB37" s="11"/>
      <c r="AC37" s="11"/>
      <c r="AD37" s="11"/>
      <c r="AE37" s="11"/>
      <c r="AF37" s="12">
        <v>10000</v>
      </c>
      <c r="AG37" s="11"/>
      <c r="AH37" s="11"/>
      <c r="AI37" s="11"/>
      <c r="AJ37" s="11"/>
      <c r="AK37" s="11"/>
      <c r="AL37" s="11"/>
      <c r="AM37" s="11"/>
      <c r="AN37" s="11"/>
      <c r="AO37" s="11"/>
      <c r="AP37" s="11"/>
      <c r="AQ37" s="11"/>
      <c r="AR37" s="10" t="s">
        <v>2606</v>
      </c>
      <c r="AS37" s="10" t="s">
        <v>66</v>
      </c>
      <c r="AT37" s="10" t="s">
        <v>53</v>
      </c>
    </row>
    <row r="38" spans="1:46" x14ac:dyDescent="0.15">
      <c r="A38" s="8" t="s">
        <v>3037</v>
      </c>
      <c r="B38" s="9" t="s">
        <v>3038</v>
      </c>
      <c r="C38" s="10" t="s">
        <v>3039</v>
      </c>
      <c r="D38" s="10" t="s">
        <v>3040</v>
      </c>
      <c r="E38" s="10" t="s">
        <v>51</v>
      </c>
      <c r="F38" s="15" t="s">
        <v>52</v>
      </c>
      <c r="G38" s="11"/>
      <c r="H38" s="10" t="s">
        <v>1683</v>
      </c>
      <c r="I38" s="10" t="s">
        <v>53</v>
      </c>
      <c r="J38" s="10" t="s">
        <v>54</v>
      </c>
      <c r="K38" s="11"/>
      <c r="L38" s="10" t="s">
        <v>2855</v>
      </c>
      <c r="M38" s="11"/>
      <c r="N38" s="11"/>
      <c r="O38" s="11"/>
      <c r="P38" s="11"/>
      <c r="Q38" s="10" t="s">
        <v>75</v>
      </c>
      <c r="R38" s="11"/>
      <c r="S38" s="10" t="s">
        <v>2618</v>
      </c>
      <c r="T38" s="10" t="s">
        <v>2619</v>
      </c>
      <c r="U38" s="10" t="s">
        <v>2620</v>
      </c>
      <c r="V38" s="11"/>
      <c r="W38" s="10" t="s">
        <v>2621</v>
      </c>
      <c r="X38" s="10" t="s">
        <v>80</v>
      </c>
      <c r="Y38" s="10" t="s">
        <v>80</v>
      </c>
      <c r="Z38" s="10" t="s">
        <v>3041</v>
      </c>
      <c r="AA38" s="10" t="s">
        <v>3042</v>
      </c>
      <c r="AB38" s="11"/>
      <c r="AC38" s="11"/>
      <c r="AD38" s="11"/>
      <c r="AE38" s="11"/>
      <c r="AF38" s="12">
        <v>99</v>
      </c>
      <c r="AG38" s="11"/>
      <c r="AH38" s="11"/>
      <c r="AI38" s="11"/>
      <c r="AJ38" s="10" t="s">
        <v>3043</v>
      </c>
      <c r="AK38" s="10" t="s">
        <v>3044</v>
      </c>
      <c r="AL38" s="11"/>
      <c r="AM38" s="11"/>
      <c r="AN38" s="11"/>
      <c r="AO38" s="11"/>
      <c r="AP38" s="11"/>
      <c r="AQ38" s="11"/>
      <c r="AR38" s="10" t="s">
        <v>3045</v>
      </c>
      <c r="AS38" s="10" t="s">
        <v>66</v>
      </c>
      <c r="AT38" s="10" t="s">
        <v>53</v>
      </c>
    </row>
    <row r="39" spans="1:46" x14ac:dyDescent="0.15">
      <c r="A39" s="8" t="s">
        <v>3046</v>
      </c>
      <c r="B39" s="9" t="s">
        <v>3047</v>
      </c>
      <c r="C39" s="10" t="s">
        <v>3048</v>
      </c>
      <c r="D39" s="10" t="s">
        <v>3049</v>
      </c>
      <c r="E39" s="10" t="s">
        <v>51</v>
      </c>
      <c r="F39" s="10" t="s">
        <v>52</v>
      </c>
      <c r="G39" s="11"/>
      <c r="H39" s="10" t="s">
        <v>1683</v>
      </c>
      <c r="I39" s="10" t="s">
        <v>53</v>
      </c>
      <c r="J39" s="10" t="s">
        <v>54</v>
      </c>
      <c r="K39" s="11"/>
      <c r="L39" s="10" t="s">
        <v>2855</v>
      </c>
      <c r="M39" s="11"/>
      <c r="N39" s="11"/>
      <c r="O39" s="11"/>
      <c r="P39" s="11"/>
      <c r="Q39" s="10" t="s">
        <v>75</v>
      </c>
      <c r="R39" s="11"/>
      <c r="S39" s="10" t="s">
        <v>2618</v>
      </c>
      <c r="T39" s="10" t="s">
        <v>2619</v>
      </c>
      <c r="U39" s="10" t="s">
        <v>2620</v>
      </c>
      <c r="V39" s="11"/>
      <c r="W39" s="10" t="s">
        <v>2621</v>
      </c>
      <c r="X39" s="10" t="s">
        <v>80</v>
      </c>
      <c r="Y39" s="10" t="s">
        <v>80</v>
      </c>
      <c r="Z39" s="10" t="s">
        <v>3050</v>
      </c>
      <c r="AA39" s="10" t="s">
        <v>3051</v>
      </c>
      <c r="AB39" s="11"/>
      <c r="AC39" s="11"/>
      <c r="AD39" s="11"/>
      <c r="AE39" s="11"/>
      <c r="AF39" s="12">
        <v>7362</v>
      </c>
      <c r="AG39" s="11"/>
      <c r="AH39" s="11"/>
      <c r="AI39" s="11"/>
      <c r="AJ39" s="10" t="s">
        <v>3052</v>
      </c>
      <c r="AK39" s="11"/>
      <c r="AL39" s="11"/>
      <c r="AM39" s="11"/>
      <c r="AN39" s="11"/>
      <c r="AO39" s="11"/>
      <c r="AP39" s="11"/>
      <c r="AQ39" s="11"/>
      <c r="AR39" s="10" t="s">
        <v>3053</v>
      </c>
      <c r="AS39" s="10" t="s">
        <v>66</v>
      </c>
      <c r="AT39" s="10" t="s">
        <v>53</v>
      </c>
    </row>
    <row r="40" spans="1:46" x14ac:dyDescent="0.15">
      <c r="A40" s="8" t="s">
        <v>3054</v>
      </c>
      <c r="B40" s="9" t="s">
        <v>3055</v>
      </c>
      <c r="C40" s="10" t="s">
        <v>3056</v>
      </c>
      <c r="D40" s="10" t="s">
        <v>3057</v>
      </c>
      <c r="E40" s="10" t="s">
        <v>51</v>
      </c>
      <c r="F40" s="10" t="s">
        <v>52</v>
      </c>
      <c r="G40" s="11"/>
      <c r="H40" s="10" t="s">
        <v>561</v>
      </c>
      <c r="I40" s="10" t="s">
        <v>53</v>
      </c>
      <c r="J40" s="10" t="s">
        <v>54</v>
      </c>
      <c r="K40" s="11"/>
      <c r="L40" s="10" t="s">
        <v>2855</v>
      </c>
      <c r="M40" s="11"/>
      <c r="N40" s="11"/>
      <c r="O40" s="11"/>
      <c r="P40" s="11"/>
      <c r="Q40" s="10" t="s">
        <v>75</v>
      </c>
      <c r="R40" s="11"/>
      <c r="S40" s="10" t="s">
        <v>2618</v>
      </c>
      <c r="T40" s="10" t="s">
        <v>2619</v>
      </c>
      <c r="U40" s="10" t="s">
        <v>2620</v>
      </c>
      <c r="V40" s="11"/>
      <c r="W40" s="10" t="s">
        <v>2621</v>
      </c>
      <c r="X40" s="10" t="s">
        <v>80</v>
      </c>
      <c r="Y40" s="10" t="s">
        <v>80</v>
      </c>
      <c r="Z40" s="10" t="s">
        <v>3058</v>
      </c>
      <c r="AA40" s="10" t="s">
        <v>3059</v>
      </c>
      <c r="AB40" s="11"/>
      <c r="AC40" s="11"/>
      <c r="AD40" s="11"/>
      <c r="AE40" s="11"/>
      <c r="AF40" s="12">
        <v>108</v>
      </c>
      <c r="AG40" s="11"/>
      <c r="AH40" s="11"/>
      <c r="AI40" s="11"/>
      <c r="AJ40" s="11"/>
      <c r="AK40" s="10" t="s">
        <v>3060</v>
      </c>
      <c r="AL40" s="11"/>
      <c r="AM40" s="11"/>
      <c r="AN40" s="11"/>
      <c r="AO40" s="11"/>
      <c r="AP40" s="11"/>
      <c r="AQ40" s="11"/>
      <c r="AR40" s="10" t="s">
        <v>3061</v>
      </c>
      <c r="AS40" s="10" t="s">
        <v>66</v>
      </c>
      <c r="AT40" s="10" t="s">
        <v>53</v>
      </c>
    </row>
    <row r="41" spans="1:46" x14ac:dyDescent="0.15">
      <c r="A41" s="8" t="s">
        <v>3062</v>
      </c>
      <c r="B41" s="9" t="s">
        <v>3063</v>
      </c>
      <c r="C41" s="10" t="s">
        <v>3064</v>
      </c>
      <c r="D41" s="10" t="s">
        <v>3065</v>
      </c>
      <c r="E41" s="10" t="s">
        <v>51</v>
      </c>
      <c r="F41" s="10" t="s">
        <v>52</v>
      </c>
      <c r="G41" s="11"/>
      <c r="H41" s="10" t="s">
        <v>561</v>
      </c>
      <c r="I41" s="10" t="s">
        <v>53</v>
      </c>
      <c r="J41" s="10" t="s">
        <v>54</v>
      </c>
      <c r="K41" s="11"/>
      <c r="L41" s="10" t="s">
        <v>2855</v>
      </c>
      <c r="M41" s="11"/>
      <c r="N41" s="11"/>
      <c r="O41" s="11"/>
      <c r="P41" s="11"/>
      <c r="Q41" s="10" t="s">
        <v>75</v>
      </c>
      <c r="R41" s="11"/>
      <c r="S41" s="10" t="s">
        <v>2618</v>
      </c>
      <c r="T41" s="10" t="s">
        <v>2619</v>
      </c>
      <c r="U41" s="10" t="s">
        <v>2620</v>
      </c>
      <c r="V41" s="11"/>
      <c r="W41" s="10" t="s">
        <v>2621</v>
      </c>
      <c r="X41" s="10" t="s">
        <v>80</v>
      </c>
      <c r="Y41" s="10" t="s">
        <v>80</v>
      </c>
      <c r="Z41" s="10" t="s">
        <v>3066</v>
      </c>
      <c r="AA41" s="10" t="s">
        <v>3067</v>
      </c>
      <c r="AB41" s="11"/>
      <c r="AC41" s="11"/>
      <c r="AD41" s="11"/>
      <c r="AE41" s="11"/>
      <c r="AF41" s="12">
        <v>1107</v>
      </c>
      <c r="AG41" s="11"/>
      <c r="AH41" s="11"/>
      <c r="AI41" s="11"/>
      <c r="AJ41" s="11"/>
      <c r="AK41" s="11"/>
      <c r="AL41" s="11"/>
      <c r="AM41" s="11"/>
      <c r="AN41" s="11"/>
      <c r="AO41" s="11"/>
      <c r="AP41" s="11"/>
      <c r="AQ41" s="11"/>
      <c r="AR41" s="10" t="s">
        <v>3068</v>
      </c>
      <c r="AS41" s="10" t="s">
        <v>66</v>
      </c>
      <c r="AT41" s="10" t="s">
        <v>53</v>
      </c>
    </row>
    <row r="42" spans="1:46" x14ac:dyDescent="0.15">
      <c r="A42" s="8" t="s">
        <v>3069</v>
      </c>
      <c r="B42" s="9" t="s">
        <v>3070</v>
      </c>
      <c r="C42" s="10" t="s">
        <v>3071</v>
      </c>
      <c r="D42" s="10" t="s">
        <v>3072</v>
      </c>
      <c r="E42" s="10" t="s">
        <v>51</v>
      </c>
      <c r="F42" s="10" t="s">
        <v>52</v>
      </c>
      <c r="G42" s="11"/>
      <c r="H42" s="10" t="s">
        <v>1683</v>
      </c>
      <c r="I42" s="10" t="s">
        <v>53</v>
      </c>
      <c r="J42" s="10" t="s">
        <v>54</v>
      </c>
      <c r="K42" s="11"/>
      <c r="L42" s="10" t="s">
        <v>2855</v>
      </c>
      <c r="M42" s="11"/>
      <c r="N42" s="11"/>
      <c r="O42" s="11"/>
      <c r="P42" s="11"/>
      <c r="Q42" s="10" t="s">
        <v>75</v>
      </c>
      <c r="R42" s="11"/>
      <c r="S42" s="10" t="s">
        <v>2618</v>
      </c>
      <c r="T42" s="10" t="s">
        <v>2619</v>
      </c>
      <c r="U42" s="10" t="s">
        <v>2620</v>
      </c>
      <c r="V42" s="11"/>
      <c r="W42" s="10" t="s">
        <v>2621</v>
      </c>
      <c r="X42" s="10" t="s">
        <v>80</v>
      </c>
      <c r="Y42" s="10" t="s">
        <v>80</v>
      </c>
      <c r="Z42" s="10" t="s">
        <v>3073</v>
      </c>
      <c r="AA42" s="10" t="s">
        <v>3074</v>
      </c>
      <c r="AB42" s="11"/>
      <c r="AC42" s="11"/>
      <c r="AD42" s="11"/>
      <c r="AE42" s="11"/>
      <c r="AF42" s="12">
        <v>624</v>
      </c>
      <c r="AG42" s="11"/>
      <c r="AH42" s="11"/>
      <c r="AI42" s="11"/>
      <c r="AJ42" s="10" t="s">
        <v>3075</v>
      </c>
      <c r="AK42" s="10" t="s">
        <v>3076</v>
      </c>
      <c r="AL42" s="11"/>
      <c r="AM42" s="11"/>
      <c r="AN42" s="11"/>
      <c r="AO42" s="11"/>
      <c r="AP42" s="11"/>
      <c r="AQ42" s="11"/>
      <c r="AR42" s="10" t="s">
        <v>556</v>
      </c>
      <c r="AS42" s="10" t="s">
        <v>66</v>
      </c>
      <c r="AT42" s="10" t="s">
        <v>53</v>
      </c>
    </row>
    <row r="43" spans="1:46" x14ac:dyDescent="0.15">
      <c r="A43" s="8" t="s">
        <v>3077</v>
      </c>
      <c r="B43" s="9" t="s">
        <v>3078</v>
      </c>
      <c r="C43" s="10" t="s">
        <v>3079</v>
      </c>
      <c r="D43" s="10" t="s">
        <v>3080</v>
      </c>
      <c r="E43" s="10" t="s">
        <v>51</v>
      </c>
      <c r="F43" s="10" t="s">
        <v>52</v>
      </c>
      <c r="G43" s="11"/>
      <c r="H43" s="10" t="s">
        <v>1683</v>
      </c>
      <c r="I43" s="10" t="s">
        <v>53</v>
      </c>
      <c r="J43" s="10" t="s">
        <v>54</v>
      </c>
      <c r="K43" s="11"/>
      <c r="L43" s="10" t="s">
        <v>2855</v>
      </c>
      <c r="M43" s="11"/>
      <c r="N43" s="11"/>
      <c r="O43" s="11"/>
      <c r="P43" s="11"/>
      <c r="Q43" s="10" t="s">
        <v>75</v>
      </c>
      <c r="R43" s="11"/>
      <c r="S43" s="10" t="s">
        <v>2618</v>
      </c>
      <c r="T43" s="10" t="s">
        <v>2619</v>
      </c>
      <c r="U43" s="10" t="s">
        <v>2620</v>
      </c>
      <c r="V43" s="11"/>
      <c r="W43" s="10" t="s">
        <v>2621</v>
      </c>
      <c r="X43" s="10" t="s">
        <v>80</v>
      </c>
      <c r="Y43" s="10" t="s">
        <v>80</v>
      </c>
      <c r="Z43" s="10" t="s">
        <v>3081</v>
      </c>
      <c r="AA43" s="10" t="s">
        <v>3082</v>
      </c>
      <c r="AB43" s="11"/>
      <c r="AC43" s="11"/>
      <c r="AD43" s="11"/>
      <c r="AE43" s="11"/>
      <c r="AF43" s="12">
        <v>1628</v>
      </c>
      <c r="AG43" s="11"/>
      <c r="AH43" s="11"/>
      <c r="AI43" s="11"/>
      <c r="AJ43" s="10" t="s">
        <v>3083</v>
      </c>
      <c r="AK43" s="10" t="s">
        <v>3084</v>
      </c>
      <c r="AL43" s="11"/>
      <c r="AM43" s="11"/>
      <c r="AN43" s="11"/>
      <c r="AO43" s="11"/>
      <c r="AP43" s="11"/>
      <c r="AQ43" s="11"/>
      <c r="AR43" s="10" t="s">
        <v>3085</v>
      </c>
      <c r="AS43" s="10" t="s">
        <v>66</v>
      </c>
      <c r="AT43" s="10" t="s">
        <v>53</v>
      </c>
    </row>
    <row r="44" spans="1:46" x14ac:dyDescent="0.15">
      <c r="A44" s="8" t="s">
        <v>3086</v>
      </c>
      <c r="B44" s="9" t="s">
        <v>3087</v>
      </c>
      <c r="C44" s="10" t="s">
        <v>3088</v>
      </c>
      <c r="D44" s="10" t="s">
        <v>3089</v>
      </c>
      <c r="E44" s="10" t="s">
        <v>51</v>
      </c>
      <c r="F44" s="10" t="s">
        <v>52</v>
      </c>
      <c r="G44" s="11"/>
      <c r="H44" s="10" t="s">
        <v>1683</v>
      </c>
      <c r="I44" s="10" t="s">
        <v>53</v>
      </c>
      <c r="J44" s="10" t="s">
        <v>54</v>
      </c>
      <c r="K44" s="11"/>
      <c r="L44" s="10" t="s">
        <v>2855</v>
      </c>
      <c r="M44" s="11"/>
      <c r="N44" s="11"/>
      <c r="O44" s="11"/>
      <c r="P44" s="11"/>
      <c r="Q44" s="10" t="s">
        <v>75</v>
      </c>
      <c r="R44" s="11"/>
      <c r="S44" s="10" t="s">
        <v>2618</v>
      </c>
      <c r="T44" s="10" t="s">
        <v>2619</v>
      </c>
      <c r="U44" s="10" t="s">
        <v>2620</v>
      </c>
      <c r="V44" s="11"/>
      <c r="W44" s="10" t="s">
        <v>2621</v>
      </c>
      <c r="X44" s="10" t="s">
        <v>80</v>
      </c>
      <c r="Y44" s="10" t="s">
        <v>80</v>
      </c>
      <c r="Z44" s="10" t="s">
        <v>3090</v>
      </c>
      <c r="AA44" s="10" t="s">
        <v>3091</v>
      </c>
      <c r="AB44" s="11"/>
      <c r="AC44" s="11"/>
      <c r="AD44" s="11"/>
      <c r="AE44" s="11"/>
      <c r="AF44" s="12">
        <v>2957</v>
      </c>
      <c r="AG44" s="11"/>
      <c r="AH44" s="11"/>
      <c r="AI44" s="11"/>
      <c r="AJ44" s="11"/>
      <c r="AK44" s="10" t="s">
        <v>3092</v>
      </c>
      <c r="AL44" s="11"/>
      <c r="AM44" s="11"/>
      <c r="AN44" s="11"/>
      <c r="AO44" s="11"/>
      <c r="AP44" s="11"/>
      <c r="AQ44" s="11"/>
      <c r="AR44" s="10" t="s">
        <v>3093</v>
      </c>
      <c r="AS44" s="10" t="s">
        <v>66</v>
      </c>
      <c r="AT44" s="10" t="s">
        <v>53</v>
      </c>
    </row>
    <row r="45" spans="1:46" x14ac:dyDescent="0.15">
      <c r="A45" s="8" t="s">
        <v>3094</v>
      </c>
      <c r="B45" s="9" t="s">
        <v>3095</v>
      </c>
      <c r="C45" s="10" t="s">
        <v>3096</v>
      </c>
      <c r="D45" s="10" t="s">
        <v>3097</v>
      </c>
      <c r="E45" s="10" t="s">
        <v>51</v>
      </c>
      <c r="F45" s="10" t="s">
        <v>52</v>
      </c>
      <c r="G45" s="11"/>
      <c r="H45" s="10" t="s">
        <v>568</v>
      </c>
      <c r="I45" s="10" t="s">
        <v>53</v>
      </c>
      <c r="J45" s="10" t="s">
        <v>54</v>
      </c>
      <c r="K45" s="11"/>
      <c r="L45" s="10" t="s">
        <v>2855</v>
      </c>
      <c r="M45" s="11"/>
      <c r="N45" s="11"/>
      <c r="O45" s="11"/>
      <c r="P45" s="11"/>
      <c r="Q45" s="10" t="s">
        <v>75</v>
      </c>
      <c r="R45" s="11"/>
      <c r="S45" s="10" t="s">
        <v>2618</v>
      </c>
      <c r="T45" s="10" t="s">
        <v>2619</v>
      </c>
      <c r="U45" s="10" t="s">
        <v>2620</v>
      </c>
      <c r="V45" s="11"/>
      <c r="W45" s="10" t="s">
        <v>2621</v>
      </c>
      <c r="X45" s="10" t="s">
        <v>80</v>
      </c>
      <c r="Y45" s="10" t="s">
        <v>80</v>
      </c>
      <c r="Z45" s="10" t="s">
        <v>3098</v>
      </c>
      <c r="AA45" s="10" t="s">
        <v>3099</v>
      </c>
      <c r="AB45" s="11"/>
      <c r="AC45" s="11"/>
      <c r="AD45" s="11"/>
      <c r="AE45" s="11"/>
      <c r="AF45" s="12">
        <v>1421</v>
      </c>
      <c r="AG45" s="11"/>
      <c r="AH45" s="11"/>
      <c r="AI45" s="11"/>
      <c r="AJ45" s="11"/>
      <c r="AK45" s="10" t="s">
        <v>3100</v>
      </c>
      <c r="AL45" s="11"/>
      <c r="AM45" s="11"/>
      <c r="AN45" s="11"/>
      <c r="AO45" s="11"/>
      <c r="AP45" s="11"/>
      <c r="AQ45" s="11"/>
      <c r="AR45" s="10" t="s">
        <v>3101</v>
      </c>
      <c r="AS45" s="10" t="s">
        <v>66</v>
      </c>
      <c r="AT45" s="10" t="s">
        <v>53</v>
      </c>
    </row>
    <row r="46" spans="1:46" x14ac:dyDescent="0.15">
      <c r="A46" s="8" t="s">
        <v>3102</v>
      </c>
      <c r="B46" s="9" t="s">
        <v>3103</v>
      </c>
      <c r="C46" s="10" t="s">
        <v>3104</v>
      </c>
      <c r="D46" s="10" t="s">
        <v>3105</v>
      </c>
      <c r="E46" s="10" t="s">
        <v>51</v>
      </c>
      <c r="F46" s="10" t="s">
        <v>52</v>
      </c>
      <c r="G46" s="11"/>
      <c r="H46" s="10" t="s">
        <v>568</v>
      </c>
      <c r="I46" s="10" t="s">
        <v>53</v>
      </c>
      <c r="J46" s="10" t="s">
        <v>54</v>
      </c>
      <c r="K46" s="11"/>
      <c r="L46" s="10" t="s">
        <v>2855</v>
      </c>
      <c r="M46" s="11"/>
      <c r="N46" s="11"/>
      <c r="O46" s="11"/>
      <c r="P46" s="11"/>
      <c r="Q46" s="10" t="s">
        <v>75</v>
      </c>
      <c r="R46" s="11"/>
      <c r="S46" s="10" t="s">
        <v>2618</v>
      </c>
      <c r="T46" s="10" t="s">
        <v>2619</v>
      </c>
      <c r="U46" s="10" t="s">
        <v>2620</v>
      </c>
      <c r="V46" s="11"/>
      <c r="W46" s="10" t="s">
        <v>2621</v>
      </c>
      <c r="X46" s="10" t="s">
        <v>80</v>
      </c>
      <c r="Y46" s="10" t="s">
        <v>80</v>
      </c>
      <c r="Z46" s="10" t="s">
        <v>3106</v>
      </c>
      <c r="AA46" s="10" t="s">
        <v>3107</v>
      </c>
      <c r="AB46" s="11"/>
      <c r="AC46" s="11"/>
      <c r="AD46" s="11"/>
      <c r="AE46" s="11"/>
      <c r="AF46" s="12">
        <v>114</v>
      </c>
      <c r="AG46" s="11"/>
      <c r="AH46" s="11"/>
      <c r="AI46" s="11"/>
      <c r="AJ46" s="11"/>
      <c r="AK46" s="10" t="s">
        <v>3108</v>
      </c>
      <c r="AL46" s="11"/>
      <c r="AM46" s="11"/>
      <c r="AN46" s="11"/>
      <c r="AO46" s="11"/>
      <c r="AP46" s="11"/>
      <c r="AQ46" s="11"/>
      <c r="AR46" s="10" t="s">
        <v>556</v>
      </c>
      <c r="AS46" s="10" t="s">
        <v>66</v>
      </c>
      <c r="AT46" s="10" t="s">
        <v>53</v>
      </c>
    </row>
    <row r="47" spans="1:46" x14ac:dyDescent="0.15">
      <c r="A47" s="8" t="s">
        <v>3109</v>
      </c>
      <c r="B47" s="9" t="s">
        <v>3110</v>
      </c>
      <c r="C47" s="10" t="s">
        <v>3111</v>
      </c>
      <c r="D47" s="10" t="s">
        <v>3112</v>
      </c>
      <c r="E47" s="10" t="s">
        <v>51</v>
      </c>
      <c r="F47" s="10" t="s">
        <v>52</v>
      </c>
      <c r="G47" s="11"/>
      <c r="H47" s="10" t="s">
        <v>568</v>
      </c>
      <c r="I47" s="10" t="s">
        <v>53</v>
      </c>
      <c r="J47" s="10" t="s">
        <v>54</v>
      </c>
      <c r="K47" s="11"/>
      <c r="L47" s="10" t="s">
        <v>2855</v>
      </c>
      <c r="M47" s="11"/>
      <c r="N47" s="11"/>
      <c r="O47" s="11"/>
      <c r="P47" s="11"/>
      <c r="Q47" s="10" t="s">
        <v>75</v>
      </c>
      <c r="R47" s="11"/>
      <c r="S47" s="10" t="s">
        <v>2618</v>
      </c>
      <c r="T47" s="10" t="s">
        <v>2619</v>
      </c>
      <c r="U47" s="10" t="s">
        <v>2620</v>
      </c>
      <c r="V47" s="11"/>
      <c r="W47" s="10" t="s">
        <v>2621</v>
      </c>
      <c r="X47" s="10" t="s">
        <v>80</v>
      </c>
      <c r="Y47" s="10" t="s">
        <v>80</v>
      </c>
      <c r="Z47" s="10" t="s">
        <v>3113</v>
      </c>
      <c r="AA47" s="10" t="s">
        <v>3114</v>
      </c>
      <c r="AB47" s="11"/>
      <c r="AC47" s="11"/>
      <c r="AD47" s="11"/>
      <c r="AE47" s="11"/>
      <c r="AF47" s="12">
        <v>216</v>
      </c>
      <c r="AG47" s="11"/>
      <c r="AH47" s="11"/>
      <c r="AI47" s="11"/>
      <c r="AJ47" s="11"/>
      <c r="AK47" s="11"/>
      <c r="AL47" s="11"/>
      <c r="AM47" s="11"/>
      <c r="AN47" s="11"/>
      <c r="AO47" s="11"/>
      <c r="AP47" s="11"/>
      <c r="AQ47" s="11"/>
      <c r="AR47" s="10" t="s">
        <v>3115</v>
      </c>
      <c r="AS47" s="10" t="s">
        <v>66</v>
      </c>
      <c r="AT47" s="10" t="s">
        <v>53</v>
      </c>
    </row>
    <row r="48" spans="1:46" x14ac:dyDescent="0.15">
      <c r="A48" s="8" t="s">
        <v>3116</v>
      </c>
      <c r="B48" s="9" t="s">
        <v>3117</v>
      </c>
      <c r="C48" s="10" t="s">
        <v>3118</v>
      </c>
      <c r="D48" s="10" t="s">
        <v>3119</v>
      </c>
      <c r="E48" s="10" t="s">
        <v>51</v>
      </c>
      <c r="F48" s="10" t="s">
        <v>52</v>
      </c>
      <c r="G48" s="11"/>
      <c r="H48" s="10" t="s">
        <v>568</v>
      </c>
      <c r="I48" s="10" t="s">
        <v>53</v>
      </c>
      <c r="J48" s="10" t="s">
        <v>54</v>
      </c>
      <c r="K48" s="11"/>
      <c r="L48" s="10" t="s">
        <v>2855</v>
      </c>
      <c r="M48" s="11"/>
      <c r="N48" s="11"/>
      <c r="O48" s="11"/>
      <c r="P48" s="11"/>
      <c r="Q48" s="10" t="s">
        <v>75</v>
      </c>
      <c r="R48" s="11"/>
      <c r="S48" s="10" t="s">
        <v>2618</v>
      </c>
      <c r="T48" s="10" t="s">
        <v>2619</v>
      </c>
      <c r="U48" s="10" t="s">
        <v>2620</v>
      </c>
      <c r="V48" s="11"/>
      <c r="W48" s="10" t="s">
        <v>2621</v>
      </c>
      <c r="X48" s="10" t="s">
        <v>80</v>
      </c>
      <c r="Y48" s="10" t="s">
        <v>80</v>
      </c>
      <c r="Z48" s="10" t="s">
        <v>3120</v>
      </c>
      <c r="AA48" s="10" t="s">
        <v>3121</v>
      </c>
      <c r="AB48" s="11"/>
      <c r="AC48" s="11"/>
      <c r="AD48" s="11"/>
      <c r="AE48" s="11"/>
      <c r="AF48" s="12">
        <v>404</v>
      </c>
      <c r="AG48" s="11"/>
      <c r="AH48" s="11"/>
      <c r="AI48" s="11"/>
      <c r="AJ48" s="11"/>
      <c r="AK48" s="10" t="s">
        <v>3122</v>
      </c>
      <c r="AL48" s="11"/>
      <c r="AM48" s="11"/>
      <c r="AN48" s="11"/>
      <c r="AO48" s="11"/>
      <c r="AP48" s="11"/>
      <c r="AQ48" s="11"/>
      <c r="AR48" s="10" t="s">
        <v>556</v>
      </c>
      <c r="AS48" s="10" t="s">
        <v>66</v>
      </c>
      <c r="AT48" s="10" t="s">
        <v>53</v>
      </c>
    </row>
    <row r="49" spans="1:46" x14ac:dyDescent="0.15">
      <c r="A49" s="8" t="s">
        <v>3123</v>
      </c>
      <c r="B49" s="9" t="s">
        <v>3124</v>
      </c>
      <c r="C49" s="10" t="s">
        <v>1747</v>
      </c>
      <c r="D49" s="10" t="s">
        <v>3125</v>
      </c>
      <c r="E49" s="10" t="s">
        <v>51</v>
      </c>
      <c r="F49" s="10" t="s">
        <v>52</v>
      </c>
      <c r="G49" s="11"/>
      <c r="H49" s="10" t="s">
        <v>1749</v>
      </c>
      <c r="I49" s="10" t="s">
        <v>53</v>
      </c>
      <c r="J49" s="10" t="s">
        <v>54</v>
      </c>
      <c r="K49" s="11"/>
      <c r="L49" s="10" t="s">
        <v>2855</v>
      </c>
      <c r="M49" s="11"/>
      <c r="N49" s="11"/>
      <c r="O49" s="11"/>
      <c r="P49" s="11"/>
      <c r="Q49" s="10" t="s">
        <v>75</v>
      </c>
      <c r="R49" s="11"/>
      <c r="S49" s="10" t="s">
        <v>2618</v>
      </c>
      <c r="T49" s="10" t="s">
        <v>2619</v>
      </c>
      <c r="U49" s="10" t="s">
        <v>2620</v>
      </c>
      <c r="V49" s="11"/>
      <c r="W49" s="10" t="s">
        <v>2621</v>
      </c>
      <c r="X49" s="10" t="s">
        <v>80</v>
      </c>
      <c r="Y49" s="10" t="s">
        <v>80</v>
      </c>
      <c r="Z49" s="10" t="s">
        <v>3126</v>
      </c>
      <c r="AA49" s="10" t="s">
        <v>3127</v>
      </c>
      <c r="AB49" s="11"/>
      <c r="AC49" s="11"/>
      <c r="AD49" s="11"/>
      <c r="AE49" s="11"/>
      <c r="AF49" s="12">
        <v>107</v>
      </c>
      <c r="AG49" s="11"/>
      <c r="AH49" s="11"/>
      <c r="AI49" s="11"/>
      <c r="AJ49" s="11"/>
      <c r="AK49" s="11"/>
      <c r="AL49" s="11"/>
      <c r="AM49" s="11"/>
      <c r="AN49" s="11"/>
      <c r="AO49" s="11"/>
      <c r="AP49" s="11"/>
      <c r="AQ49" s="11"/>
      <c r="AR49" s="10" t="s">
        <v>3128</v>
      </c>
      <c r="AS49" s="10" t="s">
        <v>66</v>
      </c>
      <c r="AT49" s="10" t="s">
        <v>53</v>
      </c>
    </row>
    <row r="50" spans="1:46" x14ac:dyDescent="0.15">
      <c r="A50" s="8" t="s">
        <v>3285</v>
      </c>
      <c r="B50" s="9" t="s">
        <v>3286</v>
      </c>
      <c r="C50" s="10" t="s">
        <v>3287</v>
      </c>
      <c r="D50" s="10" t="s">
        <v>3288</v>
      </c>
      <c r="E50" s="10" t="s">
        <v>51</v>
      </c>
      <c r="F50" s="15" t="s">
        <v>3176</v>
      </c>
      <c r="G50" s="11"/>
      <c r="H50" s="10" t="s">
        <v>1683</v>
      </c>
      <c r="I50" s="10" t="s">
        <v>53</v>
      </c>
      <c r="J50" s="10" t="s">
        <v>54</v>
      </c>
      <c r="K50" s="11"/>
      <c r="L50" s="10" t="s">
        <v>3289</v>
      </c>
      <c r="M50" s="11"/>
      <c r="N50" s="11"/>
      <c r="O50" s="11"/>
      <c r="P50" s="11"/>
      <c r="Q50" s="10" t="s">
        <v>603</v>
      </c>
      <c r="R50" s="11"/>
      <c r="S50" s="10" t="s">
        <v>3253</v>
      </c>
      <c r="T50" s="10" t="s">
        <v>3254</v>
      </c>
      <c r="U50" s="10" t="s">
        <v>3255</v>
      </c>
      <c r="V50" s="11"/>
      <c r="W50" s="10" t="s">
        <v>3256</v>
      </c>
      <c r="X50" s="10" t="s">
        <v>80</v>
      </c>
      <c r="Y50" s="10" t="s">
        <v>80</v>
      </c>
      <c r="Z50" s="10" t="s">
        <v>3290</v>
      </c>
      <c r="AA50" s="10" t="s">
        <v>3291</v>
      </c>
      <c r="AB50" s="11"/>
      <c r="AC50" s="11"/>
      <c r="AD50" s="11"/>
      <c r="AE50" s="10" t="s">
        <v>3292</v>
      </c>
      <c r="AF50" s="12">
        <v>62000</v>
      </c>
      <c r="AG50" s="11"/>
      <c r="AH50" s="11"/>
      <c r="AI50" s="10" t="s">
        <v>1319</v>
      </c>
      <c r="AJ50" s="11"/>
      <c r="AK50" s="11"/>
      <c r="AL50" s="11"/>
      <c r="AM50" s="11"/>
      <c r="AN50" s="11"/>
      <c r="AO50" s="11"/>
      <c r="AP50" s="11"/>
      <c r="AQ50" s="11"/>
      <c r="AR50" s="10" t="s">
        <v>3293</v>
      </c>
      <c r="AS50" s="10" t="s">
        <v>66</v>
      </c>
      <c r="AT50" s="10" t="s">
        <v>53</v>
      </c>
    </row>
    <row r="51" spans="1:46" x14ac:dyDescent="0.15">
      <c r="A51" s="8" t="s">
        <v>3345</v>
      </c>
      <c r="B51" s="9" t="s">
        <v>3346</v>
      </c>
      <c r="C51" s="10" t="s">
        <v>3347</v>
      </c>
      <c r="D51" s="10" t="s">
        <v>3348</v>
      </c>
      <c r="E51" s="10" t="s">
        <v>51</v>
      </c>
      <c r="F51" s="15" t="s">
        <v>3298</v>
      </c>
      <c r="G51" s="11"/>
      <c r="H51" s="10" t="s">
        <v>561</v>
      </c>
      <c r="I51" s="10" t="s">
        <v>53</v>
      </c>
      <c r="J51" s="10" t="s">
        <v>54</v>
      </c>
      <c r="K51" s="11"/>
      <c r="L51" s="10" t="s">
        <v>3337</v>
      </c>
      <c r="M51" s="11"/>
      <c r="N51" s="11"/>
      <c r="O51" s="11"/>
      <c r="P51" s="11"/>
      <c r="Q51" s="10" t="s">
        <v>361</v>
      </c>
      <c r="R51" s="11"/>
      <c r="S51" s="10" t="s">
        <v>3300</v>
      </c>
      <c r="T51" s="10" t="s">
        <v>3301</v>
      </c>
      <c r="U51" s="10" t="s">
        <v>3302</v>
      </c>
      <c r="V51" s="11"/>
      <c r="W51" s="10" t="s">
        <v>3303</v>
      </c>
      <c r="X51" s="10" t="s">
        <v>80</v>
      </c>
      <c r="Y51" s="10" t="s">
        <v>80</v>
      </c>
      <c r="Z51" s="10" t="s">
        <v>3349</v>
      </c>
      <c r="AA51" s="10" t="s">
        <v>3350</v>
      </c>
      <c r="AB51" s="11"/>
      <c r="AC51" s="11"/>
      <c r="AD51" s="11"/>
      <c r="AE51" s="10" t="s">
        <v>3340</v>
      </c>
      <c r="AF51" s="11"/>
      <c r="AG51" s="11"/>
      <c r="AH51" s="10" t="s">
        <v>3341</v>
      </c>
      <c r="AI51" s="10" t="s">
        <v>1335</v>
      </c>
      <c r="AJ51" s="10" t="s">
        <v>3343</v>
      </c>
      <c r="AK51" s="10" t="s">
        <v>3351</v>
      </c>
      <c r="AL51" s="11"/>
      <c r="AM51" s="11"/>
      <c r="AN51" s="11"/>
      <c r="AO51" s="11"/>
      <c r="AP51" s="11"/>
      <c r="AQ51" s="11"/>
      <c r="AR51" s="10" t="s">
        <v>556</v>
      </c>
      <c r="AS51" s="10" t="s">
        <v>66</v>
      </c>
      <c r="AT51" s="10" t="s">
        <v>53</v>
      </c>
    </row>
    <row r="52" spans="1:46" x14ac:dyDescent="0.15">
      <c r="A52" s="8" t="s">
        <v>3418</v>
      </c>
      <c r="B52" s="9" t="s">
        <v>3419</v>
      </c>
      <c r="C52" s="10" t="s">
        <v>3347</v>
      </c>
      <c r="D52" s="10" t="s">
        <v>3420</v>
      </c>
      <c r="E52" s="10" t="s">
        <v>51</v>
      </c>
      <c r="F52" s="15" t="s">
        <v>3356</v>
      </c>
      <c r="G52" s="11"/>
      <c r="H52" s="10" t="s">
        <v>561</v>
      </c>
      <c r="I52" s="10" t="s">
        <v>53</v>
      </c>
      <c r="J52" s="10" t="s">
        <v>54</v>
      </c>
      <c r="K52" s="11"/>
      <c r="L52" s="10" t="s">
        <v>3357</v>
      </c>
      <c r="M52" s="11"/>
      <c r="N52" s="11"/>
      <c r="O52" s="11"/>
      <c r="P52" s="11"/>
      <c r="Q52" s="10" t="s">
        <v>361</v>
      </c>
      <c r="R52" s="11"/>
      <c r="S52" s="10" t="s">
        <v>3358</v>
      </c>
      <c r="T52" s="10" t="s">
        <v>3359</v>
      </c>
      <c r="U52" s="10" t="s">
        <v>3360</v>
      </c>
      <c r="V52" s="11"/>
      <c r="W52" s="10" t="s">
        <v>3361</v>
      </c>
      <c r="X52" s="10" t="s">
        <v>80</v>
      </c>
      <c r="Y52" s="10" t="s">
        <v>80</v>
      </c>
      <c r="Z52" s="10" t="s">
        <v>3421</v>
      </c>
      <c r="AA52" s="10" t="s">
        <v>3422</v>
      </c>
      <c r="AB52" s="11"/>
      <c r="AC52" s="11"/>
      <c r="AD52" s="11"/>
      <c r="AE52" s="10" t="s">
        <v>3364</v>
      </c>
      <c r="AF52" s="12">
        <v>1843</v>
      </c>
      <c r="AG52" s="11"/>
      <c r="AH52" s="10" t="s">
        <v>287</v>
      </c>
      <c r="AI52" s="10" t="s">
        <v>3423</v>
      </c>
      <c r="AJ52" s="10" t="s">
        <v>3424</v>
      </c>
      <c r="AK52" s="10" t="s">
        <v>3396</v>
      </c>
      <c r="AL52" s="11"/>
      <c r="AM52" s="11"/>
      <c r="AN52" s="11"/>
      <c r="AO52" s="11"/>
      <c r="AP52" s="11"/>
      <c r="AQ52" s="11"/>
      <c r="AR52" s="10" t="s">
        <v>3425</v>
      </c>
      <c r="AS52" s="10" t="s">
        <v>66</v>
      </c>
      <c r="AT52" s="10" t="s">
        <v>53</v>
      </c>
    </row>
    <row r="53" spans="1:46" x14ac:dyDescent="0.15">
      <c r="A53" s="8" t="s">
        <v>3426</v>
      </c>
      <c r="B53" s="9" t="s">
        <v>3427</v>
      </c>
      <c r="C53" s="10" t="s">
        <v>1756</v>
      </c>
      <c r="D53" s="10" t="s">
        <v>3428</v>
      </c>
      <c r="E53" s="10" t="s">
        <v>51</v>
      </c>
      <c r="F53" s="10" t="s">
        <v>3356</v>
      </c>
      <c r="G53" s="11"/>
      <c r="H53" s="10" t="s">
        <v>568</v>
      </c>
      <c r="I53" s="10" t="s">
        <v>53</v>
      </c>
      <c r="J53" s="10" t="s">
        <v>54</v>
      </c>
      <c r="K53" s="11"/>
      <c r="L53" s="10" t="s">
        <v>3357</v>
      </c>
      <c r="M53" s="11"/>
      <c r="N53" s="11"/>
      <c r="O53" s="11"/>
      <c r="P53" s="11"/>
      <c r="Q53" s="10" t="s">
        <v>361</v>
      </c>
      <c r="R53" s="11"/>
      <c r="S53" s="10" t="s">
        <v>3358</v>
      </c>
      <c r="T53" s="10" t="s">
        <v>3359</v>
      </c>
      <c r="U53" s="10" t="s">
        <v>3360</v>
      </c>
      <c r="V53" s="11"/>
      <c r="W53" s="10" t="s">
        <v>3361</v>
      </c>
      <c r="X53" s="10" t="s">
        <v>80</v>
      </c>
      <c r="Y53" s="10" t="s">
        <v>80</v>
      </c>
      <c r="Z53" s="10" t="s">
        <v>3429</v>
      </c>
      <c r="AA53" s="10" t="s">
        <v>3430</v>
      </c>
      <c r="AB53" s="11"/>
      <c r="AC53" s="11"/>
      <c r="AD53" s="11"/>
      <c r="AE53" s="10" t="s">
        <v>3364</v>
      </c>
      <c r="AF53" s="12">
        <v>1325</v>
      </c>
      <c r="AG53" s="11"/>
      <c r="AH53" s="10" t="s">
        <v>287</v>
      </c>
      <c r="AI53" s="10" t="s">
        <v>3431</v>
      </c>
      <c r="AJ53" s="10" t="s">
        <v>3407</v>
      </c>
      <c r="AK53" s="10" t="s">
        <v>3396</v>
      </c>
      <c r="AL53" s="11"/>
      <c r="AM53" s="11"/>
      <c r="AN53" s="11"/>
      <c r="AO53" s="11"/>
      <c r="AP53" s="11"/>
      <c r="AQ53" s="11"/>
      <c r="AR53" s="10" t="s">
        <v>3432</v>
      </c>
      <c r="AS53" s="10" t="s">
        <v>66</v>
      </c>
      <c r="AT53" s="10" t="s">
        <v>53</v>
      </c>
    </row>
    <row r="54" spans="1:46" x14ac:dyDescent="0.15">
      <c r="A54" s="8" t="s">
        <v>3508</v>
      </c>
      <c r="B54" s="9" t="s">
        <v>3509</v>
      </c>
      <c r="C54" s="10" t="s">
        <v>1731</v>
      </c>
      <c r="D54" s="10" t="s">
        <v>3510</v>
      </c>
      <c r="E54" s="10" t="s">
        <v>51</v>
      </c>
      <c r="F54" s="10" t="s">
        <v>3444</v>
      </c>
      <c r="G54" s="11"/>
      <c r="H54" s="10" t="s">
        <v>561</v>
      </c>
      <c r="I54" s="10" t="s">
        <v>53</v>
      </c>
      <c r="J54" s="10" t="s">
        <v>54</v>
      </c>
      <c r="K54" s="11"/>
      <c r="L54" s="10" t="s">
        <v>3445</v>
      </c>
      <c r="M54" s="11"/>
      <c r="N54" s="11"/>
      <c r="O54" s="11"/>
      <c r="P54" s="11"/>
      <c r="Q54" s="10" t="s">
        <v>75</v>
      </c>
      <c r="R54" s="11"/>
      <c r="S54" s="10" t="s">
        <v>3446</v>
      </c>
      <c r="T54" s="10" t="s">
        <v>3447</v>
      </c>
      <c r="U54" s="10" t="s">
        <v>3448</v>
      </c>
      <c r="V54" s="11"/>
      <c r="W54" s="10" t="s">
        <v>3511</v>
      </c>
      <c r="X54" s="10" t="s">
        <v>80</v>
      </c>
      <c r="Y54" s="10" t="s">
        <v>80</v>
      </c>
      <c r="Z54" s="10" t="s">
        <v>3512</v>
      </c>
      <c r="AA54" s="10" t="s">
        <v>3513</v>
      </c>
      <c r="AB54" s="11"/>
      <c r="AC54" s="11"/>
      <c r="AD54" s="11"/>
      <c r="AE54" s="10" t="s">
        <v>3452</v>
      </c>
      <c r="AF54" s="12">
        <v>941</v>
      </c>
      <c r="AG54" s="11"/>
      <c r="AH54" s="11"/>
      <c r="AI54" s="11"/>
      <c r="AJ54" s="11"/>
      <c r="AK54" s="10" t="s">
        <v>3494</v>
      </c>
      <c r="AL54" s="11"/>
      <c r="AM54" s="11"/>
      <c r="AN54" s="11"/>
      <c r="AO54" s="11"/>
      <c r="AP54" s="11"/>
      <c r="AQ54" s="11"/>
      <c r="AR54" s="10" t="s">
        <v>556</v>
      </c>
      <c r="AS54" s="10" t="s">
        <v>66</v>
      </c>
      <c r="AT54" s="10" t="s">
        <v>53</v>
      </c>
    </row>
    <row r="55" spans="1:46" x14ac:dyDescent="0.15">
      <c r="A55" s="8" t="s">
        <v>3514</v>
      </c>
      <c r="B55" s="9" t="s">
        <v>3515</v>
      </c>
      <c r="C55" s="10" t="s">
        <v>1740</v>
      </c>
      <c r="D55" s="10" t="s">
        <v>3516</v>
      </c>
      <c r="E55" s="10" t="s">
        <v>51</v>
      </c>
      <c r="F55" s="10" t="s">
        <v>3444</v>
      </c>
      <c r="G55" s="11"/>
      <c r="H55" s="10" t="s">
        <v>568</v>
      </c>
      <c r="I55" s="10" t="s">
        <v>53</v>
      </c>
      <c r="J55" s="10" t="s">
        <v>54</v>
      </c>
      <c r="K55" s="11"/>
      <c r="L55" s="10" t="s">
        <v>3445</v>
      </c>
      <c r="M55" s="11"/>
      <c r="N55" s="11"/>
      <c r="O55" s="11"/>
      <c r="P55" s="11"/>
      <c r="Q55" s="10" t="s">
        <v>75</v>
      </c>
      <c r="R55" s="11"/>
      <c r="S55" s="10" t="s">
        <v>3446</v>
      </c>
      <c r="T55" s="10" t="s">
        <v>3447</v>
      </c>
      <c r="U55" s="10" t="s">
        <v>3448</v>
      </c>
      <c r="V55" s="11"/>
      <c r="W55" s="10" t="s">
        <v>3517</v>
      </c>
      <c r="X55" s="10" t="s">
        <v>80</v>
      </c>
      <c r="Y55" s="10" t="s">
        <v>80</v>
      </c>
      <c r="Z55" s="10" t="s">
        <v>3518</v>
      </c>
      <c r="AA55" s="10" t="s">
        <v>3519</v>
      </c>
      <c r="AB55" s="11"/>
      <c r="AC55" s="11"/>
      <c r="AD55" s="11"/>
      <c r="AE55" s="10" t="s">
        <v>3452</v>
      </c>
      <c r="AF55" s="12">
        <v>4987</v>
      </c>
      <c r="AG55" s="11"/>
      <c r="AH55" s="11"/>
      <c r="AI55" s="11"/>
      <c r="AJ55" s="11"/>
      <c r="AK55" s="10" t="s">
        <v>3520</v>
      </c>
      <c r="AL55" s="11"/>
      <c r="AM55" s="11"/>
      <c r="AN55" s="11"/>
      <c r="AO55" s="11"/>
      <c r="AP55" s="11"/>
      <c r="AQ55" s="11"/>
      <c r="AR55" s="10" t="s">
        <v>556</v>
      </c>
      <c r="AS55" s="10" t="s">
        <v>66</v>
      </c>
      <c r="AT55" s="10" t="s">
        <v>53</v>
      </c>
    </row>
    <row r="56" spans="1:46" x14ac:dyDescent="0.15">
      <c r="A56" s="8" t="s">
        <v>3789</v>
      </c>
      <c r="B56" s="9" t="s">
        <v>3790</v>
      </c>
      <c r="C56" s="10" t="s">
        <v>1740</v>
      </c>
      <c r="D56" s="10" t="s">
        <v>3791</v>
      </c>
      <c r="E56" s="10" t="s">
        <v>51</v>
      </c>
      <c r="F56" s="15" t="s">
        <v>385</v>
      </c>
      <c r="G56" s="11"/>
      <c r="H56" s="10" t="s">
        <v>568</v>
      </c>
      <c r="I56" s="10" t="s">
        <v>53</v>
      </c>
      <c r="J56" s="10" t="s">
        <v>54</v>
      </c>
      <c r="K56" s="11"/>
      <c r="L56" s="10" t="s">
        <v>3711</v>
      </c>
      <c r="M56" s="11"/>
      <c r="N56" s="11"/>
      <c r="O56" s="11"/>
      <c r="P56" s="11"/>
      <c r="Q56" s="10" t="s">
        <v>75</v>
      </c>
      <c r="R56" s="11"/>
      <c r="S56" s="10" t="s">
        <v>3534</v>
      </c>
      <c r="T56" s="10" t="s">
        <v>3535</v>
      </c>
      <c r="U56" s="10" t="s">
        <v>3536</v>
      </c>
      <c r="V56" s="11"/>
      <c r="W56" s="10" t="s">
        <v>3537</v>
      </c>
      <c r="X56" s="10" t="s">
        <v>80</v>
      </c>
      <c r="Y56" s="10" t="s">
        <v>80</v>
      </c>
      <c r="Z56" s="10" t="s">
        <v>3792</v>
      </c>
      <c r="AA56" s="10" t="s">
        <v>3793</v>
      </c>
      <c r="AB56" s="11"/>
      <c r="AC56" s="11"/>
      <c r="AD56" s="11"/>
      <c r="AE56" s="10" t="s">
        <v>3794</v>
      </c>
      <c r="AF56" s="12">
        <v>48664</v>
      </c>
      <c r="AG56" s="11"/>
      <c r="AH56" s="11"/>
      <c r="AI56" s="10" t="s">
        <v>3795</v>
      </c>
      <c r="AJ56" s="11"/>
      <c r="AK56" s="10" t="s">
        <v>3796</v>
      </c>
      <c r="AL56" s="11"/>
      <c r="AM56" s="11"/>
      <c r="AN56" s="11"/>
      <c r="AO56" s="11"/>
      <c r="AP56" s="11"/>
      <c r="AQ56" s="11"/>
      <c r="AR56" s="10" t="s">
        <v>3797</v>
      </c>
      <c r="AS56" s="10" t="s">
        <v>66</v>
      </c>
      <c r="AT56" s="10" t="s">
        <v>53</v>
      </c>
    </row>
    <row r="57" spans="1:46" x14ac:dyDescent="0.15">
      <c r="A57" s="8" t="s">
        <v>3798</v>
      </c>
      <c r="B57" s="9" t="s">
        <v>3799</v>
      </c>
      <c r="C57" s="10" t="s">
        <v>1756</v>
      </c>
      <c r="D57" s="10" t="s">
        <v>3800</v>
      </c>
      <c r="E57" s="10" t="s">
        <v>51</v>
      </c>
      <c r="F57" s="10" t="s">
        <v>3298</v>
      </c>
      <c r="G57" s="10" t="s">
        <v>3801</v>
      </c>
      <c r="H57" s="10" t="s">
        <v>568</v>
      </c>
      <c r="I57" s="10" t="s">
        <v>53</v>
      </c>
      <c r="J57" s="10" t="s">
        <v>54</v>
      </c>
      <c r="K57" s="11"/>
      <c r="L57" s="10" t="s">
        <v>3337</v>
      </c>
      <c r="M57" s="11"/>
      <c r="N57" s="10" t="s">
        <v>3802</v>
      </c>
      <c r="O57" s="11"/>
      <c r="P57" s="11"/>
      <c r="Q57" s="10" t="s">
        <v>361</v>
      </c>
      <c r="R57" s="10" t="s">
        <v>3803</v>
      </c>
      <c r="S57" s="10" t="s">
        <v>3300</v>
      </c>
      <c r="T57" s="10" t="s">
        <v>3301</v>
      </c>
      <c r="U57" s="10" t="s">
        <v>3302</v>
      </c>
      <c r="V57" s="10" t="s">
        <v>3804</v>
      </c>
      <c r="W57" s="10" t="s">
        <v>3805</v>
      </c>
      <c r="X57" s="10" t="s">
        <v>80</v>
      </c>
      <c r="Y57" s="10" t="s">
        <v>80</v>
      </c>
      <c r="Z57" s="10" t="s">
        <v>3806</v>
      </c>
      <c r="AA57" s="10" t="s">
        <v>3807</v>
      </c>
      <c r="AB57" s="11"/>
      <c r="AC57" s="11"/>
      <c r="AD57" s="11"/>
      <c r="AE57" s="10" t="s">
        <v>3340</v>
      </c>
      <c r="AF57" s="12">
        <v>9000</v>
      </c>
      <c r="AG57" s="11"/>
      <c r="AH57" s="11"/>
      <c r="AI57" s="10" t="s">
        <v>3808</v>
      </c>
      <c r="AJ57" s="10" t="s">
        <v>3217</v>
      </c>
      <c r="AK57" s="10" t="s">
        <v>3809</v>
      </c>
      <c r="AL57" s="11"/>
      <c r="AM57" s="11"/>
      <c r="AN57" s="11"/>
      <c r="AO57" s="11"/>
      <c r="AP57" s="11"/>
      <c r="AQ57" s="11"/>
      <c r="AR57" s="10" t="s">
        <v>556</v>
      </c>
      <c r="AS57" s="10" t="s">
        <v>66</v>
      </c>
      <c r="AT57" s="10" t="s">
        <v>53</v>
      </c>
    </row>
    <row r="58" spans="1:46" x14ac:dyDescent="0.15">
      <c r="A58" s="8" t="s">
        <v>3971</v>
      </c>
      <c r="B58" s="9" t="s">
        <v>3972</v>
      </c>
      <c r="C58" s="10" t="s">
        <v>3973</v>
      </c>
      <c r="D58" s="10" t="s">
        <v>3974</v>
      </c>
      <c r="E58" s="10" t="s">
        <v>51</v>
      </c>
      <c r="F58" s="10" t="s">
        <v>71</v>
      </c>
      <c r="G58" s="11"/>
      <c r="H58" s="10" t="s">
        <v>3975</v>
      </c>
      <c r="I58" s="10" t="s">
        <v>53</v>
      </c>
      <c r="J58" s="10" t="s">
        <v>54</v>
      </c>
      <c r="K58" s="11"/>
      <c r="L58" s="10" t="s">
        <v>3976</v>
      </c>
      <c r="M58" s="11"/>
      <c r="N58" s="10" t="s">
        <v>3977</v>
      </c>
      <c r="O58" s="11"/>
      <c r="P58" s="11"/>
      <c r="Q58" s="10" t="s">
        <v>75</v>
      </c>
      <c r="R58" s="11"/>
      <c r="S58" s="10" t="s">
        <v>3887</v>
      </c>
      <c r="T58" s="10" t="s">
        <v>3888</v>
      </c>
      <c r="U58" s="10" t="s">
        <v>3889</v>
      </c>
      <c r="V58" s="10" t="s">
        <v>3978</v>
      </c>
      <c r="W58" s="10" t="s">
        <v>3979</v>
      </c>
      <c r="X58" s="10" t="s">
        <v>60</v>
      </c>
      <c r="Y58" s="10" t="s">
        <v>80</v>
      </c>
      <c r="Z58" s="10" t="s">
        <v>3980</v>
      </c>
      <c r="AA58" s="10" t="s">
        <v>3981</v>
      </c>
      <c r="AB58" s="11"/>
      <c r="AC58" s="11"/>
      <c r="AD58" s="11"/>
      <c r="AE58" s="10" t="s">
        <v>3982</v>
      </c>
      <c r="AF58" s="12">
        <v>700114</v>
      </c>
      <c r="AG58" s="11"/>
      <c r="AH58" s="11"/>
      <c r="AI58" s="11"/>
      <c r="AJ58" s="11"/>
      <c r="AK58" s="10" t="s">
        <v>3983</v>
      </c>
      <c r="AL58" s="11"/>
      <c r="AM58" s="11"/>
      <c r="AN58" s="11"/>
      <c r="AO58" s="11"/>
      <c r="AP58" s="11"/>
      <c r="AQ58" s="11"/>
      <c r="AR58" s="10" t="s">
        <v>727</v>
      </c>
      <c r="AS58" s="10" t="s">
        <v>66</v>
      </c>
      <c r="AT58" s="10" t="s">
        <v>53</v>
      </c>
    </row>
    <row r="59" spans="1:46" x14ac:dyDescent="0.15">
      <c r="A59" s="14" t="s">
        <v>4059</v>
      </c>
      <c r="B59" s="14" t="s">
        <v>4060</v>
      </c>
      <c r="AF59" s="13">
        <f>SUM(AF2:AF58)</f>
        <v>1284624</v>
      </c>
    </row>
    <row r="62" spans="1:46" ht="14" x14ac:dyDescent="0.15">
      <c r="A62" t="s">
        <v>4061</v>
      </c>
    </row>
  </sheetData>
  <hyperlinks>
    <hyperlink ref="L2" r:id="rId1" xr:uid="{8FC25976-8892-1D40-B045-CFB453FD4A9C}"/>
    <hyperlink ref="N2" r:id="rId2" xr:uid="{9AA21C1A-0803-724C-B6D5-0BDAD60BAE3A}"/>
    <hyperlink ref="L3" r:id="rId3" xr:uid="{F6072315-36F6-AD46-AE4C-409CCC22E547}"/>
    <hyperlink ref="N3" r:id="rId4" xr:uid="{E1F02B2A-F138-9145-8116-BF724089EBAD}"/>
    <hyperlink ref="L5" r:id="rId5" xr:uid="{D48E8F13-F077-9842-800B-AD3188844275}"/>
    <hyperlink ref="L6" r:id="rId6" xr:uid="{12174E71-AD51-CC46-8021-D509319584C4}"/>
    <hyperlink ref="L7" r:id="rId7" xr:uid="{12BC43CE-96A2-5F47-8C21-66FD38CC8F53}"/>
    <hyperlink ref="L8" r:id="rId8" xr:uid="{78E9CC79-25E7-7449-8BDD-A0B4B8B50FFE}"/>
    <hyperlink ref="L9" r:id="rId9" xr:uid="{DA40B234-8B44-114E-A749-A7AFBBE1E9EC}"/>
    <hyperlink ref="L10" r:id="rId10" xr:uid="{43B15074-543E-4F4E-BEBB-60765642875A}"/>
    <hyperlink ref="L11" r:id="rId11" xr:uid="{A00051BF-44F4-3F4A-9769-69966A97BE92}"/>
    <hyperlink ref="L12" r:id="rId12" xr:uid="{6E9F23BB-AB2A-BC4A-B0D7-FA7800EEDE93}"/>
    <hyperlink ref="L13" r:id="rId13" xr:uid="{830D00C6-6708-B643-865D-BFD160890D7D}"/>
    <hyperlink ref="L14" r:id="rId14" xr:uid="{8D09D26D-16C3-DD4D-B462-C1850E30F1D9}"/>
    <hyperlink ref="L15" r:id="rId15" xr:uid="{F6926536-3A50-0140-9CF4-B431CA8D11A7}"/>
    <hyperlink ref="L16" r:id="rId16" xr:uid="{462B7ABD-D08C-EA4C-B0B1-CE6BCCC9C78E}"/>
    <hyperlink ref="L17" r:id="rId17" display="saskia.klaassen@bl.ch" xr:uid="{1DD3D4ED-A80C-5B49-871E-983E9829239D}"/>
    <hyperlink ref="L18" r:id="rId18" xr:uid="{871CD95C-CFB0-DD48-9D5A-0FBBC5B1882E}"/>
    <hyperlink ref="N18" r:id="rId19" xr:uid="{D845081A-7111-EE42-AC4D-69F2C43CD29A}"/>
    <hyperlink ref="L19" r:id="rId20" xr:uid="{92AC739A-2EB6-9C47-A2F4-3886D5ED3B4F}"/>
    <hyperlink ref="N19" r:id="rId21" xr:uid="{3F19A578-E8F2-CF45-BC7E-DC99A1D3EEA0}"/>
    <hyperlink ref="L20" r:id="rId22" xr:uid="{180E7970-59DE-EF4F-9229-D05E64E96C63}"/>
    <hyperlink ref="N20" r:id="rId23" xr:uid="{C87B778F-B91D-824E-A9A3-670917F1A84E}"/>
    <hyperlink ref="AK20" r:id="rId24" display="https://viaf.org/viaf/310654525;Louis" xr:uid="{A3B9DF0D-2C1A-4744-B8C2-F0B73C7BF601}"/>
    <hyperlink ref="L21" r:id="rId25" xr:uid="{847AE396-9CB2-BC47-BA90-AA5B7E2C9860}"/>
    <hyperlink ref="N21" r:id="rId26" xr:uid="{0BFD8476-4098-F447-B7BE-A1875331CAC0}"/>
    <hyperlink ref="AK21" r:id="rId27" display="https://viaf.org/viaf/42606656;Ayer" xr:uid="{4856A26C-B02E-3147-8ECF-A1AA27FA6CF1}"/>
    <hyperlink ref="L22" r:id="rId28" xr:uid="{E040E102-D253-0841-A8AD-4042CFB046C6}"/>
    <hyperlink ref="N22" r:id="rId29" xr:uid="{B523DF89-6ADC-E843-B712-B0B28DC91D56}"/>
    <hyperlink ref="L23" r:id="rId30" xr:uid="{E16BD617-E98D-9E43-9345-87E1B6410E74}"/>
    <hyperlink ref="N23" r:id="rId31" xr:uid="{77D52597-BDD3-5F40-974E-B14ABE17ABAD}"/>
    <hyperlink ref="L24" r:id="rId32" xr:uid="{4F5A232D-856F-8E4A-840F-D76D1C07CE13}"/>
    <hyperlink ref="N24" r:id="rId33" xr:uid="{5CFE37E5-56F1-334B-A339-E85908A88D59}"/>
    <hyperlink ref="L25" r:id="rId34" xr:uid="{57AC033E-B6CD-5A45-A5EE-AF1FB51A4717}"/>
    <hyperlink ref="N25" r:id="rId35" xr:uid="{5C3B49F5-9C04-0945-AF61-1A18A7D9101D}"/>
    <hyperlink ref="L27" r:id="rId36" xr:uid="{640FA0C6-7A09-EF4D-81D8-D1A42114D989}"/>
    <hyperlink ref="N27" r:id="rId37" xr:uid="{54E8B962-211D-1C48-AB40-01598C33ABA7}"/>
    <hyperlink ref="L28" r:id="rId38" xr:uid="{4A1A64A1-26C0-2546-AB9B-0C8D3ED67E8C}"/>
    <hyperlink ref="AE28" r:id="rId39" display="madeleine.geiger@naturmuseumsg.ch" xr:uid="{591D1423-4AA5-9246-825C-E16E5119606E}"/>
    <hyperlink ref="L29" r:id="rId40" xr:uid="{41ADF21F-F3FC-E443-8017-75951027E5C7}"/>
    <hyperlink ref="N29" r:id="rId41" xr:uid="{BC32E95A-70AC-6A4E-B741-889CE941CFE8}"/>
    <hyperlink ref="L30" r:id="rId42" xr:uid="{3416C6A6-A6D5-CE4E-A5A5-31D069745375}"/>
    <hyperlink ref="N30" r:id="rId43" xr:uid="{BE5400D8-C365-214F-9CA5-C2CC0385AE4B}"/>
    <hyperlink ref="L31" r:id="rId44" xr:uid="{35979EAA-A845-864F-9CF0-40FCED6E3EEE}"/>
    <hyperlink ref="N31" r:id="rId45" xr:uid="{7282067B-EC62-4B48-A5E5-83FD9BCB02EC}"/>
    <hyperlink ref="L32" r:id="rId46" xr:uid="{B458D5B1-1FED-1D40-ACE8-36208D11EDA1}"/>
    <hyperlink ref="N32" r:id="rId47" xr:uid="{7DBC46E7-321D-3F45-8FE6-156BCB66306C}"/>
    <hyperlink ref="L33" r:id="rId48" xr:uid="{9B42F191-632C-9845-8CC8-10B1EDBB0A04}"/>
    <hyperlink ref="N33" r:id="rId49" xr:uid="{01E4A271-0577-7F40-8929-6BEC673C3722}"/>
    <hyperlink ref="L34" r:id="rId50" xr:uid="{DB96ECB3-74DC-904A-84AC-DD9A14867D03}"/>
    <hyperlink ref="N34" r:id="rId51" xr:uid="{1EBB3736-0545-DE41-9279-B2B1BD759AEA}"/>
    <hyperlink ref="L35" r:id="rId52" xr:uid="{59A5E6E5-771B-4744-8148-B0FBD4ECBEB6}"/>
    <hyperlink ref="N35" r:id="rId53" xr:uid="{4BB70620-759D-7742-A328-B5A970DC935D}"/>
    <hyperlink ref="L36" r:id="rId54" xr:uid="{3FEB9B3E-04A6-A844-9A41-D49608B32181}"/>
    <hyperlink ref="N36" r:id="rId55" xr:uid="{5BE453EB-8B35-154D-8298-9AC17EB435A8}"/>
    <hyperlink ref="L37" r:id="rId56" xr:uid="{2E915355-FFB7-7042-B8C3-D203DA00AC4A}"/>
    <hyperlink ref="L38" r:id="rId57" xr:uid="{B51E5E89-BB13-764E-9F49-C3EDC2CD19E0}"/>
    <hyperlink ref="L39" r:id="rId58" xr:uid="{93F9E905-C5A8-6843-98DB-99B9C77E8ED4}"/>
    <hyperlink ref="L40" r:id="rId59" xr:uid="{E60E6728-289B-4D46-B7D0-50B29E01E20F}"/>
    <hyperlink ref="L41" r:id="rId60" xr:uid="{97D3BA4D-1660-FD48-B60F-C8D02EF6B02D}"/>
    <hyperlink ref="L42" r:id="rId61" xr:uid="{87BAE874-5978-B04F-AED9-DFE919EB8BB0}"/>
    <hyperlink ref="L43" r:id="rId62" xr:uid="{9BA7C87D-280B-D043-98D8-8DCE079463DB}"/>
    <hyperlink ref="L44" r:id="rId63" xr:uid="{58A8C142-AFFC-CB4B-9FFD-2CE4E4C1135B}"/>
    <hyperlink ref="AK44" r:id="rId64" display="https://viaf.org/viaf/42606656" xr:uid="{CECCDBF4-AD79-D74C-9C93-5962838DB564}"/>
    <hyperlink ref="L45" r:id="rId65" xr:uid="{BA145AEA-9604-CB4E-AD18-F40F93DC8DB3}"/>
    <hyperlink ref="L46" r:id="rId66" xr:uid="{8A8E09F6-4240-2640-A6CC-497F0FF7D413}"/>
    <hyperlink ref="L47" r:id="rId67" xr:uid="{FC4B329A-D23F-F643-BE68-34488C8A24CA}"/>
    <hyperlink ref="L48" r:id="rId68" xr:uid="{FA55961D-AFD1-544A-BA54-9E6908889328}"/>
    <hyperlink ref="L49" r:id="rId69" xr:uid="{10496E53-E263-944B-902F-217B3DBE1F56}"/>
    <hyperlink ref="L50" r:id="rId70" xr:uid="{06BE086F-6824-1942-9C3F-DB29A5A12EA9}"/>
    <hyperlink ref="AE50" r:id="rId71" display="beda.hofmann@nmbe.ch" xr:uid="{180172DC-C9CF-C347-BC09-98C3FA3A66AE}"/>
    <hyperlink ref="L51" r:id="rId72" xr:uid="{87B68321-52E7-B847-BA56-4AB78F461AA6}"/>
    <hyperlink ref="AE51" r:id="rId73" display="sandra.scherrer@win.ch" xr:uid="{9D30BAE1-5201-ED40-811E-2B306082274E}"/>
    <hyperlink ref="L52" r:id="rId74" xr:uid="{85FDDF4C-D414-FD4C-9095-71BA33E618B7}"/>
    <hyperlink ref="AE52" r:id="rId75" display="barbara.richner@tg.ch" xr:uid="{AEA3DC33-3916-2F45-A7C7-65D6470507C5}"/>
    <hyperlink ref="L53" r:id="rId76" xr:uid="{855F1350-3E77-794B-9FC1-DD566C9D9693}"/>
    <hyperlink ref="AE53" r:id="rId77" display="barbara.richner@tg.ch" xr:uid="{B170479B-A393-4244-B507-C3CD0C826F77}"/>
    <hyperlink ref="L54" r:id="rId78" xr:uid="{3475E28E-A4B8-4442-A0FA-E7818A3FA1D5}"/>
    <hyperlink ref="AE54" r:id="rId79" display="helene.gabioud-duinat@admin.vs.ch" xr:uid="{F96DAB31-D05A-5449-962B-A375A05F04A5}"/>
    <hyperlink ref="L55" r:id="rId80" xr:uid="{3E248787-202C-CC4D-AD7E-9DF66B8A3937}"/>
    <hyperlink ref="AE55" r:id="rId81" display="helene.gabioud-duinat@admin.vs.ch" xr:uid="{E9739CF7-BA3F-8E49-A445-CD49A994FA85}"/>
    <hyperlink ref="L56" r:id="rId82" xr:uid="{82EF78C2-6A29-AC48-B07B-250A37F03DE7}"/>
    <hyperlink ref="AE56" r:id="rId83" display="andre.puschnig@bs.ch" xr:uid="{59230D7A-F33B-D74C-AC3B-24BB2ED51EE3}"/>
    <hyperlink ref="AK56" r:id="rId84" display="https://www.wikidata.org/wiki/Q2077023;Friedrich" xr:uid="{9C49D48C-CA34-0043-A4E5-FDCC79B66FEC}"/>
    <hyperlink ref="L57" r:id="rId85" xr:uid="{DF66C961-5BB4-714D-A9C1-D885007D0694}"/>
    <hyperlink ref="N57" r:id="rId86" xr:uid="{E4702CC0-4C91-2849-A9AD-318229805255}"/>
    <hyperlink ref="AE57" r:id="rId87" display="sandra.scherrer@win.ch" xr:uid="{1D33484D-BAC1-184A-BF76-568B3341F7EA}"/>
    <hyperlink ref="L58" r:id="rId88" xr:uid="{50E82CC3-8628-E747-B9C7-C83E64A91853}"/>
    <hyperlink ref="N58" r:id="rId89" xr:uid="{1229CF2E-3FF0-5D4D-949E-E083E00AE73C}"/>
    <hyperlink ref="AE58" r:id="rId90" display="andreas.mueller@library.ethz.ch" xr:uid="{3D136074-9F06-CC41-B97C-628BD445E2CB}"/>
    <hyperlink ref="L26" r:id="rId91" xr:uid="{449CDA93-578F-854E-AFD2-8DB2B5AB3C9D}"/>
    <hyperlink ref="N26" r:id="rId92" xr:uid="{2817EB61-530A-2547-8B64-C33A2975DCFB}"/>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F5B2-98C6-6949-AD9B-34C4E072B4A2}">
  <dimension ref="A1:AH164"/>
  <sheetViews>
    <sheetView zoomScale="96" zoomScaleNormal="96" workbookViewId="0">
      <selection activeCell="F36" sqref="F36"/>
    </sheetView>
  </sheetViews>
  <sheetFormatPr baseColWidth="10" defaultRowHeight="13" x14ac:dyDescent="0.15"/>
  <cols>
    <col min="1" max="1" width="49.6640625" customWidth="1"/>
    <col min="2" max="2" width="16.83203125" customWidth="1"/>
    <col min="3" max="3" width="19.1640625" customWidth="1"/>
    <col min="4" max="4" width="23.33203125" customWidth="1"/>
    <col min="5" max="5" width="37.5" customWidth="1"/>
    <col min="6" max="6" width="32.33203125" style="16" customWidth="1"/>
    <col min="7" max="21" width="0" hidden="1" customWidth="1"/>
    <col min="22" max="22" width="5.33203125" customWidth="1"/>
    <col min="23" max="23" width="23.33203125" customWidth="1"/>
    <col min="24" max="24" width="63.1640625" customWidth="1"/>
    <col min="25" max="25" width="123.83203125" customWidth="1"/>
    <col min="26" max="26" width="59.5" customWidth="1"/>
    <col min="27" max="27" width="14.1640625" customWidth="1"/>
    <col min="28" max="28" width="17.1640625" customWidth="1"/>
    <col min="29" max="29" width="53.33203125" customWidth="1"/>
  </cols>
  <sheetData>
    <row r="1" spans="1:24" ht="15" thickBot="1" x14ac:dyDescent="0.2">
      <c r="A1" s="23" t="s">
        <v>4083</v>
      </c>
    </row>
    <row r="2" spans="1:24" ht="14" x14ac:dyDescent="0.15">
      <c r="A2" s="37" t="s">
        <v>4076</v>
      </c>
      <c r="B2" s="38" t="s">
        <v>4077</v>
      </c>
      <c r="C2" s="38" t="s">
        <v>4078</v>
      </c>
      <c r="D2" s="38" t="s">
        <v>4073</v>
      </c>
      <c r="E2" s="38" t="s">
        <v>4079</v>
      </c>
      <c r="F2" s="39"/>
      <c r="G2" s="35"/>
      <c r="H2" s="11"/>
      <c r="I2" s="11"/>
      <c r="J2" s="11"/>
      <c r="K2" s="11"/>
      <c r="L2" s="11"/>
      <c r="M2" s="11"/>
      <c r="N2" s="11"/>
      <c r="O2" s="11"/>
      <c r="P2" s="11"/>
      <c r="Q2" s="11"/>
      <c r="R2" s="10"/>
      <c r="S2" s="10"/>
      <c r="T2" s="10"/>
      <c r="V2" s="23"/>
    </row>
    <row r="3" spans="1:24" ht="14" x14ac:dyDescent="0.15">
      <c r="A3" s="40" t="s">
        <v>2503</v>
      </c>
      <c r="B3" s="41" t="s">
        <v>2504</v>
      </c>
      <c r="C3" s="42">
        <v>28600</v>
      </c>
      <c r="D3" s="43" t="s">
        <v>4074</v>
      </c>
      <c r="E3" s="41" t="s">
        <v>2502</v>
      </c>
      <c r="F3" s="44"/>
      <c r="G3" s="35"/>
      <c r="H3" s="10"/>
      <c r="I3" s="10"/>
      <c r="J3" s="10"/>
      <c r="K3" s="10"/>
      <c r="L3" s="11"/>
      <c r="M3" s="11"/>
      <c r="N3" s="11"/>
      <c r="O3" s="11"/>
      <c r="P3" s="11"/>
      <c r="Q3" s="11"/>
      <c r="R3" s="10"/>
      <c r="S3" s="10"/>
      <c r="T3" s="10"/>
      <c r="V3" s="23"/>
    </row>
    <row r="4" spans="1:24" x14ac:dyDescent="0.15">
      <c r="A4" s="80" t="s">
        <v>1267</v>
      </c>
      <c r="B4" s="95" t="s">
        <v>1268</v>
      </c>
      <c r="C4" s="82">
        <v>1000</v>
      </c>
      <c r="D4" s="83"/>
      <c r="E4" s="81" t="s">
        <v>1266</v>
      </c>
      <c r="F4" s="96"/>
      <c r="G4" s="35"/>
      <c r="H4" s="11"/>
      <c r="I4" s="10"/>
      <c r="J4" s="11"/>
      <c r="K4" s="10"/>
      <c r="L4" s="11"/>
      <c r="M4" s="11"/>
      <c r="N4" s="11"/>
      <c r="O4" s="11"/>
      <c r="P4" s="11"/>
      <c r="Q4" s="11"/>
      <c r="R4" s="10"/>
      <c r="S4" s="10"/>
      <c r="T4" s="10"/>
      <c r="V4" s="23"/>
    </row>
    <row r="5" spans="1:24" ht="14" x14ac:dyDescent="0.15">
      <c r="A5" s="40" t="s">
        <v>3534</v>
      </c>
      <c r="B5" s="41" t="s">
        <v>3535</v>
      </c>
      <c r="C5" s="98">
        <v>2761464</v>
      </c>
      <c r="D5" s="43" t="s">
        <v>4074</v>
      </c>
      <c r="E5" s="41" t="s">
        <v>3711</v>
      </c>
      <c r="F5" s="44"/>
      <c r="G5" s="35"/>
      <c r="H5" s="11"/>
      <c r="I5" s="11"/>
      <c r="J5" s="11"/>
      <c r="K5" s="11"/>
      <c r="L5" s="11"/>
      <c r="M5" s="11"/>
      <c r="N5" s="11"/>
      <c r="O5" s="11"/>
      <c r="P5" s="11"/>
      <c r="Q5" s="11"/>
      <c r="R5" s="10"/>
      <c r="S5" s="10"/>
      <c r="T5" s="10"/>
      <c r="V5" s="23"/>
    </row>
    <row r="6" spans="1:24" x14ac:dyDescent="0.15">
      <c r="A6" s="80" t="s">
        <v>3178</v>
      </c>
      <c r="B6" s="81" t="s">
        <v>3179</v>
      </c>
      <c r="C6" s="82">
        <v>1</v>
      </c>
      <c r="D6" s="83"/>
      <c r="E6" s="81" t="s">
        <v>3177</v>
      </c>
      <c r="F6" s="96"/>
      <c r="G6" s="35"/>
      <c r="H6" s="11"/>
      <c r="I6" s="10"/>
      <c r="J6" s="11"/>
      <c r="K6" s="11"/>
      <c r="L6" s="11"/>
      <c r="M6" s="11"/>
      <c r="N6" s="11"/>
      <c r="O6" s="11"/>
      <c r="P6" s="11"/>
      <c r="Q6" s="11"/>
      <c r="R6" s="10"/>
      <c r="S6" s="10"/>
      <c r="T6" s="10"/>
      <c r="V6" s="33"/>
    </row>
    <row r="7" spans="1:24" ht="14" x14ac:dyDescent="0.15">
      <c r="A7" s="40" t="s">
        <v>3253</v>
      </c>
      <c r="B7" s="41" t="s">
        <v>3254</v>
      </c>
      <c r="C7" s="98">
        <v>512000</v>
      </c>
      <c r="D7" s="43" t="s">
        <v>4074</v>
      </c>
      <c r="E7" s="41" t="s">
        <v>3280</v>
      </c>
      <c r="F7" s="44"/>
      <c r="G7" s="35"/>
      <c r="H7" s="10"/>
      <c r="I7" s="10"/>
      <c r="J7" s="10"/>
      <c r="K7" s="10"/>
      <c r="L7" s="11"/>
      <c r="M7" s="11"/>
      <c r="N7" s="11"/>
      <c r="O7" s="11"/>
      <c r="P7" s="11"/>
      <c r="Q7" s="11"/>
      <c r="R7" s="10"/>
      <c r="S7" s="10"/>
      <c r="T7" s="10"/>
      <c r="V7" s="23"/>
    </row>
    <row r="8" spans="1:24" ht="14" x14ac:dyDescent="0.15">
      <c r="A8" s="80" t="s">
        <v>3358</v>
      </c>
      <c r="B8" s="81" t="s">
        <v>3359</v>
      </c>
      <c r="C8" s="82">
        <v>6101</v>
      </c>
      <c r="D8" s="97" t="s">
        <v>4080</v>
      </c>
      <c r="E8" s="81" t="s">
        <v>3357</v>
      </c>
      <c r="F8" s="96"/>
      <c r="G8" s="35"/>
      <c r="H8" s="10"/>
      <c r="I8" s="10"/>
      <c r="J8" s="10"/>
      <c r="K8" s="10"/>
      <c r="L8" s="11"/>
      <c r="M8" s="11"/>
      <c r="N8" s="11"/>
      <c r="O8" s="11"/>
      <c r="P8" s="11"/>
      <c r="Q8" s="11"/>
      <c r="R8" s="10"/>
      <c r="S8" s="10"/>
      <c r="T8" s="10"/>
      <c r="V8" s="23"/>
    </row>
    <row r="9" spans="1:24" x14ac:dyDescent="0.15">
      <c r="A9" s="110" t="s">
        <v>2618</v>
      </c>
      <c r="B9" s="110" t="s">
        <v>2619</v>
      </c>
      <c r="C9" s="98">
        <v>19477</v>
      </c>
      <c r="D9" s="45"/>
      <c r="E9" s="110" t="s">
        <v>2855</v>
      </c>
      <c r="F9" s="125"/>
      <c r="G9" s="35"/>
      <c r="H9" s="11"/>
      <c r="I9" s="11"/>
      <c r="J9" s="11"/>
      <c r="K9" s="11"/>
      <c r="L9" s="11"/>
      <c r="M9" s="11"/>
      <c r="N9" s="11"/>
      <c r="O9" s="11"/>
      <c r="P9" s="11"/>
      <c r="Q9" s="11"/>
      <c r="R9" s="10"/>
      <c r="S9" s="10"/>
      <c r="T9" s="10"/>
      <c r="V9" s="33"/>
    </row>
    <row r="10" spans="1:24" ht="14" x14ac:dyDescent="0.15">
      <c r="A10" s="80" t="s">
        <v>1762</v>
      </c>
      <c r="B10" s="81" t="s">
        <v>1763</v>
      </c>
      <c r="C10" s="82">
        <v>42262</v>
      </c>
      <c r="D10" s="97" t="s">
        <v>4074</v>
      </c>
      <c r="E10" s="81" t="s">
        <v>1759</v>
      </c>
      <c r="F10" s="96"/>
      <c r="G10" s="35"/>
      <c r="H10" s="10"/>
      <c r="I10" s="11"/>
      <c r="J10" s="10"/>
      <c r="K10" s="10"/>
      <c r="L10" s="11"/>
      <c r="M10" s="11"/>
      <c r="N10" s="11"/>
      <c r="O10" s="11"/>
      <c r="P10" s="11"/>
      <c r="Q10" s="11"/>
      <c r="R10" s="10"/>
      <c r="S10" s="10"/>
      <c r="T10" s="10"/>
      <c r="V10" s="23"/>
      <c r="X10" s="10"/>
    </row>
    <row r="11" spans="1:24" x14ac:dyDescent="0.15">
      <c r="A11" s="109" t="s">
        <v>478</v>
      </c>
      <c r="B11" s="110" t="s">
        <v>479</v>
      </c>
      <c r="C11" s="98">
        <v>1904</v>
      </c>
      <c r="D11" s="124"/>
      <c r="E11" s="110" t="s">
        <v>477</v>
      </c>
      <c r="F11" s="125"/>
      <c r="G11" s="36"/>
      <c r="H11" s="21"/>
      <c r="I11" s="21"/>
      <c r="J11" s="19"/>
      <c r="K11" s="19"/>
      <c r="L11" s="21"/>
      <c r="M11" s="21"/>
      <c r="N11" s="21"/>
      <c r="O11" s="21"/>
      <c r="P11" s="21"/>
      <c r="Q11" s="21"/>
      <c r="R11" s="19"/>
      <c r="S11" s="19"/>
      <c r="T11" s="19"/>
      <c r="U11" s="22"/>
      <c r="V11" s="33"/>
      <c r="W11" s="33"/>
      <c r="X11" s="10"/>
    </row>
    <row r="12" spans="1:24" ht="14" x14ac:dyDescent="0.15">
      <c r="A12" s="80" t="s">
        <v>2309</v>
      </c>
      <c r="B12" s="81" t="s">
        <v>2310</v>
      </c>
      <c r="C12" s="82">
        <v>330500</v>
      </c>
      <c r="D12" s="97" t="s">
        <v>4074</v>
      </c>
      <c r="E12" s="81" t="s">
        <v>2333</v>
      </c>
      <c r="F12" s="96"/>
      <c r="G12" s="35"/>
      <c r="H12" s="11"/>
      <c r="I12" s="10"/>
      <c r="J12" s="11"/>
      <c r="K12" s="11"/>
      <c r="L12" s="11"/>
      <c r="M12" s="11"/>
      <c r="N12" s="11"/>
      <c r="O12" s="11"/>
      <c r="P12" s="11"/>
      <c r="Q12" s="11"/>
      <c r="R12" s="10"/>
      <c r="S12" s="10"/>
      <c r="T12" s="10"/>
    </row>
    <row r="13" spans="1:24" x14ac:dyDescent="0.15">
      <c r="A13" s="109" t="s">
        <v>604</v>
      </c>
      <c r="B13" s="110" t="s">
        <v>605</v>
      </c>
      <c r="C13" s="126"/>
      <c r="D13" s="124"/>
      <c r="E13" s="127" t="s">
        <v>4081</v>
      </c>
      <c r="F13" s="128"/>
      <c r="G13" s="35"/>
      <c r="H13" s="11"/>
      <c r="I13" s="11"/>
      <c r="J13" s="11"/>
      <c r="K13" s="11"/>
      <c r="L13" s="10"/>
      <c r="M13" s="11"/>
      <c r="N13" s="11"/>
      <c r="O13" s="11"/>
      <c r="P13" s="11"/>
      <c r="Q13" s="11"/>
      <c r="R13" s="10"/>
      <c r="S13" s="10"/>
      <c r="T13" s="10"/>
      <c r="V13" s="23"/>
      <c r="X13" s="11"/>
    </row>
    <row r="14" spans="1:24" x14ac:dyDescent="0.15">
      <c r="A14" s="80" t="s">
        <v>670</v>
      </c>
      <c r="B14" s="81" t="s">
        <v>671</v>
      </c>
      <c r="C14" s="82">
        <v>25926</v>
      </c>
      <c r="D14" s="83"/>
      <c r="E14" s="83"/>
      <c r="F14" s="96"/>
      <c r="G14" s="35"/>
      <c r="H14" s="11"/>
      <c r="I14" s="11"/>
      <c r="J14" s="10"/>
      <c r="K14" s="11"/>
      <c r="L14" s="11"/>
      <c r="M14" s="11"/>
      <c r="N14" s="11"/>
      <c r="O14" s="11"/>
      <c r="P14" s="11"/>
      <c r="Q14" s="11"/>
      <c r="R14" s="10"/>
      <c r="S14" s="10"/>
      <c r="T14" s="10"/>
      <c r="V14" s="23"/>
    </row>
    <row r="15" spans="1:24" x14ac:dyDescent="0.15">
      <c r="A15" s="109" t="s">
        <v>734</v>
      </c>
      <c r="B15" s="110" t="s">
        <v>735</v>
      </c>
      <c r="C15" s="98">
        <v>38004</v>
      </c>
      <c r="D15" s="124"/>
      <c r="E15" s="110" t="s">
        <v>1006</v>
      </c>
      <c r="F15" s="125"/>
      <c r="G15" s="35"/>
      <c r="H15" s="10"/>
      <c r="I15" s="10"/>
      <c r="J15" s="10"/>
      <c r="K15" s="10"/>
      <c r="L15" s="11"/>
      <c r="M15" s="11"/>
      <c r="N15" s="11"/>
      <c r="O15" s="11"/>
      <c r="P15" s="11"/>
      <c r="Q15" s="11"/>
      <c r="R15" s="10"/>
      <c r="S15" s="10"/>
      <c r="T15" s="10"/>
      <c r="V15" s="23"/>
    </row>
    <row r="16" spans="1:24" x14ac:dyDescent="0.15">
      <c r="A16" s="80" t="s">
        <v>620</v>
      </c>
      <c r="B16" s="81" t="s">
        <v>621</v>
      </c>
      <c r="C16" s="82">
        <v>131023</v>
      </c>
      <c r="D16" s="83"/>
      <c r="E16" s="81" t="s">
        <v>1692</v>
      </c>
      <c r="F16" s="96"/>
      <c r="G16" s="35"/>
      <c r="H16" s="10"/>
      <c r="I16" s="11"/>
      <c r="J16" s="11"/>
      <c r="K16" s="11"/>
      <c r="L16" s="11"/>
      <c r="M16" s="11"/>
      <c r="N16" s="11"/>
      <c r="O16" s="11"/>
      <c r="P16" s="11"/>
      <c r="Q16" s="11"/>
      <c r="R16" s="10"/>
      <c r="S16" s="10"/>
      <c r="T16" s="10"/>
      <c r="V16" s="33"/>
    </row>
    <row r="17" spans="1:34" x14ac:dyDescent="0.15">
      <c r="A17" s="109" t="s">
        <v>2144</v>
      </c>
      <c r="B17" s="110" t="s">
        <v>2145</v>
      </c>
      <c r="C17" s="98">
        <v>19152</v>
      </c>
      <c r="D17" s="124"/>
      <c r="E17" s="110" t="s">
        <v>2142</v>
      </c>
      <c r="F17" s="125"/>
      <c r="G17" s="35"/>
      <c r="H17" s="10"/>
      <c r="I17" s="11"/>
      <c r="J17" s="11"/>
      <c r="K17" s="11"/>
      <c r="L17" s="11"/>
      <c r="M17" s="11"/>
      <c r="N17" s="11"/>
      <c r="O17" s="11"/>
      <c r="P17" s="11"/>
      <c r="Q17" s="11"/>
      <c r="R17" s="10"/>
      <c r="S17" s="10"/>
      <c r="T17" s="10"/>
      <c r="V17" s="33"/>
    </row>
    <row r="18" spans="1:34" x14ac:dyDescent="0.15">
      <c r="A18" s="129" t="s">
        <v>1817</v>
      </c>
      <c r="B18" s="95" t="s">
        <v>1818</v>
      </c>
      <c r="C18" s="82">
        <v>60318</v>
      </c>
      <c r="D18" s="83"/>
      <c r="E18" s="129" t="s">
        <v>1759</v>
      </c>
      <c r="F18" s="96"/>
      <c r="G18" s="35"/>
      <c r="H18" s="11"/>
      <c r="I18" s="11"/>
      <c r="J18" s="11"/>
      <c r="K18" s="10"/>
      <c r="L18" s="11"/>
      <c r="M18" s="11"/>
      <c r="N18" s="11"/>
      <c r="O18" s="11"/>
      <c r="P18" s="11"/>
      <c r="Q18" s="11"/>
      <c r="R18" s="10"/>
      <c r="S18" s="10"/>
      <c r="T18" s="10"/>
      <c r="V18" s="33"/>
      <c r="X18" s="10"/>
    </row>
    <row r="19" spans="1:34" x14ac:dyDescent="0.15">
      <c r="A19" s="109" t="s">
        <v>3446</v>
      </c>
      <c r="B19" s="110" t="s">
        <v>3447</v>
      </c>
      <c r="C19" s="98">
        <v>6724</v>
      </c>
      <c r="D19" s="124"/>
      <c r="E19" s="110" t="s">
        <v>3445</v>
      </c>
      <c r="F19" s="125"/>
      <c r="G19" s="35"/>
      <c r="H19" s="11"/>
      <c r="I19" s="11"/>
      <c r="J19" s="11"/>
      <c r="K19" s="10"/>
      <c r="L19" s="11"/>
      <c r="M19" s="11"/>
      <c r="N19" s="11"/>
      <c r="O19" s="11"/>
      <c r="P19" s="11"/>
      <c r="Q19" s="11"/>
      <c r="R19" s="10"/>
      <c r="S19" s="10"/>
      <c r="T19" s="10"/>
      <c r="V19" s="33"/>
      <c r="X19" s="10"/>
    </row>
    <row r="20" spans="1:34" x14ac:dyDescent="0.15">
      <c r="A20" s="80" t="s">
        <v>2059</v>
      </c>
      <c r="B20" s="81" t="s">
        <v>2060</v>
      </c>
      <c r="C20" s="82">
        <v>9100</v>
      </c>
      <c r="D20" s="83"/>
      <c r="E20" s="81" t="s">
        <v>2073</v>
      </c>
      <c r="F20" s="96"/>
      <c r="G20" s="35"/>
      <c r="H20" s="11"/>
      <c r="I20" s="10"/>
      <c r="J20" s="10"/>
      <c r="K20" s="10"/>
      <c r="L20" s="11"/>
      <c r="M20" s="11"/>
      <c r="N20" s="11"/>
      <c r="O20" s="11"/>
      <c r="P20" s="11"/>
      <c r="Q20" s="11"/>
      <c r="R20" s="10"/>
      <c r="S20" s="10"/>
      <c r="T20" s="10"/>
      <c r="V20" s="33"/>
      <c r="W20" s="23"/>
      <c r="X20" s="10"/>
    </row>
    <row r="21" spans="1:34" ht="14" x14ac:dyDescent="0.15">
      <c r="A21" s="109" t="s">
        <v>1959</v>
      </c>
      <c r="B21" s="110" t="s">
        <v>1960</v>
      </c>
      <c r="C21" s="98">
        <v>696</v>
      </c>
      <c r="D21" s="45" t="s">
        <v>4074</v>
      </c>
      <c r="E21" s="110" t="s">
        <v>2048</v>
      </c>
      <c r="F21" s="125"/>
      <c r="G21" s="35"/>
      <c r="H21" s="11"/>
      <c r="I21" s="10"/>
      <c r="J21" s="10"/>
      <c r="K21" s="10"/>
      <c r="L21" s="11"/>
      <c r="M21" s="11"/>
      <c r="N21" s="11"/>
      <c r="O21" s="11"/>
      <c r="P21" s="11"/>
      <c r="Q21" s="11"/>
      <c r="R21" s="10"/>
      <c r="S21" s="10"/>
      <c r="T21" s="10"/>
      <c r="V21" s="33"/>
      <c r="W21" s="23"/>
      <c r="X21" s="10"/>
    </row>
    <row r="22" spans="1:34" ht="14" x14ac:dyDescent="0.15">
      <c r="A22" s="80" t="s">
        <v>3300</v>
      </c>
      <c r="B22" s="81" t="s">
        <v>3301</v>
      </c>
      <c r="C22" s="82">
        <v>11350</v>
      </c>
      <c r="D22" s="97" t="s">
        <v>4075</v>
      </c>
      <c r="E22" s="81" t="s">
        <v>3337</v>
      </c>
      <c r="F22" s="96"/>
      <c r="G22" s="35"/>
      <c r="H22" s="10"/>
      <c r="I22" s="11"/>
      <c r="J22" s="10"/>
      <c r="K22" s="10"/>
      <c r="L22" s="11"/>
      <c r="M22" s="11"/>
      <c r="N22" s="11"/>
      <c r="O22" s="11"/>
      <c r="P22" s="11"/>
      <c r="Q22" s="11"/>
      <c r="R22" s="10"/>
      <c r="S22" s="10"/>
      <c r="T22" s="10"/>
      <c r="V22" s="33"/>
      <c r="W22" s="23"/>
      <c r="X22" s="10"/>
    </row>
    <row r="23" spans="1:34" ht="14" x14ac:dyDescent="0.15">
      <c r="A23" s="109" t="s">
        <v>76</v>
      </c>
      <c r="B23" s="110" t="s">
        <v>77</v>
      </c>
      <c r="C23" s="98">
        <v>61323</v>
      </c>
      <c r="D23" s="45" t="s">
        <v>4075</v>
      </c>
      <c r="E23" s="110" t="s">
        <v>178</v>
      </c>
      <c r="F23" s="125"/>
      <c r="G23" s="35"/>
      <c r="H23" s="10"/>
      <c r="I23" s="11"/>
      <c r="J23" s="11"/>
      <c r="K23" s="11"/>
      <c r="L23" s="11"/>
      <c r="M23" s="11"/>
      <c r="N23" s="11"/>
      <c r="O23" s="11"/>
      <c r="P23" s="11"/>
      <c r="Q23" s="11"/>
      <c r="R23" s="10"/>
      <c r="S23" s="10"/>
      <c r="T23" s="10"/>
      <c r="V23" s="33"/>
      <c r="X23" s="10"/>
    </row>
    <row r="24" spans="1:34" x14ac:dyDescent="0.15">
      <c r="A24" s="80" t="s">
        <v>1775</v>
      </c>
      <c r="B24" s="81" t="s">
        <v>1776</v>
      </c>
      <c r="C24" s="82">
        <v>6200</v>
      </c>
      <c r="D24" s="83"/>
      <c r="E24" s="81" t="s">
        <v>3134</v>
      </c>
      <c r="F24" s="96"/>
      <c r="V24" s="33"/>
      <c r="X24" s="10"/>
    </row>
    <row r="25" spans="1:34" x14ac:dyDescent="0.15">
      <c r="A25" s="109" t="s">
        <v>3887</v>
      </c>
      <c r="B25" s="110" t="s">
        <v>3888</v>
      </c>
      <c r="C25" s="98">
        <v>700114</v>
      </c>
      <c r="D25" s="124"/>
      <c r="E25" s="110" t="s">
        <v>3976</v>
      </c>
      <c r="F25" s="125"/>
    </row>
    <row r="26" spans="1:34" ht="14" thickBot="1" x14ac:dyDescent="0.2">
      <c r="A26" s="46" t="s">
        <v>4082</v>
      </c>
      <c r="B26" s="47"/>
      <c r="C26" s="99">
        <f>SUM(C3:C25)</f>
        <v>4773239</v>
      </c>
      <c r="D26" s="47"/>
      <c r="E26" s="47"/>
      <c r="F26" s="48"/>
    </row>
    <row r="27" spans="1:34" x14ac:dyDescent="0.15">
      <c r="A27" s="52"/>
      <c r="B27" s="52"/>
      <c r="C27" s="52"/>
      <c r="D27" s="52"/>
      <c r="E27" s="52"/>
      <c r="F27" s="90"/>
      <c r="G27" s="52"/>
      <c r="H27" s="52"/>
      <c r="I27" s="52"/>
      <c r="J27" s="52"/>
      <c r="K27" s="52"/>
      <c r="L27" s="52"/>
      <c r="M27" s="52"/>
      <c r="N27" s="52"/>
      <c r="O27" s="52"/>
      <c r="P27" s="52"/>
      <c r="Q27" s="52"/>
      <c r="R27" s="52"/>
      <c r="S27" s="52"/>
      <c r="T27" s="52"/>
      <c r="U27" s="51"/>
      <c r="V27" s="52"/>
      <c r="W27" s="67" t="s">
        <v>2</v>
      </c>
      <c r="X27" s="68" t="s">
        <v>3</v>
      </c>
      <c r="Y27" s="68" t="s">
        <v>8</v>
      </c>
      <c r="Z27" s="68" t="s">
        <v>19</v>
      </c>
      <c r="AA27" s="68" t="s">
        <v>20</v>
      </c>
      <c r="AB27" s="69" t="s">
        <v>32</v>
      </c>
      <c r="AC27" s="70" t="s">
        <v>12</v>
      </c>
      <c r="AD27" s="104"/>
      <c r="AE27" s="50"/>
      <c r="AF27" s="22"/>
      <c r="AG27" s="49"/>
      <c r="AH27" s="49"/>
    </row>
    <row r="28" spans="1:34" x14ac:dyDescent="0.15">
      <c r="B28" s="11"/>
      <c r="C28" s="10"/>
      <c r="D28" s="11"/>
      <c r="E28" s="11"/>
      <c r="F28" s="10"/>
      <c r="G28" s="11"/>
      <c r="H28" s="10" t="s">
        <v>1817</v>
      </c>
      <c r="I28" s="10" t="s">
        <v>1818</v>
      </c>
      <c r="J28" s="92"/>
      <c r="K28" s="92"/>
      <c r="L28" s="92"/>
      <c r="M28" s="92"/>
      <c r="N28" s="92"/>
      <c r="O28" s="92"/>
      <c r="P28" s="92"/>
      <c r="Q28" s="92"/>
      <c r="R28" s="89"/>
      <c r="S28" s="89"/>
      <c r="T28" s="89"/>
      <c r="U28" s="51"/>
      <c r="V28" s="89"/>
      <c r="W28" s="58" t="s">
        <v>2595</v>
      </c>
      <c r="X28" s="53" t="s">
        <v>2596</v>
      </c>
      <c r="Y28" s="53" t="s">
        <v>552</v>
      </c>
      <c r="Z28" s="53" t="s">
        <v>2503</v>
      </c>
      <c r="AA28" s="53" t="s">
        <v>2504</v>
      </c>
      <c r="AB28" s="54">
        <v>18600</v>
      </c>
      <c r="AC28" s="59" t="s">
        <v>2502</v>
      </c>
    </row>
    <row r="29" spans="1:34" x14ac:dyDescent="0.15">
      <c r="A29" s="89"/>
      <c r="B29" s="89"/>
      <c r="C29" s="89"/>
      <c r="D29" s="89"/>
      <c r="E29" s="89"/>
      <c r="F29" s="91"/>
      <c r="G29" s="92"/>
      <c r="H29" s="92"/>
      <c r="I29" s="92"/>
      <c r="J29" s="92"/>
      <c r="K29" s="92"/>
      <c r="L29" s="92"/>
      <c r="M29" s="92"/>
      <c r="N29" s="92"/>
      <c r="O29" s="92"/>
      <c r="P29" s="92"/>
      <c r="Q29" s="92"/>
      <c r="R29" s="89"/>
      <c r="S29" s="89"/>
      <c r="T29" s="89"/>
      <c r="U29" s="51"/>
      <c r="V29" s="89"/>
      <c r="W29" s="60" t="s">
        <v>2602</v>
      </c>
      <c r="X29" s="55" t="s">
        <v>1139</v>
      </c>
      <c r="Y29" s="55" t="s">
        <v>1683</v>
      </c>
      <c r="Z29" s="55" t="s">
        <v>2503</v>
      </c>
      <c r="AA29" s="55" t="s">
        <v>2504</v>
      </c>
      <c r="AB29" s="56">
        <v>10000</v>
      </c>
      <c r="AC29" s="61" t="s">
        <v>2502</v>
      </c>
    </row>
    <row r="30" spans="1:34" ht="3" customHeight="1" x14ac:dyDescent="0.15">
      <c r="A30" s="51"/>
      <c r="B30" s="51"/>
      <c r="C30" s="51"/>
      <c r="D30" s="51"/>
      <c r="E30" s="51"/>
      <c r="F30" s="93"/>
      <c r="G30" s="51"/>
      <c r="H30" s="51"/>
      <c r="I30" s="51"/>
      <c r="J30" s="51"/>
      <c r="K30" s="51"/>
      <c r="L30" s="51"/>
      <c r="M30" s="51"/>
      <c r="N30" s="51"/>
      <c r="O30" s="51"/>
      <c r="P30" s="51"/>
      <c r="Q30" s="51"/>
      <c r="R30" s="51"/>
      <c r="S30" s="51"/>
      <c r="T30" s="51"/>
      <c r="U30" s="51"/>
      <c r="V30" s="51"/>
      <c r="W30" s="62"/>
      <c r="X30" s="34"/>
      <c r="Y30" s="34"/>
      <c r="Z30" s="34"/>
      <c r="AA30" s="34"/>
      <c r="AB30" s="63"/>
      <c r="AC30" s="64"/>
    </row>
    <row r="31" spans="1:34" x14ac:dyDescent="0.15">
      <c r="A31" s="89"/>
      <c r="B31" s="89"/>
      <c r="C31" s="89"/>
      <c r="D31" s="89"/>
      <c r="E31" s="89"/>
      <c r="F31" s="91"/>
      <c r="G31" s="92"/>
      <c r="H31" s="89"/>
      <c r="I31" s="89"/>
      <c r="J31" s="89"/>
      <c r="K31" s="89"/>
      <c r="L31" s="92"/>
      <c r="M31" s="92"/>
      <c r="N31" s="92"/>
      <c r="O31" s="92"/>
      <c r="P31" s="92"/>
      <c r="Q31" s="92"/>
      <c r="R31" s="89"/>
      <c r="S31" s="89"/>
      <c r="T31" s="89"/>
      <c r="U31" s="51"/>
      <c r="V31" s="89"/>
      <c r="W31" s="71" t="s">
        <v>1262</v>
      </c>
      <c r="X31" s="72" t="s">
        <v>1263</v>
      </c>
      <c r="Y31" s="72" t="s">
        <v>568</v>
      </c>
      <c r="Z31" s="72" t="s">
        <v>1267</v>
      </c>
      <c r="AA31" s="72" t="s">
        <v>1268</v>
      </c>
      <c r="AB31" s="73">
        <v>1000</v>
      </c>
      <c r="AC31" s="74" t="s">
        <v>1266</v>
      </c>
    </row>
    <row r="32" spans="1:34" ht="3" customHeight="1" x14ac:dyDescent="0.15">
      <c r="A32" s="51"/>
      <c r="B32" s="51"/>
      <c r="C32" s="51"/>
      <c r="D32" s="51"/>
      <c r="E32" s="51"/>
      <c r="F32" s="93"/>
      <c r="G32" s="51"/>
      <c r="H32" s="51"/>
      <c r="I32" s="51"/>
      <c r="J32" s="51"/>
      <c r="K32" s="51"/>
      <c r="L32" s="51"/>
      <c r="M32" s="51"/>
      <c r="N32" s="51"/>
      <c r="O32" s="51"/>
      <c r="P32" s="51"/>
      <c r="Q32" s="51"/>
      <c r="R32" s="51"/>
      <c r="S32" s="51"/>
      <c r="T32" s="51"/>
      <c r="U32" s="51"/>
      <c r="V32" s="51"/>
      <c r="W32" s="62"/>
      <c r="X32" s="34"/>
      <c r="Y32" s="34"/>
      <c r="Z32" s="34"/>
      <c r="AA32" s="34"/>
      <c r="AB32" s="63"/>
      <c r="AC32" s="64"/>
    </row>
    <row r="33" spans="1:30" x14ac:dyDescent="0.15">
      <c r="A33" s="89"/>
      <c r="B33" s="89"/>
      <c r="C33" s="89"/>
      <c r="D33" s="89"/>
      <c r="E33" s="89"/>
      <c r="F33" s="91"/>
      <c r="G33" s="92"/>
      <c r="H33" s="89"/>
      <c r="I33" s="89"/>
      <c r="J33" s="92"/>
      <c r="K33" s="89"/>
      <c r="L33" s="92"/>
      <c r="M33" s="92"/>
      <c r="N33" s="92"/>
      <c r="O33" s="92"/>
      <c r="P33" s="92"/>
      <c r="Q33" s="92"/>
      <c r="R33" s="89"/>
      <c r="S33" s="89"/>
      <c r="T33" s="89"/>
      <c r="U33" s="51"/>
      <c r="V33" s="89"/>
      <c r="W33" s="58" t="s">
        <v>3698</v>
      </c>
      <c r="X33" s="53" t="s">
        <v>3699</v>
      </c>
      <c r="Y33" s="53" t="s">
        <v>72</v>
      </c>
      <c r="Z33" s="53" t="s">
        <v>3534</v>
      </c>
      <c r="AA33" s="53" t="s">
        <v>3535</v>
      </c>
      <c r="AB33" s="54">
        <v>500000</v>
      </c>
      <c r="AC33" s="59" t="s">
        <v>3689</v>
      </c>
    </row>
    <row r="34" spans="1:30" x14ac:dyDescent="0.15">
      <c r="A34" s="89"/>
      <c r="B34" s="89"/>
      <c r="C34" s="89"/>
      <c r="D34" s="89"/>
      <c r="E34" s="89"/>
      <c r="F34" s="91"/>
      <c r="G34" s="92"/>
      <c r="H34" s="89"/>
      <c r="I34" s="89"/>
      <c r="J34" s="92"/>
      <c r="K34" s="89"/>
      <c r="L34" s="92"/>
      <c r="M34" s="92"/>
      <c r="N34" s="92"/>
      <c r="O34" s="92"/>
      <c r="P34" s="92"/>
      <c r="Q34" s="92"/>
      <c r="R34" s="89"/>
      <c r="S34" s="89"/>
      <c r="T34" s="89"/>
      <c r="U34" s="51"/>
      <c r="V34" s="89"/>
      <c r="W34" s="40" t="s">
        <v>3708</v>
      </c>
      <c r="X34" s="41" t="s">
        <v>3709</v>
      </c>
      <c r="Y34" s="41" t="s">
        <v>229</v>
      </c>
      <c r="Z34" s="41" t="s">
        <v>3534</v>
      </c>
      <c r="AA34" s="41" t="s">
        <v>3535</v>
      </c>
      <c r="AB34" s="57">
        <v>7000</v>
      </c>
      <c r="AC34" s="66" t="s">
        <v>3711</v>
      </c>
    </row>
    <row r="35" spans="1:30" x14ac:dyDescent="0.15">
      <c r="A35" s="89"/>
      <c r="B35" s="89"/>
      <c r="C35" s="89"/>
      <c r="D35" s="89"/>
      <c r="E35" s="89"/>
      <c r="F35" s="91"/>
      <c r="G35" s="92"/>
      <c r="H35" s="89"/>
      <c r="I35" s="89"/>
      <c r="J35" s="92"/>
      <c r="K35" s="89"/>
      <c r="L35" s="92"/>
      <c r="M35" s="92"/>
      <c r="N35" s="92"/>
      <c r="O35" s="92"/>
      <c r="P35" s="92"/>
      <c r="Q35" s="92"/>
      <c r="R35" s="89"/>
      <c r="S35" s="89"/>
      <c r="T35" s="89"/>
      <c r="U35" s="51"/>
      <c r="V35" s="89"/>
      <c r="W35" s="40" t="s">
        <v>3721</v>
      </c>
      <c r="X35" s="41" t="s">
        <v>3722</v>
      </c>
      <c r="Y35" s="41" t="s">
        <v>3724</v>
      </c>
      <c r="Z35" s="41" t="s">
        <v>3534</v>
      </c>
      <c r="AA35" s="41" t="s">
        <v>3535</v>
      </c>
      <c r="AB35" s="57">
        <v>600000</v>
      </c>
      <c r="AC35" s="66" t="s">
        <v>3725</v>
      </c>
    </row>
    <row r="36" spans="1:30" x14ac:dyDescent="0.15">
      <c r="A36" s="89"/>
      <c r="B36" s="89"/>
      <c r="C36" s="89"/>
      <c r="D36" s="89"/>
      <c r="E36" s="89"/>
      <c r="F36" s="91"/>
      <c r="G36" s="92"/>
      <c r="H36" s="89"/>
      <c r="I36" s="89"/>
      <c r="J36" s="92"/>
      <c r="K36" s="89"/>
      <c r="L36" s="92"/>
      <c r="M36" s="92"/>
      <c r="N36" s="92"/>
      <c r="O36" s="92"/>
      <c r="P36" s="92"/>
      <c r="Q36" s="92"/>
      <c r="R36" s="89"/>
      <c r="S36" s="89"/>
      <c r="T36" s="89"/>
      <c r="U36" s="51"/>
      <c r="V36" s="89"/>
      <c r="W36" s="40" t="s">
        <v>3736</v>
      </c>
      <c r="X36" s="41" t="s">
        <v>3737</v>
      </c>
      <c r="Y36" s="41" t="s">
        <v>3739</v>
      </c>
      <c r="Z36" s="41" t="s">
        <v>3534</v>
      </c>
      <c r="AA36" s="41" t="s">
        <v>3535</v>
      </c>
      <c r="AB36" s="57">
        <v>260000</v>
      </c>
      <c r="AC36" s="66" t="s">
        <v>3711</v>
      </c>
    </row>
    <row r="37" spans="1:30" x14ac:dyDescent="0.15">
      <c r="A37" s="89"/>
      <c r="B37" s="89"/>
      <c r="C37" s="89"/>
      <c r="D37" s="89"/>
      <c r="E37" s="89"/>
      <c r="F37" s="91"/>
      <c r="G37" s="92"/>
      <c r="H37" s="89"/>
      <c r="I37" s="89"/>
      <c r="J37" s="92"/>
      <c r="K37" s="89"/>
      <c r="L37" s="92"/>
      <c r="M37" s="92"/>
      <c r="N37" s="92"/>
      <c r="O37" s="92"/>
      <c r="P37" s="92"/>
      <c r="Q37" s="92"/>
      <c r="R37" s="89"/>
      <c r="S37" s="89"/>
      <c r="T37" s="89"/>
      <c r="U37" s="51"/>
      <c r="V37" s="89"/>
      <c r="W37" s="40" t="s">
        <v>3748</v>
      </c>
      <c r="X37" s="41" t="s">
        <v>3749</v>
      </c>
      <c r="Y37" s="41" t="s">
        <v>3751</v>
      </c>
      <c r="Z37" s="41" t="s">
        <v>3534</v>
      </c>
      <c r="AA37" s="41" t="s">
        <v>3535</v>
      </c>
      <c r="AB37" s="57">
        <v>1150000</v>
      </c>
      <c r="AC37" s="66" t="s">
        <v>3711</v>
      </c>
    </row>
    <row r="38" spans="1:30" x14ac:dyDescent="0.15">
      <c r="A38" s="89"/>
      <c r="B38" s="89"/>
      <c r="C38" s="89"/>
      <c r="D38" s="89"/>
      <c r="E38" s="89"/>
      <c r="F38" s="91"/>
      <c r="G38" s="92"/>
      <c r="H38" s="89"/>
      <c r="I38" s="89"/>
      <c r="J38" s="92"/>
      <c r="K38" s="89"/>
      <c r="L38" s="92"/>
      <c r="M38" s="92"/>
      <c r="N38" s="92"/>
      <c r="O38" s="92"/>
      <c r="P38" s="92"/>
      <c r="Q38" s="92"/>
      <c r="R38" s="89"/>
      <c r="S38" s="89"/>
      <c r="T38" s="89"/>
      <c r="U38" s="51"/>
      <c r="V38" s="89"/>
      <c r="W38" s="40" t="s">
        <v>3759</v>
      </c>
      <c r="X38" s="41" t="s">
        <v>3760</v>
      </c>
      <c r="Y38" s="41" t="s">
        <v>239</v>
      </c>
      <c r="Z38" s="41" t="s">
        <v>3534</v>
      </c>
      <c r="AA38" s="41" t="s">
        <v>3535</v>
      </c>
      <c r="AB38" s="57">
        <v>195000</v>
      </c>
      <c r="AC38" s="66" t="s">
        <v>3711</v>
      </c>
    </row>
    <row r="39" spans="1:30" x14ac:dyDescent="0.15">
      <c r="A39" s="89"/>
      <c r="B39" s="89"/>
      <c r="C39" s="89"/>
      <c r="D39" s="89"/>
      <c r="E39" s="89"/>
      <c r="F39" s="91"/>
      <c r="G39" s="92"/>
      <c r="H39" s="89"/>
      <c r="I39" s="89"/>
      <c r="J39" s="92"/>
      <c r="K39" s="89"/>
      <c r="L39" s="92"/>
      <c r="M39" s="92"/>
      <c r="N39" s="92"/>
      <c r="O39" s="92"/>
      <c r="P39" s="92"/>
      <c r="Q39" s="92"/>
      <c r="R39" s="89"/>
      <c r="S39" s="89"/>
      <c r="T39" s="89"/>
      <c r="U39" s="51"/>
      <c r="V39" s="89"/>
      <c r="W39" s="40" t="s">
        <v>3768</v>
      </c>
      <c r="X39" s="41" t="s">
        <v>3769</v>
      </c>
      <c r="Y39" s="41" t="s">
        <v>3751</v>
      </c>
      <c r="Z39" s="41" t="s">
        <v>3534</v>
      </c>
      <c r="AA39" s="41" t="s">
        <v>3535</v>
      </c>
      <c r="AB39" s="57">
        <v>800</v>
      </c>
      <c r="AC39" s="66" t="s">
        <v>3711</v>
      </c>
      <c r="AD39" s="16">
        <f>SUM(AB33:AB36,AB38)</f>
        <v>1562000</v>
      </c>
    </row>
    <row r="40" spans="1:30" x14ac:dyDescent="0.15">
      <c r="A40" s="89"/>
      <c r="B40" s="89"/>
      <c r="C40" s="89"/>
      <c r="D40" s="89"/>
      <c r="E40" s="89"/>
      <c r="F40" s="91"/>
      <c r="G40" s="92"/>
      <c r="H40" s="92"/>
      <c r="I40" s="89"/>
      <c r="J40" s="92"/>
      <c r="K40" s="89"/>
      <c r="L40" s="92"/>
      <c r="M40" s="92"/>
      <c r="N40" s="92"/>
      <c r="O40" s="92"/>
      <c r="P40" s="92"/>
      <c r="Q40" s="92"/>
      <c r="R40" s="89"/>
      <c r="S40" s="89"/>
      <c r="T40" s="89"/>
      <c r="U40" s="51"/>
      <c r="V40" s="89"/>
      <c r="W40" s="60" t="s">
        <v>3790</v>
      </c>
      <c r="X40" s="55" t="s">
        <v>1740</v>
      </c>
      <c r="Y40" s="55" t="s">
        <v>568</v>
      </c>
      <c r="Z40" s="55" t="s">
        <v>3534</v>
      </c>
      <c r="AA40" s="55" t="s">
        <v>3535</v>
      </c>
      <c r="AB40" s="56">
        <v>48664</v>
      </c>
      <c r="AC40" s="61" t="s">
        <v>3711</v>
      </c>
    </row>
    <row r="41" spans="1:30" ht="3" customHeight="1" x14ac:dyDescent="0.15">
      <c r="A41" s="51"/>
      <c r="B41" s="51"/>
      <c r="C41" s="51"/>
      <c r="D41" s="51"/>
      <c r="E41" s="51"/>
      <c r="F41" s="93"/>
      <c r="G41" s="51"/>
      <c r="H41" s="51"/>
      <c r="I41" s="51"/>
      <c r="J41" s="51"/>
      <c r="K41" s="51"/>
      <c r="L41" s="51"/>
      <c r="M41" s="51"/>
      <c r="N41" s="51"/>
      <c r="O41" s="51"/>
      <c r="P41" s="51"/>
      <c r="Q41" s="51"/>
      <c r="R41" s="51"/>
      <c r="S41" s="51"/>
      <c r="T41" s="51"/>
      <c r="U41" s="51"/>
      <c r="V41" s="51"/>
      <c r="W41" s="62"/>
      <c r="X41" s="34"/>
      <c r="Y41" s="34"/>
      <c r="Z41" s="34"/>
      <c r="AA41" s="34"/>
      <c r="AB41" s="63"/>
      <c r="AC41" s="64"/>
    </row>
    <row r="42" spans="1:30" x14ac:dyDescent="0.15">
      <c r="A42" s="94"/>
      <c r="B42" s="89"/>
      <c r="C42" s="89"/>
      <c r="D42" s="89"/>
      <c r="E42" s="89"/>
      <c r="F42" s="91"/>
      <c r="G42" s="92"/>
      <c r="H42" s="92"/>
      <c r="I42" s="92"/>
      <c r="J42" s="92"/>
      <c r="K42" s="92"/>
      <c r="L42" s="92"/>
      <c r="M42" s="92"/>
      <c r="N42" s="92"/>
      <c r="O42" s="92"/>
      <c r="P42" s="92"/>
      <c r="Q42" s="92"/>
      <c r="R42" s="89"/>
      <c r="S42" s="89"/>
      <c r="T42" s="89"/>
      <c r="U42" s="51"/>
      <c r="V42" s="89"/>
      <c r="W42" s="75" t="s">
        <v>3173</v>
      </c>
      <c r="X42" s="72" t="s">
        <v>3174</v>
      </c>
      <c r="Y42" s="72" t="s">
        <v>229</v>
      </c>
      <c r="Z42" s="72" t="s">
        <v>3178</v>
      </c>
      <c r="AA42" s="72" t="s">
        <v>3179</v>
      </c>
      <c r="AB42" s="73">
        <v>1</v>
      </c>
      <c r="AC42" s="74" t="s">
        <v>3177</v>
      </c>
    </row>
    <row r="43" spans="1:30" ht="3" customHeight="1" x14ac:dyDescent="0.15">
      <c r="A43" s="51"/>
      <c r="B43" s="51"/>
      <c r="C43" s="51"/>
      <c r="D43" s="51"/>
      <c r="E43" s="51"/>
      <c r="F43" s="93"/>
      <c r="G43" s="51"/>
      <c r="H43" s="51"/>
      <c r="I43" s="51"/>
      <c r="J43" s="51"/>
      <c r="K43" s="51"/>
      <c r="L43" s="51"/>
      <c r="M43" s="51"/>
      <c r="N43" s="51"/>
      <c r="O43" s="51"/>
      <c r="P43" s="51"/>
      <c r="Q43" s="51"/>
      <c r="R43" s="51"/>
      <c r="S43" s="51"/>
      <c r="T43" s="51"/>
      <c r="U43" s="51"/>
      <c r="V43" s="51"/>
      <c r="W43" s="62"/>
      <c r="X43" s="34"/>
      <c r="Y43" s="34"/>
      <c r="Z43" s="34"/>
      <c r="AA43" s="34"/>
      <c r="AB43" s="63"/>
      <c r="AC43" s="64"/>
    </row>
    <row r="44" spans="1:30" x14ac:dyDescent="0.15">
      <c r="A44" s="89"/>
      <c r="B44" s="89"/>
      <c r="C44" s="89"/>
      <c r="D44" s="89"/>
      <c r="E44" s="89"/>
      <c r="F44" s="91"/>
      <c r="G44" s="92"/>
      <c r="H44" s="89"/>
      <c r="I44" s="89"/>
      <c r="J44" s="92"/>
      <c r="K44" s="92"/>
      <c r="L44" s="92"/>
      <c r="M44" s="92"/>
      <c r="N44" s="92"/>
      <c r="O44" s="92"/>
      <c r="P44" s="92"/>
      <c r="Q44" s="92"/>
      <c r="R44" s="89"/>
      <c r="S44" s="89"/>
      <c r="T44" s="89"/>
      <c r="U44" s="51"/>
      <c r="V44" s="89"/>
      <c r="W44" s="58" t="s">
        <v>3278</v>
      </c>
      <c r="X44" s="53" t="s">
        <v>1672</v>
      </c>
      <c r="Y44" s="53" t="s">
        <v>552</v>
      </c>
      <c r="Z44" s="53" t="s">
        <v>3253</v>
      </c>
      <c r="AA44" s="53" t="s">
        <v>3254</v>
      </c>
      <c r="AB44" s="54">
        <v>450000</v>
      </c>
      <c r="AC44" s="59" t="s">
        <v>3280</v>
      </c>
    </row>
    <row r="45" spans="1:30" x14ac:dyDescent="0.15">
      <c r="A45" s="89"/>
      <c r="B45" s="89"/>
      <c r="C45" s="89"/>
      <c r="D45" s="89"/>
      <c r="E45" s="89"/>
      <c r="F45" s="91"/>
      <c r="G45" s="92"/>
      <c r="H45" s="92"/>
      <c r="I45" s="89"/>
      <c r="J45" s="92"/>
      <c r="K45" s="92"/>
      <c r="L45" s="92"/>
      <c r="M45" s="92"/>
      <c r="N45" s="92"/>
      <c r="O45" s="92"/>
      <c r="P45" s="92"/>
      <c r="Q45" s="92"/>
      <c r="R45" s="89"/>
      <c r="S45" s="89"/>
      <c r="T45" s="89"/>
      <c r="U45" s="51"/>
      <c r="V45" s="89"/>
      <c r="W45" s="60" t="s">
        <v>3286</v>
      </c>
      <c r="X45" s="55" t="s">
        <v>3287</v>
      </c>
      <c r="Y45" s="55" t="s">
        <v>1683</v>
      </c>
      <c r="Z45" s="55" t="s">
        <v>3253</v>
      </c>
      <c r="AA45" s="55" t="s">
        <v>3254</v>
      </c>
      <c r="AB45" s="56">
        <v>62000</v>
      </c>
      <c r="AC45" s="61" t="s">
        <v>3289</v>
      </c>
    </row>
    <row r="46" spans="1:30" ht="3" customHeight="1" x14ac:dyDescent="0.15">
      <c r="A46" s="51"/>
      <c r="B46" s="51"/>
      <c r="C46" s="51"/>
      <c r="D46" s="51"/>
      <c r="E46" s="51"/>
      <c r="F46" s="93"/>
      <c r="G46" s="51"/>
      <c r="H46" s="51"/>
      <c r="I46" s="51"/>
      <c r="J46" s="51"/>
      <c r="K46" s="51"/>
      <c r="L46" s="51"/>
      <c r="M46" s="51"/>
      <c r="N46" s="51"/>
      <c r="O46" s="51"/>
      <c r="P46" s="51"/>
      <c r="Q46" s="51"/>
      <c r="R46" s="51"/>
      <c r="S46" s="51"/>
      <c r="T46" s="51"/>
      <c r="U46" s="51"/>
      <c r="V46" s="51"/>
      <c r="W46" s="62"/>
      <c r="X46" s="34"/>
      <c r="Y46" s="34"/>
      <c r="Z46" s="34"/>
      <c r="AA46" s="34"/>
      <c r="AB46" s="63"/>
      <c r="AC46" s="64"/>
    </row>
    <row r="47" spans="1:30" x14ac:dyDescent="0.15">
      <c r="A47" s="89"/>
      <c r="B47" s="89"/>
      <c r="C47" s="89"/>
      <c r="D47" s="89"/>
      <c r="E47" s="89"/>
      <c r="F47" s="91"/>
      <c r="G47" s="92"/>
      <c r="H47" s="89"/>
      <c r="I47" s="89"/>
      <c r="J47" s="89"/>
      <c r="K47" s="89"/>
      <c r="L47" s="92"/>
      <c r="M47" s="92"/>
      <c r="N47" s="92"/>
      <c r="O47" s="92"/>
      <c r="P47" s="92"/>
      <c r="Q47" s="92"/>
      <c r="R47" s="89"/>
      <c r="S47" s="89"/>
      <c r="T47" s="89"/>
      <c r="U47" s="51"/>
      <c r="V47" s="89"/>
      <c r="W47" s="76" t="s">
        <v>3409</v>
      </c>
      <c r="X47" s="77" t="s">
        <v>3410</v>
      </c>
      <c r="Y47" s="77" t="s">
        <v>552</v>
      </c>
      <c r="Z47" s="77" t="s">
        <v>3358</v>
      </c>
      <c r="AA47" s="77" t="s">
        <v>3359</v>
      </c>
      <c r="AB47" s="78">
        <v>2933</v>
      </c>
      <c r="AC47" s="79" t="s">
        <v>3357</v>
      </c>
    </row>
    <row r="48" spans="1:30" x14ac:dyDescent="0.15">
      <c r="A48" s="89"/>
      <c r="B48" s="89"/>
      <c r="C48" s="89"/>
      <c r="D48" s="89"/>
      <c r="E48" s="89"/>
      <c r="F48" s="91"/>
      <c r="G48" s="92"/>
      <c r="H48" s="89"/>
      <c r="I48" s="89"/>
      <c r="J48" s="89"/>
      <c r="K48" s="89"/>
      <c r="L48" s="92"/>
      <c r="M48" s="92"/>
      <c r="N48" s="92"/>
      <c r="O48" s="92"/>
      <c r="P48" s="92"/>
      <c r="Q48" s="92"/>
      <c r="R48" s="89"/>
      <c r="S48" s="89"/>
      <c r="T48" s="89"/>
      <c r="U48" s="51"/>
      <c r="V48" s="89"/>
      <c r="W48" s="80" t="s">
        <v>3419</v>
      </c>
      <c r="X48" s="81" t="s">
        <v>3347</v>
      </c>
      <c r="Y48" s="81" t="s">
        <v>561</v>
      </c>
      <c r="Z48" s="81" t="s">
        <v>3358</v>
      </c>
      <c r="AA48" s="81" t="s">
        <v>3359</v>
      </c>
      <c r="AB48" s="82">
        <v>1843</v>
      </c>
      <c r="AC48" s="84" t="s">
        <v>3357</v>
      </c>
    </row>
    <row r="49" spans="1:30" x14ac:dyDescent="0.15">
      <c r="A49" s="89"/>
      <c r="B49" s="89"/>
      <c r="C49" s="89"/>
      <c r="D49" s="89"/>
      <c r="E49" s="89"/>
      <c r="F49" s="91"/>
      <c r="G49" s="92"/>
      <c r="H49" s="89"/>
      <c r="I49" s="89"/>
      <c r="J49" s="89"/>
      <c r="K49" s="89"/>
      <c r="L49" s="92"/>
      <c r="M49" s="92"/>
      <c r="N49" s="92"/>
      <c r="O49" s="92"/>
      <c r="P49" s="92"/>
      <c r="Q49" s="92"/>
      <c r="R49" s="89"/>
      <c r="S49" s="89"/>
      <c r="T49" s="89"/>
      <c r="U49" s="51"/>
      <c r="V49" s="89"/>
      <c r="W49" s="85" t="s">
        <v>3427</v>
      </c>
      <c r="X49" s="86" t="s">
        <v>1756</v>
      </c>
      <c r="Y49" s="86" t="s">
        <v>568</v>
      </c>
      <c r="Z49" s="86" t="s">
        <v>3358</v>
      </c>
      <c r="AA49" s="86" t="s">
        <v>3359</v>
      </c>
      <c r="AB49" s="87">
        <v>1325</v>
      </c>
      <c r="AC49" s="88" t="s">
        <v>3357</v>
      </c>
    </row>
    <row r="50" spans="1:30" ht="3" customHeight="1" x14ac:dyDescent="0.15">
      <c r="A50" s="51"/>
      <c r="B50" s="51"/>
      <c r="C50" s="51"/>
      <c r="D50" s="51"/>
      <c r="E50" s="51"/>
      <c r="F50" s="93"/>
      <c r="G50" s="51"/>
      <c r="H50" s="51"/>
      <c r="I50" s="51"/>
      <c r="J50" s="51"/>
      <c r="K50" s="51"/>
      <c r="L50" s="51"/>
      <c r="M50" s="51"/>
      <c r="N50" s="51"/>
      <c r="O50" s="51"/>
      <c r="P50" s="51"/>
      <c r="Q50" s="51"/>
      <c r="R50" s="51"/>
      <c r="S50" s="51"/>
      <c r="T50" s="51"/>
      <c r="U50" s="51"/>
      <c r="V50" s="51"/>
      <c r="W50" s="62"/>
      <c r="X50" s="34"/>
      <c r="Y50" s="34"/>
      <c r="Z50" s="34"/>
      <c r="AA50" s="34"/>
      <c r="AB50" s="63"/>
      <c r="AC50" s="64"/>
    </row>
    <row r="51" spans="1:30" x14ac:dyDescent="0.15">
      <c r="A51" s="89"/>
      <c r="B51" s="89"/>
      <c r="C51" s="89"/>
      <c r="D51" s="89"/>
      <c r="E51" s="89"/>
      <c r="F51" s="91"/>
      <c r="G51" s="92"/>
      <c r="H51" s="89"/>
      <c r="I51" s="92"/>
      <c r="J51" s="92"/>
      <c r="K51" s="89"/>
      <c r="L51" s="92"/>
      <c r="M51" s="92"/>
      <c r="N51" s="92"/>
      <c r="O51" s="92"/>
      <c r="P51" s="92"/>
      <c r="Q51" s="92"/>
      <c r="R51" s="89"/>
      <c r="S51" s="89"/>
      <c r="T51" s="89"/>
      <c r="U51" s="51"/>
      <c r="V51" s="89"/>
      <c r="W51" s="58" t="s">
        <v>2852</v>
      </c>
      <c r="X51" s="53" t="s">
        <v>2853</v>
      </c>
      <c r="Y51" s="53" t="s">
        <v>239</v>
      </c>
      <c r="Z51" s="53" t="s">
        <v>2618</v>
      </c>
      <c r="AA51" s="53" t="s">
        <v>2619</v>
      </c>
      <c r="AB51" s="54">
        <v>378</v>
      </c>
      <c r="AC51" s="59" t="s">
        <v>2855</v>
      </c>
    </row>
    <row r="52" spans="1:30" x14ac:dyDescent="0.15">
      <c r="A52" s="89"/>
      <c r="B52" s="89"/>
      <c r="C52" s="89"/>
      <c r="D52" s="89"/>
      <c r="E52" s="89"/>
      <c r="F52" s="91"/>
      <c r="G52" s="92"/>
      <c r="H52" s="89"/>
      <c r="I52" s="92"/>
      <c r="J52" s="92"/>
      <c r="K52" s="89"/>
      <c r="L52" s="92"/>
      <c r="M52" s="92"/>
      <c r="N52" s="92"/>
      <c r="O52" s="92"/>
      <c r="P52" s="92"/>
      <c r="Q52" s="92"/>
      <c r="R52" s="89"/>
      <c r="S52" s="89"/>
      <c r="T52" s="89"/>
      <c r="U52" s="51"/>
      <c r="V52" s="89"/>
      <c r="W52" s="40" t="s">
        <v>2862</v>
      </c>
      <c r="X52" s="41" t="s">
        <v>2863</v>
      </c>
      <c r="Y52" s="41" t="s">
        <v>239</v>
      </c>
      <c r="Z52" s="41" t="s">
        <v>2618</v>
      </c>
      <c r="AA52" s="41" t="s">
        <v>2619</v>
      </c>
      <c r="AB52" s="57">
        <v>18</v>
      </c>
      <c r="AC52" s="66" t="s">
        <v>2855</v>
      </c>
    </row>
    <row r="53" spans="1:30" x14ac:dyDescent="0.15">
      <c r="A53" s="89"/>
      <c r="B53" s="89"/>
      <c r="C53" s="89"/>
      <c r="D53" s="89"/>
      <c r="E53" s="89"/>
      <c r="F53" s="91"/>
      <c r="G53" s="92"/>
      <c r="H53" s="92"/>
      <c r="I53" s="92"/>
      <c r="J53" s="92"/>
      <c r="K53" s="89"/>
      <c r="L53" s="92"/>
      <c r="M53" s="92"/>
      <c r="N53" s="92"/>
      <c r="O53" s="92"/>
      <c r="P53" s="92"/>
      <c r="Q53" s="92"/>
      <c r="R53" s="89"/>
      <c r="S53" s="89"/>
      <c r="T53" s="89"/>
      <c r="U53" s="51"/>
      <c r="V53" s="89"/>
      <c r="W53" s="40" t="s">
        <v>2871</v>
      </c>
      <c r="X53" s="41" t="s">
        <v>2872</v>
      </c>
      <c r="Y53" s="41" t="s">
        <v>239</v>
      </c>
      <c r="Z53" s="41" t="s">
        <v>2618</v>
      </c>
      <c r="AA53" s="41" t="s">
        <v>2619</v>
      </c>
      <c r="AB53" s="57">
        <v>62</v>
      </c>
      <c r="AC53" s="66" t="s">
        <v>2855</v>
      </c>
    </row>
    <row r="54" spans="1:30" x14ac:dyDescent="0.15">
      <c r="A54" s="89"/>
      <c r="B54" s="89"/>
      <c r="C54" s="89"/>
      <c r="D54" s="89"/>
      <c r="E54" s="89"/>
      <c r="F54" s="91"/>
      <c r="G54" s="92"/>
      <c r="H54" s="89"/>
      <c r="I54" s="92"/>
      <c r="J54" s="92"/>
      <c r="K54" s="92"/>
      <c r="L54" s="92"/>
      <c r="M54" s="92"/>
      <c r="N54" s="92"/>
      <c r="O54" s="92"/>
      <c r="P54" s="92"/>
      <c r="Q54" s="92"/>
      <c r="R54" s="89"/>
      <c r="S54" s="89"/>
      <c r="T54" s="89"/>
      <c r="U54" s="51"/>
      <c r="V54" s="89"/>
      <c r="W54" s="40" t="s">
        <v>2946</v>
      </c>
      <c r="X54" s="41" t="s">
        <v>2947</v>
      </c>
      <c r="Y54" s="41" t="s">
        <v>72</v>
      </c>
      <c r="Z54" s="41" t="s">
        <v>2618</v>
      </c>
      <c r="AA54" s="41" t="s">
        <v>2619</v>
      </c>
      <c r="AB54" s="57">
        <v>119</v>
      </c>
      <c r="AC54" s="66" t="s">
        <v>2855</v>
      </c>
    </row>
    <row r="55" spans="1:30" x14ac:dyDescent="0.15">
      <c r="A55" s="89"/>
      <c r="B55" s="89"/>
      <c r="C55" s="89"/>
      <c r="D55" s="89"/>
      <c r="E55" s="89"/>
      <c r="F55" s="91"/>
      <c r="G55" s="92"/>
      <c r="H55" s="89"/>
      <c r="I55" s="92"/>
      <c r="J55" s="89"/>
      <c r="K55" s="92"/>
      <c r="L55" s="92"/>
      <c r="M55" s="92"/>
      <c r="N55" s="92"/>
      <c r="O55" s="92"/>
      <c r="P55" s="92"/>
      <c r="Q55" s="92"/>
      <c r="R55" s="89"/>
      <c r="S55" s="89"/>
      <c r="T55" s="89"/>
      <c r="U55" s="51"/>
      <c r="V55" s="89"/>
      <c r="W55" s="40" t="s">
        <v>2954</v>
      </c>
      <c r="X55" s="41" t="s">
        <v>2955</v>
      </c>
      <c r="Y55" s="41" t="s">
        <v>72</v>
      </c>
      <c r="Z55" s="41" t="s">
        <v>2618</v>
      </c>
      <c r="AA55" s="41" t="s">
        <v>2619</v>
      </c>
      <c r="AB55" s="57">
        <v>12</v>
      </c>
      <c r="AC55" s="66" t="s">
        <v>2855</v>
      </c>
    </row>
    <row r="56" spans="1:30" x14ac:dyDescent="0.15">
      <c r="A56" s="89"/>
      <c r="B56" s="89"/>
      <c r="C56" s="89"/>
      <c r="D56" s="89"/>
      <c r="E56" s="89"/>
      <c r="F56" s="91"/>
      <c r="G56" s="92"/>
      <c r="H56" s="89"/>
      <c r="I56" s="92"/>
      <c r="J56" s="92"/>
      <c r="K56" s="92"/>
      <c r="L56" s="92"/>
      <c r="M56" s="92"/>
      <c r="N56" s="92"/>
      <c r="O56" s="92"/>
      <c r="P56" s="92"/>
      <c r="Q56" s="92"/>
      <c r="R56" s="89"/>
      <c r="S56" s="89"/>
      <c r="T56" s="89"/>
      <c r="U56" s="51"/>
      <c r="V56" s="89"/>
      <c r="W56" s="40" t="s">
        <v>2963</v>
      </c>
      <c r="X56" s="41" t="s">
        <v>2964</v>
      </c>
      <c r="Y56" s="41" t="s">
        <v>72</v>
      </c>
      <c r="Z56" s="41" t="s">
        <v>2618</v>
      </c>
      <c r="AA56" s="41" t="s">
        <v>2619</v>
      </c>
      <c r="AB56" s="57">
        <v>170</v>
      </c>
      <c r="AC56" s="66" t="s">
        <v>2855</v>
      </c>
    </row>
    <row r="57" spans="1:30" x14ac:dyDescent="0.15">
      <c r="A57" s="89"/>
      <c r="B57" s="89"/>
      <c r="C57" s="89"/>
      <c r="D57" s="89"/>
      <c r="E57" s="89"/>
      <c r="F57" s="91"/>
      <c r="G57" s="92"/>
      <c r="H57" s="92"/>
      <c r="I57" s="92"/>
      <c r="J57" s="92"/>
      <c r="K57" s="92"/>
      <c r="L57" s="92"/>
      <c r="M57" s="92"/>
      <c r="N57" s="92"/>
      <c r="O57" s="92"/>
      <c r="P57" s="92"/>
      <c r="Q57" s="92"/>
      <c r="R57" s="89"/>
      <c r="S57" s="89"/>
      <c r="T57" s="89"/>
      <c r="U57" s="51"/>
      <c r="V57" s="89"/>
      <c r="W57" s="40" t="s">
        <v>2971</v>
      </c>
      <c r="X57" s="41" t="s">
        <v>2972</v>
      </c>
      <c r="Y57" s="41" t="s">
        <v>72</v>
      </c>
      <c r="Z57" s="41" t="s">
        <v>2618</v>
      </c>
      <c r="AA57" s="41" t="s">
        <v>2619</v>
      </c>
      <c r="AB57" s="57">
        <v>116</v>
      </c>
      <c r="AC57" s="66" t="s">
        <v>2855</v>
      </c>
    </row>
    <row r="58" spans="1:30" x14ac:dyDescent="0.15">
      <c r="A58" s="89"/>
      <c r="B58" s="89"/>
      <c r="C58" s="89"/>
      <c r="D58" s="89"/>
      <c r="E58" s="89"/>
      <c r="F58" s="91"/>
      <c r="G58" s="92"/>
      <c r="H58" s="89"/>
      <c r="I58" s="92"/>
      <c r="J58" s="89"/>
      <c r="K58" s="89"/>
      <c r="L58" s="92"/>
      <c r="M58" s="92"/>
      <c r="N58" s="92"/>
      <c r="O58" s="92"/>
      <c r="P58" s="92"/>
      <c r="Q58" s="92"/>
      <c r="R58" s="89"/>
      <c r="S58" s="89"/>
      <c r="T58" s="89"/>
      <c r="U58" s="51"/>
      <c r="V58" s="89"/>
      <c r="W58" s="40" t="s">
        <v>2978</v>
      </c>
      <c r="X58" s="41" t="s">
        <v>2979</v>
      </c>
      <c r="Y58" s="41" t="s">
        <v>229</v>
      </c>
      <c r="Z58" s="41" t="s">
        <v>2618</v>
      </c>
      <c r="AA58" s="41" t="s">
        <v>2619</v>
      </c>
      <c r="AB58" s="57">
        <v>94</v>
      </c>
      <c r="AC58" s="66" t="s">
        <v>2855</v>
      </c>
    </row>
    <row r="59" spans="1:30" x14ac:dyDescent="0.15">
      <c r="A59" s="89"/>
      <c r="B59" s="89"/>
      <c r="C59" s="89"/>
      <c r="D59" s="89"/>
      <c r="E59" s="89"/>
      <c r="F59" s="91"/>
      <c r="G59" s="92"/>
      <c r="H59" s="89"/>
      <c r="I59" s="92"/>
      <c r="J59" s="92"/>
      <c r="K59" s="92"/>
      <c r="L59" s="92"/>
      <c r="M59" s="92"/>
      <c r="N59" s="92"/>
      <c r="O59" s="92"/>
      <c r="P59" s="92"/>
      <c r="Q59" s="92"/>
      <c r="R59" s="89"/>
      <c r="S59" s="89"/>
      <c r="T59" s="89"/>
      <c r="U59" s="51"/>
      <c r="V59" s="89"/>
      <c r="W59" s="40" t="s">
        <v>2988</v>
      </c>
      <c r="X59" s="41" t="s">
        <v>2989</v>
      </c>
      <c r="Y59" s="41" t="s">
        <v>229</v>
      </c>
      <c r="Z59" s="41" t="s">
        <v>2618</v>
      </c>
      <c r="AA59" s="41" t="s">
        <v>2619</v>
      </c>
      <c r="AB59" s="57">
        <v>1097</v>
      </c>
      <c r="AC59" s="66" t="s">
        <v>2855</v>
      </c>
    </row>
    <row r="60" spans="1:30" x14ac:dyDescent="0.15">
      <c r="A60" s="89"/>
      <c r="B60" s="89"/>
      <c r="C60" s="89"/>
      <c r="D60" s="89"/>
      <c r="E60" s="89"/>
      <c r="F60" s="91"/>
      <c r="G60" s="92"/>
      <c r="H60" s="89"/>
      <c r="I60" s="92"/>
      <c r="J60" s="92"/>
      <c r="K60" s="89"/>
      <c r="L60" s="92"/>
      <c r="M60" s="92"/>
      <c r="N60" s="92"/>
      <c r="O60" s="92"/>
      <c r="P60" s="92"/>
      <c r="Q60" s="92"/>
      <c r="R60" s="89"/>
      <c r="S60" s="89"/>
      <c r="T60" s="89"/>
      <c r="U60" s="51"/>
      <c r="V60" s="89"/>
      <c r="W60" s="40" t="s">
        <v>2996</v>
      </c>
      <c r="X60" s="41" t="s">
        <v>2997</v>
      </c>
      <c r="Y60" s="41" t="s">
        <v>229</v>
      </c>
      <c r="Z60" s="41" t="s">
        <v>2618</v>
      </c>
      <c r="AA60" s="41" t="s">
        <v>2619</v>
      </c>
      <c r="AB60" s="57">
        <v>21</v>
      </c>
      <c r="AC60" s="66" t="s">
        <v>2855</v>
      </c>
    </row>
    <row r="61" spans="1:30" x14ac:dyDescent="0.15">
      <c r="A61" s="89"/>
      <c r="B61" s="89"/>
      <c r="C61" s="89"/>
      <c r="D61" s="89"/>
      <c r="E61" s="89"/>
      <c r="F61" s="91"/>
      <c r="G61" s="92"/>
      <c r="H61" s="89"/>
      <c r="I61" s="92"/>
      <c r="J61" s="92"/>
      <c r="K61" s="89"/>
      <c r="L61" s="92"/>
      <c r="M61" s="92"/>
      <c r="N61" s="92"/>
      <c r="O61" s="92"/>
      <c r="P61" s="92"/>
      <c r="Q61" s="92"/>
      <c r="R61" s="89"/>
      <c r="S61" s="89"/>
      <c r="T61" s="89"/>
      <c r="U61" s="51"/>
      <c r="V61" s="89"/>
      <c r="W61" s="40" t="s">
        <v>3005</v>
      </c>
      <c r="X61" s="41" t="s">
        <v>3006</v>
      </c>
      <c r="Y61" s="41" t="s">
        <v>552</v>
      </c>
      <c r="Z61" s="41" t="s">
        <v>2618</v>
      </c>
      <c r="AA61" s="41" t="s">
        <v>2619</v>
      </c>
      <c r="AB61" s="57">
        <v>28</v>
      </c>
      <c r="AC61" s="66" t="s">
        <v>2855</v>
      </c>
    </row>
    <row r="62" spans="1:30" x14ac:dyDescent="0.15">
      <c r="A62" s="89"/>
      <c r="B62" s="89"/>
      <c r="C62" s="89"/>
      <c r="D62" s="89"/>
      <c r="E62" s="89"/>
      <c r="F62" s="91"/>
      <c r="G62" s="92"/>
      <c r="H62" s="89"/>
      <c r="I62" s="92"/>
      <c r="J62" s="92"/>
      <c r="K62" s="92"/>
      <c r="L62" s="92"/>
      <c r="M62" s="92"/>
      <c r="N62" s="92"/>
      <c r="O62" s="92"/>
      <c r="P62" s="92"/>
      <c r="Q62" s="92"/>
      <c r="R62" s="89"/>
      <c r="S62" s="89"/>
      <c r="T62" s="89"/>
      <c r="U62" s="51"/>
      <c r="V62" s="89"/>
      <c r="W62" s="40" t="s">
        <v>3014</v>
      </c>
      <c r="X62" s="41" t="s">
        <v>3015</v>
      </c>
      <c r="Y62" s="41" t="s">
        <v>552</v>
      </c>
      <c r="Z62" s="41" t="s">
        <v>2618</v>
      </c>
      <c r="AA62" s="41" t="s">
        <v>2619</v>
      </c>
      <c r="AB62" s="57">
        <v>774</v>
      </c>
      <c r="AC62" s="66" t="s">
        <v>2855</v>
      </c>
    </row>
    <row r="63" spans="1:30" x14ac:dyDescent="0.15">
      <c r="A63" s="89"/>
      <c r="B63" s="89"/>
      <c r="C63" s="89"/>
      <c r="D63" s="89"/>
      <c r="E63" s="89"/>
      <c r="F63" s="91"/>
      <c r="G63" s="92"/>
      <c r="H63" s="92"/>
      <c r="I63" s="92"/>
      <c r="J63" s="92"/>
      <c r="K63" s="92"/>
      <c r="L63" s="92"/>
      <c r="M63" s="92"/>
      <c r="N63" s="92"/>
      <c r="O63" s="92"/>
      <c r="P63" s="92"/>
      <c r="Q63" s="92"/>
      <c r="R63" s="89"/>
      <c r="S63" s="89"/>
      <c r="T63" s="89"/>
      <c r="U63" s="51"/>
      <c r="V63" s="89"/>
      <c r="W63" s="40" t="s">
        <v>3022</v>
      </c>
      <c r="X63" s="41" t="s">
        <v>3023</v>
      </c>
      <c r="Y63" s="41" t="s">
        <v>239</v>
      </c>
      <c r="Z63" s="41" t="s">
        <v>2618</v>
      </c>
      <c r="AA63" s="41" t="s">
        <v>2619</v>
      </c>
      <c r="AB63" s="57">
        <v>64</v>
      </c>
      <c r="AC63" s="66" t="s">
        <v>2855</v>
      </c>
    </row>
    <row r="64" spans="1:30" x14ac:dyDescent="0.15">
      <c r="A64" s="89"/>
      <c r="B64" s="89"/>
      <c r="C64" s="89"/>
      <c r="D64" s="89"/>
      <c r="E64" s="89"/>
      <c r="F64" s="91"/>
      <c r="G64" s="92"/>
      <c r="H64" s="89"/>
      <c r="I64" s="92"/>
      <c r="J64" s="92"/>
      <c r="K64" s="89"/>
      <c r="L64" s="92"/>
      <c r="M64" s="92"/>
      <c r="N64" s="92"/>
      <c r="O64" s="92"/>
      <c r="P64" s="92"/>
      <c r="Q64" s="92"/>
      <c r="R64" s="89"/>
      <c r="S64" s="89"/>
      <c r="T64" s="89"/>
      <c r="U64" s="51"/>
      <c r="V64" s="89"/>
      <c r="W64" s="40" t="s">
        <v>3029</v>
      </c>
      <c r="X64" s="41" t="s">
        <v>3030</v>
      </c>
      <c r="Y64" s="41" t="s">
        <v>239</v>
      </c>
      <c r="Z64" s="41" t="s">
        <v>2618</v>
      </c>
      <c r="AA64" s="41" t="s">
        <v>2619</v>
      </c>
      <c r="AB64" s="57">
        <v>377</v>
      </c>
      <c r="AC64" s="66" t="s">
        <v>2855</v>
      </c>
      <c r="AD64" s="16">
        <f>SUM(AB51:AB64)</f>
        <v>3330</v>
      </c>
    </row>
    <row r="65" spans="1:30" x14ac:dyDescent="0.15">
      <c r="A65" s="89"/>
      <c r="B65" s="89"/>
      <c r="C65" s="89"/>
      <c r="D65" s="89"/>
      <c r="E65" s="89"/>
      <c r="F65" s="91"/>
      <c r="G65" s="92"/>
      <c r="H65" s="92"/>
      <c r="I65" s="92"/>
      <c r="J65" s="89"/>
      <c r="K65" s="89"/>
      <c r="L65" s="92"/>
      <c r="M65" s="92"/>
      <c r="N65" s="92"/>
      <c r="O65" s="92"/>
      <c r="P65" s="92"/>
      <c r="Q65" s="92"/>
      <c r="R65" s="89"/>
      <c r="S65" s="89"/>
      <c r="T65" s="89"/>
      <c r="U65" s="51"/>
      <c r="V65" s="89"/>
      <c r="W65" s="40" t="s">
        <v>3038</v>
      </c>
      <c r="X65" s="41" t="s">
        <v>3039</v>
      </c>
      <c r="Y65" s="41" t="s">
        <v>1683</v>
      </c>
      <c r="Z65" s="41" t="s">
        <v>2618</v>
      </c>
      <c r="AA65" s="41" t="s">
        <v>2619</v>
      </c>
      <c r="AB65" s="57">
        <v>99</v>
      </c>
      <c r="AC65" s="66" t="s">
        <v>2855</v>
      </c>
    </row>
    <row r="66" spans="1:30" x14ac:dyDescent="0.15">
      <c r="A66" s="89"/>
      <c r="B66" s="89"/>
      <c r="C66" s="89"/>
      <c r="D66" s="89"/>
      <c r="E66" s="89"/>
      <c r="F66" s="91"/>
      <c r="G66" s="92"/>
      <c r="H66" s="92"/>
      <c r="I66" s="92"/>
      <c r="J66" s="89"/>
      <c r="K66" s="92"/>
      <c r="L66" s="92"/>
      <c r="M66" s="92"/>
      <c r="N66" s="92"/>
      <c r="O66" s="92"/>
      <c r="P66" s="92"/>
      <c r="Q66" s="92"/>
      <c r="R66" s="89"/>
      <c r="S66" s="89"/>
      <c r="T66" s="89"/>
      <c r="U66" s="51"/>
      <c r="V66" s="89"/>
      <c r="W66" s="40" t="s">
        <v>3047</v>
      </c>
      <c r="X66" s="41" t="s">
        <v>3048</v>
      </c>
      <c r="Y66" s="41" t="s">
        <v>1683</v>
      </c>
      <c r="Z66" s="41" t="s">
        <v>2618</v>
      </c>
      <c r="AA66" s="41" t="s">
        <v>2619</v>
      </c>
      <c r="AB66" s="57">
        <v>7362</v>
      </c>
      <c r="AC66" s="66" t="s">
        <v>2855</v>
      </c>
    </row>
    <row r="67" spans="1:30" x14ac:dyDescent="0.15">
      <c r="A67" s="89"/>
      <c r="B67" s="89"/>
      <c r="C67" s="89"/>
      <c r="D67" s="89"/>
      <c r="E67" s="89"/>
      <c r="F67" s="91"/>
      <c r="G67" s="92"/>
      <c r="H67" s="92"/>
      <c r="I67" s="92"/>
      <c r="J67" s="92"/>
      <c r="K67" s="89"/>
      <c r="L67" s="92"/>
      <c r="M67" s="92"/>
      <c r="N67" s="92"/>
      <c r="O67" s="92"/>
      <c r="P67" s="92"/>
      <c r="Q67" s="92"/>
      <c r="R67" s="89"/>
      <c r="S67" s="89"/>
      <c r="T67" s="89"/>
      <c r="U67" s="51"/>
      <c r="V67" s="89"/>
      <c r="W67" s="40" t="s">
        <v>3055</v>
      </c>
      <c r="X67" s="41" t="s">
        <v>3056</v>
      </c>
      <c r="Y67" s="41" t="s">
        <v>561</v>
      </c>
      <c r="Z67" s="41" t="s">
        <v>2618</v>
      </c>
      <c r="AA67" s="41" t="s">
        <v>2619</v>
      </c>
      <c r="AB67" s="57">
        <v>108</v>
      </c>
      <c r="AC67" s="66" t="s">
        <v>2855</v>
      </c>
    </row>
    <row r="68" spans="1:30" x14ac:dyDescent="0.15">
      <c r="A68" s="89"/>
      <c r="B68" s="89"/>
      <c r="C68" s="89"/>
      <c r="D68" s="89"/>
      <c r="E68" s="89"/>
      <c r="F68" s="91"/>
      <c r="G68" s="92"/>
      <c r="H68" s="92"/>
      <c r="I68" s="92"/>
      <c r="J68" s="92"/>
      <c r="K68" s="92"/>
      <c r="L68" s="92"/>
      <c r="M68" s="92"/>
      <c r="N68" s="92"/>
      <c r="O68" s="92"/>
      <c r="P68" s="92"/>
      <c r="Q68" s="92"/>
      <c r="R68" s="89"/>
      <c r="S68" s="89"/>
      <c r="T68" s="89"/>
      <c r="U68" s="51"/>
      <c r="V68" s="89"/>
      <c r="W68" s="40" t="s">
        <v>3063</v>
      </c>
      <c r="X68" s="41" t="s">
        <v>3064</v>
      </c>
      <c r="Y68" s="41" t="s">
        <v>561</v>
      </c>
      <c r="Z68" s="41" t="s">
        <v>2618</v>
      </c>
      <c r="AA68" s="41" t="s">
        <v>2619</v>
      </c>
      <c r="AB68" s="57">
        <v>1107</v>
      </c>
      <c r="AC68" s="66" t="s">
        <v>2855</v>
      </c>
    </row>
    <row r="69" spans="1:30" x14ac:dyDescent="0.15">
      <c r="A69" s="89"/>
      <c r="B69" s="89"/>
      <c r="C69" s="89"/>
      <c r="D69" s="89"/>
      <c r="E69" s="89"/>
      <c r="F69" s="91"/>
      <c r="G69" s="92"/>
      <c r="H69" s="92"/>
      <c r="I69" s="92"/>
      <c r="J69" s="89"/>
      <c r="K69" s="89"/>
      <c r="L69" s="92"/>
      <c r="M69" s="92"/>
      <c r="N69" s="92"/>
      <c r="O69" s="92"/>
      <c r="P69" s="92"/>
      <c r="Q69" s="92"/>
      <c r="R69" s="89"/>
      <c r="S69" s="89"/>
      <c r="T69" s="89"/>
      <c r="U69" s="51"/>
      <c r="V69" s="89"/>
      <c r="W69" s="40" t="s">
        <v>3070</v>
      </c>
      <c r="X69" s="41" t="s">
        <v>3071</v>
      </c>
      <c r="Y69" s="41" t="s">
        <v>1683</v>
      </c>
      <c r="Z69" s="41" t="s">
        <v>2618</v>
      </c>
      <c r="AA69" s="41" t="s">
        <v>2619</v>
      </c>
      <c r="AB69" s="57">
        <v>624</v>
      </c>
      <c r="AC69" s="66" t="s">
        <v>2855</v>
      </c>
    </row>
    <row r="70" spans="1:30" x14ac:dyDescent="0.15">
      <c r="A70" s="89"/>
      <c r="B70" s="89"/>
      <c r="C70" s="89"/>
      <c r="D70" s="89"/>
      <c r="E70" s="89"/>
      <c r="F70" s="91"/>
      <c r="G70" s="92"/>
      <c r="H70" s="92"/>
      <c r="I70" s="92"/>
      <c r="J70" s="89"/>
      <c r="K70" s="89"/>
      <c r="L70" s="92"/>
      <c r="M70" s="92"/>
      <c r="N70" s="92"/>
      <c r="O70" s="92"/>
      <c r="P70" s="92"/>
      <c r="Q70" s="92"/>
      <c r="R70" s="89"/>
      <c r="S70" s="89"/>
      <c r="T70" s="89"/>
      <c r="U70" s="51"/>
      <c r="V70" s="89"/>
      <c r="W70" s="40" t="s">
        <v>3078</v>
      </c>
      <c r="X70" s="41" t="s">
        <v>3079</v>
      </c>
      <c r="Y70" s="41" t="s">
        <v>1683</v>
      </c>
      <c r="Z70" s="41" t="s">
        <v>2618</v>
      </c>
      <c r="AA70" s="41" t="s">
        <v>2619</v>
      </c>
      <c r="AB70" s="57">
        <v>1628</v>
      </c>
      <c r="AC70" s="66" t="s">
        <v>2855</v>
      </c>
    </row>
    <row r="71" spans="1:30" x14ac:dyDescent="0.15">
      <c r="A71" s="89"/>
      <c r="B71" s="89"/>
      <c r="C71" s="89"/>
      <c r="D71" s="89"/>
      <c r="E71" s="89"/>
      <c r="F71" s="91"/>
      <c r="G71" s="92"/>
      <c r="H71" s="92"/>
      <c r="I71" s="92"/>
      <c r="J71" s="92"/>
      <c r="K71" s="89"/>
      <c r="L71" s="92"/>
      <c r="M71" s="92"/>
      <c r="N71" s="92"/>
      <c r="O71" s="92"/>
      <c r="P71" s="92"/>
      <c r="Q71" s="92"/>
      <c r="R71" s="89"/>
      <c r="S71" s="89"/>
      <c r="T71" s="89"/>
      <c r="U71" s="51"/>
      <c r="V71" s="89"/>
      <c r="W71" s="40" t="s">
        <v>3087</v>
      </c>
      <c r="X71" s="41" t="s">
        <v>3088</v>
      </c>
      <c r="Y71" s="41" t="s">
        <v>1683</v>
      </c>
      <c r="Z71" s="41" t="s">
        <v>2618</v>
      </c>
      <c r="AA71" s="41" t="s">
        <v>2619</v>
      </c>
      <c r="AB71" s="57">
        <v>2957</v>
      </c>
      <c r="AC71" s="66" t="s">
        <v>2855</v>
      </c>
    </row>
    <row r="72" spans="1:30" x14ac:dyDescent="0.15">
      <c r="A72" s="89"/>
      <c r="B72" s="89"/>
      <c r="C72" s="89"/>
      <c r="D72" s="89"/>
      <c r="E72" s="89"/>
      <c r="F72" s="91"/>
      <c r="G72" s="92"/>
      <c r="H72" s="92"/>
      <c r="I72" s="92"/>
      <c r="J72" s="92"/>
      <c r="K72" s="89"/>
      <c r="L72" s="92"/>
      <c r="M72" s="92"/>
      <c r="N72" s="92"/>
      <c r="O72" s="92"/>
      <c r="P72" s="92"/>
      <c r="Q72" s="92"/>
      <c r="R72" s="89"/>
      <c r="S72" s="89"/>
      <c r="T72" s="89"/>
      <c r="U72" s="51"/>
      <c r="V72" s="89"/>
      <c r="W72" s="40" t="s">
        <v>3095</v>
      </c>
      <c r="X72" s="41" t="s">
        <v>3096</v>
      </c>
      <c r="Y72" s="41" t="s">
        <v>568</v>
      </c>
      <c r="Z72" s="41" t="s">
        <v>2618</v>
      </c>
      <c r="AA72" s="41" t="s">
        <v>2619</v>
      </c>
      <c r="AB72" s="57">
        <v>1421</v>
      </c>
      <c r="AC72" s="66" t="s">
        <v>2855</v>
      </c>
    </row>
    <row r="73" spans="1:30" x14ac:dyDescent="0.15">
      <c r="A73" s="89"/>
      <c r="B73" s="89"/>
      <c r="C73" s="89"/>
      <c r="D73" s="89"/>
      <c r="E73" s="89"/>
      <c r="F73" s="91"/>
      <c r="G73" s="92"/>
      <c r="H73" s="92"/>
      <c r="I73" s="92"/>
      <c r="J73" s="92"/>
      <c r="K73" s="89"/>
      <c r="L73" s="92"/>
      <c r="M73" s="92"/>
      <c r="N73" s="92"/>
      <c r="O73" s="92"/>
      <c r="P73" s="92"/>
      <c r="Q73" s="92"/>
      <c r="R73" s="89"/>
      <c r="S73" s="89"/>
      <c r="T73" s="89"/>
      <c r="U73" s="51"/>
      <c r="V73" s="89"/>
      <c r="W73" s="40" t="s">
        <v>3103</v>
      </c>
      <c r="X73" s="41" t="s">
        <v>3104</v>
      </c>
      <c r="Y73" s="41" t="s">
        <v>568</v>
      </c>
      <c r="Z73" s="41" t="s">
        <v>2618</v>
      </c>
      <c r="AA73" s="41" t="s">
        <v>2619</v>
      </c>
      <c r="AB73" s="57">
        <v>114</v>
      </c>
      <c r="AC73" s="66" t="s">
        <v>2855</v>
      </c>
    </row>
    <row r="74" spans="1:30" x14ac:dyDescent="0.15">
      <c r="A74" s="89"/>
      <c r="B74" s="89"/>
      <c r="C74" s="89"/>
      <c r="D74" s="89"/>
      <c r="E74" s="89"/>
      <c r="F74" s="91"/>
      <c r="G74" s="92"/>
      <c r="H74" s="92"/>
      <c r="I74" s="92"/>
      <c r="J74" s="92"/>
      <c r="K74" s="92"/>
      <c r="L74" s="92"/>
      <c r="M74" s="92"/>
      <c r="N74" s="92"/>
      <c r="O74" s="92"/>
      <c r="P74" s="92"/>
      <c r="Q74" s="92"/>
      <c r="R74" s="89"/>
      <c r="S74" s="89"/>
      <c r="T74" s="89"/>
      <c r="U74" s="51"/>
      <c r="V74" s="89"/>
      <c r="W74" s="40" t="s">
        <v>3110</v>
      </c>
      <c r="X74" s="41" t="s">
        <v>3111</v>
      </c>
      <c r="Y74" s="41" t="s">
        <v>568</v>
      </c>
      <c r="Z74" s="41" t="s">
        <v>2618</v>
      </c>
      <c r="AA74" s="41" t="s">
        <v>2619</v>
      </c>
      <c r="AB74" s="57">
        <v>216</v>
      </c>
      <c r="AC74" s="66" t="s">
        <v>2855</v>
      </c>
    </row>
    <row r="75" spans="1:30" x14ac:dyDescent="0.15">
      <c r="A75" s="89"/>
      <c r="B75" s="89"/>
      <c r="C75" s="89"/>
      <c r="D75" s="89"/>
      <c r="E75" s="89"/>
      <c r="F75" s="91"/>
      <c r="G75" s="92"/>
      <c r="H75" s="92"/>
      <c r="I75" s="92"/>
      <c r="J75" s="92"/>
      <c r="K75" s="89"/>
      <c r="L75" s="92"/>
      <c r="M75" s="92"/>
      <c r="N75" s="92"/>
      <c r="O75" s="92"/>
      <c r="P75" s="92"/>
      <c r="Q75" s="92"/>
      <c r="R75" s="89"/>
      <c r="S75" s="89"/>
      <c r="T75" s="89"/>
      <c r="U75" s="51"/>
      <c r="V75" s="89"/>
      <c r="W75" s="40" t="s">
        <v>3117</v>
      </c>
      <c r="X75" s="41" t="s">
        <v>3118</v>
      </c>
      <c r="Y75" s="41" t="s">
        <v>568</v>
      </c>
      <c r="Z75" s="41" t="s">
        <v>2618</v>
      </c>
      <c r="AA75" s="41" t="s">
        <v>2619</v>
      </c>
      <c r="AB75" s="57">
        <v>404</v>
      </c>
      <c r="AC75" s="66" t="s">
        <v>2855</v>
      </c>
    </row>
    <row r="76" spans="1:30" x14ac:dyDescent="0.15">
      <c r="A76" s="89"/>
      <c r="B76" s="89"/>
      <c r="C76" s="89"/>
      <c r="D76" s="89"/>
      <c r="E76" s="89"/>
      <c r="F76" s="91"/>
      <c r="G76" s="92"/>
      <c r="H76" s="92"/>
      <c r="I76" s="92"/>
      <c r="J76" s="92"/>
      <c r="K76" s="92"/>
      <c r="L76" s="92"/>
      <c r="M76" s="92"/>
      <c r="N76" s="92"/>
      <c r="O76" s="92"/>
      <c r="P76" s="92"/>
      <c r="Q76" s="92"/>
      <c r="R76" s="89"/>
      <c r="S76" s="89"/>
      <c r="T76" s="89"/>
      <c r="U76" s="51"/>
      <c r="V76" s="89"/>
      <c r="W76" s="60" t="s">
        <v>3124</v>
      </c>
      <c r="X76" s="55" t="s">
        <v>1747</v>
      </c>
      <c r="Y76" s="55" t="s">
        <v>1749</v>
      </c>
      <c r="Z76" s="55" t="s">
        <v>2618</v>
      </c>
      <c r="AA76" s="55" t="s">
        <v>2619</v>
      </c>
      <c r="AB76" s="56">
        <v>107</v>
      </c>
      <c r="AC76" s="61" t="s">
        <v>2855</v>
      </c>
      <c r="AD76" s="16">
        <f>SUM(AB65:AB76)</f>
        <v>16147</v>
      </c>
    </row>
    <row r="77" spans="1:30" ht="3" customHeight="1" x14ac:dyDescent="0.15">
      <c r="A77" s="89"/>
      <c r="B77" s="89"/>
      <c r="C77" s="89"/>
      <c r="D77" s="89"/>
      <c r="E77" s="89"/>
      <c r="F77" s="91"/>
      <c r="G77" s="92"/>
      <c r="H77" s="92"/>
      <c r="I77" s="92"/>
      <c r="J77" s="92"/>
      <c r="K77" s="92"/>
      <c r="L77" s="92"/>
      <c r="M77" s="92"/>
      <c r="N77" s="92"/>
      <c r="O77" s="92"/>
      <c r="P77" s="92"/>
      <c r="Q77" s="92"/>
      <c r="R77" s="89"/>
      <c r="S77" s="89"/>
      <c r="T77" s="89"/>
      <c r="U77" s="51"/>
      <c r="V77" s="89"/>
      <c r="W77" s="100"/>
      <c r="X77" s="101"/>
      <c r="Y77" s="101"/>
      <c r="Z77" s="101"/>
      <c r="AA77" s="101"/>
      <c r="AB77" s="102"/>
      <c r="AC77" s="103"/>
    </row>
    <row r="78" spans="1:30" x14ac:dyDescent="0.15">
      <c r="A78" s="89"/>
      <c r="B78" s="89"/>
      <c r="C78" s="89"/>
      <c r="D78" s="89"/>
      <c r="E78" s="89"/>
      <c r="F78" s="91"/>
      <c r="G78" s="92"/>
      <c r="H78" s="89"/>
      <c r="I78" s="89"/>
      <c r="J78" s="89"/>
      <c r="K78" s="89"/>
      <c r="L78" s="92"/>
      <c r="M78" s="92"/>
      <c r="N78" s="92"/>
      <c r="O78" s="92"/>
      <c r="P78" s="92"/>
      <c r="Q78" s="92"/>
      <c r="R78" s="89"/>
      <c r="S78" s="89"/>
      <c r="T78" s="89"/>
      <c r="U78" s="51"/>
      <c r="V78" s="89"/>
      <c r="W78" s="76" t="s">
        <v>1755</v>
      </c>
      <c r="X78" s="77" t="s">
        <v>1756</v>
      </c>
      <c r="Y78" s="77" t="s">
        <v>568</v>
      </c>
      <c r="Z78" s="77" t="s">
        <v>1762</v>
      </c>
      <c r="AA78" s="77" t="s">
        <v>1763</v>
      </c>
      <c r="AB78" s="78">
        <v>31262</v>
      </c>
      <c r="AC78" s="79" t="s">
        <v>1759</v>
      </c>
    </row>
    <row r="79" spans="1:30" x14ac:dyDescent="0.15">
      <c r="A79" s="89"/>
      <c r="B79" s="89"/>
      <c r="C79" s="89"/>
      <c r="D79" s="89"/>
      <c r="E79" s="89"/>
      <c r="F79" s="91"/>
      <c r="G79" s="92"/>
      <c r="H79" s="92"/>
      <c r="I79" s="92"/>
      <c r="J79" s="92"/>
      <c r="K79" s="92"/>
      <c r="L79" s="92"/>
      <c r="M79" s="92"/>
      <c r="N79" s="92"/>
      <c r="O79" s="92"/>
      <c r="P79" s="92"/>
      <c r="Q79" s="92"/>
      <c r="R79" s="89"/>
      <c r="S79" s="89"/>
      <c r="T79" s="89"/>
      <c r="U79" s="51"/>
      <c r="V79" s="92"/>
      <c r="W79" s="85" t="s">
        <v>4020</v>
      </c>
      <c r="X79" s="86" t="s">
        <v>4021</v>
      </c>
      <c r="Y79" s="86" t="s">
        <v>552</v>
      </c>
      <c r="Z79" s="86" t="s">
        <v>1762</v>
      </c>
      <c r="AA79" s="86" t="s">
        <v>1763</v>
      </c>
      <c r="AB79" s="87">
        <v>11000</v>
      </c>
      <c r="AC79" s="105"/>
    </row>
    <row r="80" spans="1:30" ht="3" customHeight="1" x14ac:dyDescent="0.15">
      <c r="A80" s="51"/>
      <c r="B80" s="51"/>
      <c r="C80" s="51"/>
      <c r="D80" s="51"/>
      <c r="E80" s="51"/>
      <c r="F80" s="93"/>
      <c r="G80" s="51"/>
      <c r="H80" s="51"/>
      <c r="I80" s="51"/>
      <c r="J80" s="51"/>
      <c r="K80" s="51"/>
      <c r="L80" s="51"/>
      <c r="M80" s="51"/>
      <c r="N80" s="51"/>
      <c r="O80" s="51"/>
      <c r="P80" s="51"/>
      <c r="Q80" s="51"/>
      <c r="R80" s="51"/>
      <c r="S80" s="51"/>
      <c r="T80" s="51"/>
      <c r="U80" s="51"/>
      <c r="V80" s="51"/>
      <c r="W80" s="62"/>
      <c r="X80" s="34"/>
      <c r="Y80" s="34"/>
      <c r="Z80" s="34"/>
      <c r="AA80" s="34"/>
      <c r="AB80" s="63"/>
      <c r="AC80" s="64"/>
    </row>
    <row r="81" spans="1:30" x14ac:dyDescent="0.15">
      <c r="A81" s="89"/>
      <c r="B81" s="89"/>
      <c r="C81" s="89"/>
      <c r="D81" s="89"/>
      <c r="E81" s="89"/>
      <c r="F81" s="91"/>
      <c r="G81" s="92"/>
      <c r="H81" s="89"/>
      <c r="I81" s="92"/>
      <c r="J81" s="89"/>
      <c r="K81" s="89"/>
      <c r="L81" s="92"/>
      <c r="M81" s="92"/>
      <c r="N81" s="92"/>
      <c r="O81" s="92"/>
      <c r="P81" s="92"/>
      <c r="Q81" s="92"/>
      <c r="R81" s="89"/>
      <c r="S81" s="89"/>
      <c r="T81" s="89"/>
      <c r="U81" s="51"/>
      <c r="V81" s="89"/>
      <c r="W81" s="58" t="s">
        <v>549</v>
      </c>
      <c r="X81" s="106" t="s">
        <v>550</v>
      </c>
      <c r="Y81" s="106" t="s">
        <v>552</v>
      </c>
      <c r="Z81" s="106" t="s">
        <v>478</v>
      </c>
      <c r="AA81" s="106" t="s">
        <v>479</v>
      </c>
      <c r="AB81" s="107">
        <v>727</v>
      </c>
      <c r="AC81" s="108" t="s">
        <v>477</v>
      </c>
    </row>
    <row r="82" spans="1:30" x14ac:dyDescent="0.15">
      <c r="A82" s="89"/>
      <c r="B82" s="89"/>
      <c r="C82" s="89"/>
      <c r="D82" s="89"/>
      <c r="E82" s="89"/>
      <c r="F82" s="91"/>
      <c r="G82" s="92"/>
      <c r="H82" s="89"/>
      <c r="I82" s="92"/>
      <c r="J82" s="89"/>
      <c r="K82" s="89"/>
      <c r="L82" s="92"/>
      <c r="M82" s="92"/>
      <c r="N82" s="92"/>
      <c r="O82" s="92"/>
      <c r="P82" s="92"/>
      <c r="Q82" s="92"/>
      <c r="R82" s="89"/>
      <c r="S82" s="89"/>
      <c r="T82" s="89"/>
      <c r="U82" s="51"/>
      <c r="V82" s="89"/>
      <c r="W82" s="109" t="s">
        <v>558</v>
      </c>
      <c r="X82" s="110" t="s">
        <v>559</v>
      </c>
      <c r="Y82" s="110" t="s">
        <v>561</v>
      </c>
      <c r="Z82" s="110" t="s">
        <v>478</v>
      </c>
      <c r="AA82" s="110" t="s">
        <v>479</v>
      </c>
      <c r="AB82" s="98">
        <v>727</v>
      </c>
      <c r="AC82" s="111" t="s">
        <v>477</v>
      </c>
    </row>
    <row r="83" spans="1:30" x14ac:dyDescent="0.15">
      <c r="A83" s="89"/>
      <c r="B83" s="89"/>
      <c r="C83" s="89"/>
      <c r="D83" s="89"/>
      <c r="E83" s="89"/>
      <c r="F83" s="91"/>
      <c r="G83" s="92"/>
      <c r="H83" s="89"/>
      <c r="I83" s="92"/>
      <c r="J83" s="89"/>
      <c r="K83" s="89"/>
      <c r="L83" s="92"/>
      <c r="M83" s="92"/>
      <c r="N83" s="92"/>
      <c r="O83" s="92"/>
      <c r="P83" s="92"/>
      <c r="Q83" s="92"/>
      <c r="R83" s="89"/>
      <c r="S83" s="89"/>
      <c r="T83" s="89"/>
      <c r="U83" s="51"/>
      <c r="V83" s="89"/>
      <c r="W83" s="112" t="s">
        <v>565</v>
      </c>
      <c r="X83" s="113" t="s">
        <v>566</v>
      </c>
      <c r="Y83" s="113" t="s">
        <v>568</v>
      </c>
      <c r="Z83" s="113" t="s">
        <v>478</v>
      </c>
      <c r="AA83" s="113" t="s">
        <v>479</v>
      </c>
      <c r="AB83" s="114">
        <v>450</v>
      </c>
      <c r="AC83" s="115" t="s">
        <v>477</v>
      </c>
    </row>
    <row r="84" spans="1:30" ht="3" customHeight="1" x14ac:dyDescent="0.15">
      <c r="A84" s="51"/>
      <c r="B84" s="51"/>
      <c r="C84" s="51"/>
      <c r="D84" s="51"/>
      <c r="E84" s="51"/>
      <c r="F84" s="93"/>
      <c r="G84" s="51"/>
      <c r="H84" s="51"/>
      <c r="I84" s="51"/>
      <c r="J84" s="51"/>
      <c r="K84" s="51"/>
      <c r="L84" s="51"/>
      <c r="M84" s="51"/>
      <c r="N84" s="51"/>
      <c r="O84" s="51"/>
      <c r="P84" s="51"/>
      <c r="Q84" s="51"/>
      <c r="R84" s="51"/>
      <c r="S84" s="51"/>
      <c r="T84" s="51"/>
      <c r="U84" s="51"/>
      <c r="V84" s="51"/>
      <c r="W84" s="62"/>
      <c r="X84" s="34"/>
      <c r="Y84" s="34"/>
      <c r="Z84" s="34"/>
      <c r="AA84" s="34"/>
      <c r="AB84" s="63"/>
      <c r="AC84" s="64"/>
    </row>
    <row r="85" spans="1:30" x14ac:dyDescent="0.15">
      <c r="A85" s="89"/>
      <c r="B85" s="89"/>
      <c r="C85" s="89"/>
      <c r="D85" s="89"/>
      <c r="E85" s="89"/>
      <c r="F85" s="91"/>
      <c r="G85" s="92"/>
      <c r="H85" s="89"/>
      <c r="I85" s="92"/>
      <c r="J85" s="89"/>
      <c r="K85" s="89"/>
      <c r="L85" s="92"/>
      <c r="M85" s="92"/>
      <c r="N85" s="92"/>
      <c r="O85" s="92"/>
      <c r="P85" s="92"/>
      <c r="Q85" s="92"/>
      <c r="R85" s="89"/>
      <c r="S85" s="89"/>
      <c r="T85" s="89"/>
      <c r="U85" s="51"/>
      <c r="V85" s="89"/>
      <c r="W85" s="76" t="s">
        <v>2303</v>
      </c>
      <c r="X85" s="77" t="s">
        <v>2304</v>
      </c>
      <c r="Y85" s="77" t="s">
        <v>2306</v>
      </c>
      <c r="Z85" s="77" t="s">
        <v>2309</v>
      </c>
      <c r="AA85" s="77" t="s">
        <v>2310</v>
      </c>
      <c r="AB85" s="78">
        <v>60000</v>
      </c>
      <c r="AC85" s="79" t="s">
        <v>2307</v>
      </c>
    </row>
    <row r="86" spans="1:30" x14ac:dyDescent="0.15">
      <c r="A86" s="89"/>
      <c r="B86" s="89"/>
      <c r="C86" s="89"/>
      <c r="D86" s="89"/>
      <c r="E86" s="89"/>
      <c r="F86" s="91"/>
      <c r="G86" s="92"/>
      <c r="H86" s="92"/>
      <c r="I86" s="92"/>
      <c r="J86" s="92"/>
      <c r="K86" s="89"/>
      <c r="L86" s="92"/>
      <c r="M86" s="92"/>
      <c r="N86" s="92"/>
      <c r="O86" s="92"/>
      <c r="P86" s="92"/>
      <c r="Q86" s="92"/>
      <c r="R86" s="89"/>
      <c r="S86" s="89"/>
      <c r="T86" s="89"/>
      <c r="U86" s="51"/>
      <c r="V86" s="89"/>
      <c r="W86" s="80" t="s">
        <v>2320</v>
      </c>
      <c r="X86" s="81" t="s">
        <v>2321</v>
      </c>
      <c r="Y86" s="81" t="s">
        <v>2323</v>
      </c>
      <c r="Z86" s="81" t="s">
        <v>2309</v>
      </c>
      <c r="AA86" s="81" t="s">
        <v>2310</v>
      </c>
      <c r="AB86" s="82">
        <v>35000</v>
      </c>
      <c r="AC86" s="84" t="s">
        <v>2307</v>
      </c>
    </row>
    <row r="87" spans="1:30" x14ac:dyDescent="0.15">
      <c r="A87" s="89"/>
      <c r="B87" s="89"/>
      <c r="C87" s="89"/>
      <c r="D87" s="89"/>
      <c r="E87" s="89"/>
      <c r="F87" s="91"/>
      <c r="G87" s="92"/>
      <c r="H87" s="89"/>
      <c r="I87" s="92"/>
      <c r="J87" s="89"/>
      <c r="K87" s="89"/>
      <c r="L87" s="92"/>
      <c r="M87" s="92"/>
      <c r="N87" s="92"/>
      <c r="O87" s="92"/>
      <c r="P87" s="92"/>
      <c r="Q87" s="92"/>
      <c r="R87" s="89"/>
      <c r="S87" s="89"/>
      <c r="T87" s="89"/>
      <c r="U87" s="51"/>
      <c r="V87" s="89"/>
      <c r="W87" s="80" t="s">
        <v>2329</v>
      </c>
      <c r="X87" s="81" t="s">
        <v>2330</v>
      </c>
      <c r="Y87" s="81" t="s">
        <v>2332</v>
      </c>
      <c r="Z87" s="81" t="s">
        <v>2309</v>
      </c>
      <c r="AA87" s="81" t="s">
        <v>2310</v>
      </c>
      <c r="AB87" s="82">
        <v>140000</v>
      </c>
      <c r="AC87" s="84" t="s">
        <v>2333</v>
      </c>
    </row>
    <row r="88" spans="1:30" x14ac:dyDescent="0.15">
      <c r="A88" s="89"/>
      <c r="B88" s="89"/>
      <c r="C88" s="89"/>
      <c r="D88" s="89"/>
      <c r="E88" s="89"/>
      <c r="F88" s="91"/>
      <c r="G88" s="92"/>
      <c r="H88" s="92"/>
      <c r="I88" s="92"/>
      <c r="J88" s="89"/>
      <c r="K88" s="89"/>
      <c r="L88" s="92"/>
      <c r="M88" s="92"/>
      <c r="N88" s="92"/>
      <c r="O88" s="92"/>
      <c r="P88" s="92"/>
      <c r="Q88" s="92"/>
      <c r="R88" s="89"/>
      <c r="S88" s="89"/>
      <c r="T88" s="89"/>
      <c r="U88" s="51"/>
      <c r="V88" s="89"/>
      <c r="W88" s="80" t="s">
        <v>2342</v>
      </c>
      <c r="X88" s="81" t="s">
        <v>2343</v>
      </c>
      <c r="Y88" s="81" t="s">
        <v>2345</v>
      </c>
      <c r="Z88" s="81" t="s">
        <v>2309</v>
      </c>
      <c r="AA88" s="81" t="s">
        <v>2310</v>
      </c>
      <c r="AB88" s="82">
        <v>15000</v>
      </c>
      <c r="AC88" s="84" t="s">
        <v>2346</v>
      </c>
    </row>
    <row r="89" spans="1:30" x14ac:dyDescent="0.15">
      <c r="A89" s="89"/>
      <c r="B89" s="89"/>
      <c r="C89" s="89"/>
      <c r="D89" s="89"/>
      <c r="E89" s="89"/>
      <c r="F89" s="91"/>
      <c r="G89" s="92"/>
      <c r="H89" s="92"/>
      <c r="I89" s="92"/>
      <c r="J89" s="92"/>
      <c r="K89" s="89"/>
      <c r="L89" s="92"/>
      <c r="M89" s="92"/>
      <c r="N89" s="92"/>
      <c r="O89" s="92"/>
      <c r="P89" s="92"/>
      <c r="Q89" s="92"/>
      <c r="R89" s="89"/>
      <c r="S89" s="89"/>
      <c r="T89" s="89"/>
      <c r="U89" s="51"/>
      <c r="V89" s="89"/>
      <c r="W89" s="80" t="s">
        <v>2354</v>
      </c>
      <c r="X89" s="81" t="s">
        <v>2355</v>
      </c>
      <c r="Y89" s="81" t="s">
        <v>2357</v>
      </c>
      <c r="Z89" s="81" t="s">
        <v>2309</v>
      </c>
      <c r="AA89" s="81" t="s">
        <v>2310</v>
      </c>
      <c r="AB89" s="82">
        <v>20000</v>
      </c>
      <c r="AC89" s="84" t="s">
        <v>2346</v>
      </c>
    </row>
    <row r="90" spans="1:30" x14ac:dyDescent="0.15">
      <c r="A90" s="89"/>
      <c r="B90" s="89"/>
      <c r="C90" s="89"/>
      <c r="D90" s="89"/>
      <c r="E90" s="89"/>
      <c r="F90" s="91"/>
      <c r="G90" s="92"/>
      <c r="H90" s="92"/>
      <c r="I90" s="92"/>
      <c r="J90" s="89"/>
      <c r="K90" s="89"/>
      <c r="L90" s="92"/>
      <c r="M90" s="92"/>
      <c r="N90" s="92"/>
      <c r="O90" s="92"/>
      <c r="P90" s="92"/>
      <c r="Q90" s="92"/>
      <c r="R90" s="89"/>
      <c r="S90" s="89"/>
      <c r="T90" s="89"/>
      <c r="U90" s="51"/>
      <c r="V90" s="89"/>
      <c r="W90" s="80" t="s">
        <v>2365</v>
      </c>
      <c r="X90" s="81" t="s">
        <v>2366</v>
      </c>
      <c r="Y90" s="81" t="s">
        <v>2368</v>
      </c>
      <c r="Z90" s="81" t="s">
        <v>2309</v>
      </c>
      <c r="AA90" s="81" t="s">
        <v>2310</v>
      </c>
      <c r="AB90" s="82">
        <v>30000</v>
      </c>
      <c r="AC90" s="84" t="s">
        <v>2333</v>
      </c>
    </row>
    <row r="91" spans="1:30" x14ac:dyDescent="0.15">
      <c r="A91" s="89"/>
      <c r="B91" s="89"/>
      <c r="C91" s="89"/>
      <c r="D91" s="89"/>
      <c r="E91" s="89"/>
      <c r="F91" s="91"/>
      <c r="G91" s="92"/>
      <c r="H91" s="92"/>
      <c r="I91" s="92"/>
      <c r="J91" s="89"/>
      <c r="K91" s="89"/>
      <c r="L91" s="92"/>
      <c r="M91" s="92"/>
      <c r="N91" s="92"/>
      <c r="O91" s="92"/>
      <c r="P91" s="92"/>
      <c r="Q91" s="92"/>
      <c r="R91" s="89"/>
      <c r="S91" s="89"/>
      <c r="T91" s="89"/>
      <c r="U91" s="51"/>
      <c r="V91" s="89"/>
      <c r="W91" s="80" t="s">
        <v>2375</v>
      </c>
      <c r="X91" s="81" t="s">
        <v>2376</v>
      </c>
      <c r="Y91" s="81" t="s">
        <v>2378</v>
      </c>
      <c r="Z91" s="81" t="s">
        <v>2309</v>
      </c>
      <c r="AA91" s="81" t="s">
        <v>2310</v>
      </c>
      <c r="AB91" s="82">
        <v>30000</v>
      </c>
      <c r="AC91" s="84" t="s">
        <v>2346</v>
      </c>
    </row>
    <row r="92" spans="1:30" x14ac:dyDescent="0.15">
      <c r="A92" s="89"/>
      <c r="B92" s="89"/>
      <c r="C92" s="89"/>
      <c r="D92" s="89"/>
      <c r="E92" s="89"/>
      <c r="F92" s="91"/>
      <c r="G92" s="92"/>
      <c r="H92" s="92"/>
      <c r="I92" s="92"/>
      <c r="J92" s="89"/>
      <c r="K92" s="89"/>
      <c r="L92" s="92"/>
      <c r="M92" s="92"/>
      <c r="N92" s="92"/>
      <c r="O92" s="92"/>
      <c r="P92" s="92"/>
      <c r="Q92" s="92"/>
      <c r="R92" s="89"/>
      <c r="S92" s="89"/>
      <c r="T92" s="89"/>
      <c r="U92" s="51"/>
      <c r="V92" s="89"/>
      <c r="W92" s="85" t="s">
        <v>2384</v>
      </c>
      <c r="X92" s="86" t="s">
        <v>2385</v>
      </c>
      <c r="Y92" s="86" t="s">
        <v>561</v>
      </c>
      <c r="Z92" s="86" t="s">
        <v>2309</v>
      </c>
      <c r="AA92" s="86" t="s">
        <v>2310</v>
      </c>
      <c r="AB92" s="87">
        <v>500</v>
      </c>
      <c r="AC92" s="88" t="s">
        <v>2333</v>
      </c>
      <c r="AD92" s="16">
        <f>SUM(AB87:AB92)</f>
        <v>235500</v>
      </c>
    </row>
    <row r="93" spans="1:30" ht="3" customHeight="1" x14ac:dyDescent="0.15">
      <c r="A93" s="51"/>
      <c r="B93" s="51"/>
      <c r="C93" s="51"/>
      <c r="D93" s="51"/>
      <c r="E93" s="51"/>
      <c r="F93" s="93"/>
      <c r="G93" s="51"/>
      <c r="H93" s="51"/>
      <c r="I93" s="51"/>
      <c r="J93" s="51"/>
      <c r="K93" s="51"/>
      <c r="L93" s="51"/>
      <c r="M93" s="51"/>
      <c r="N93" s="51"/>
      <c r="O93" s="51"/>
      <c r="P93" s="51"/>
      <c r="Q93" s="51"/>
      <c r="R93" s="51"/>
      <c r="S93" s="51"/>
      <c r="T93" s="51"/>
      <c r="U93" s="51"/>
      <c r="V93" s="51"/>
      <c r="W93" s="62"/>
      <c r="X93" s="34"/>
      <c r="Y93" s="34"/>
      <c r="Z93" s="34"/>
      <c r="AA93" s="34"/>
      <c r="AB93" s="63"/>
      <c r="AC93" s="64"/>
    </row>
    <row r="94" spans="1:30" x14ac:dyDescent="0.15">
      <c r="A94" s="89"/>
      <c r="B94" s="89"/>
      <c r="C94" s="89"/>
      <c r="D94" s="89"/>
      <c r="E94" s="89"/>
      <c r="F94" s="91"/>
      <c r="G94" s="92"/>
      <c r="H94" s="89"/>
      <c r="I94" s="89"/>
      <c r="J94" s="92"/>
      <c r="K94" s="92"/>
      <c r="L94" s="92"/>
      <c r="M94" s="92"/>
      <c r="N94" s="92"/>
      <c r="O94" s="92"/>
      <c r="P94" s="92"/>
      <c r="Q94" s="92"/>
      <c r="R94" s="89"/>
      <c r="S94" s="89"/>
      <c r="T94" s="89"/>
      <c r="U94" s="92"/>
      <c r="V94" s="89"/>
      <c r="W94" s="58" t="s">
        <v>1671</v>
      </c>
      <c r="X94" s="106" t="s">
        <v>1672</v>
      </c>
      <c r="Y94" s="106" t="s">
        <v>552</v>
      </c>
      <c r="Z94" s="106" t="s">
        <v>604</v>
      </c>
      <c r="AA94" s="106" t="s">
        <v>605</v>
      </c>
      <c r="AB94" s="107"/>
      <c r="AC94" s="108" t="s">
        <v>1674</v>
      </c>
    </row>
    <row r="95" spans="1:30" x14ac:dyDescent="0.15">
      <c r="A95" s="89"/>
      <c r="B95" s="89"/>
      <c r="C95" s="89"/>
      <c r="D95" s="89"/>
      <c r="E95" s="89"/>
      <c r="F95" s="91"/>
      <c r="G95" s="92"/>
      <c r="H95" s="92"/>
      <c r="I95" s="89"/>
      <c r="J95" s="92"/>
      <c r="K95" s="92"/>
      <c r="L95" s="92"/>
      <c r="M95" s="92"/>
      <c r="N95" s="92"/>
      <c r="O95" s="92"/>
      <c r="P95" s="92"/>
      <c r="Q95" s="92"/>
      <c r="R95" s="89"/>
      <c r="S95" s="89"/>
      <c r="T95" s="89"/>
      <c r="U95" s="92"/>
      <c r="V95" s="89"/>
      <c r="W95" s="112" t="s">
        <v>1680</v>
      </c>
      <c r="X95" s="113" t="s">
        <v>1681</v>
      </c>
      <c r="Y95" s="113" t="s">
        <v>1683</v>
      </c>
      <c r="Z95" s="113" t="s">
        <v>604</v>
      </c>
      <c r="AA95" s="113" t="s">
        <v>605</v>
      </c>
      <c r="AB95" s="114"/>
      <c r="AC95" s="115" t="s">
        <v>1674</v>
      </c>
    </row>
    <row r="96" spans="1:30" ht="3" customHeight="1" x14ac:dyDescent="0.15">
      <c r="A96" s="51"/>
      <c r="B96" s="51"/>
      <c r="C96" s="51"/>
      <c r="D96" s="51"/>
      <c r="E96" s="51"/>
      <c r="F96" s="93"/>
      <c r="G96" s="51"/>
      <c r="H96" s="51"/>
      <c r="I96" s="51"/>
      <c r="J96" s="51"/>
      <c r="K96" s="51"/>
      <c r="L96" s="51"/>
      <c r="M96" s="51"/>
      <c r="N96" s="51"/>
      <c r="O96" s="51"/>
      <c r="P96" s="51"/>
      <c r="Q96" s="51"/>
      <c r="R96" s="51"/>
      <c r="S96" s="51"/>
      <c r="T96" s="51"/>
      <c r="U96" s="51"/>
      <c r="V96" s="51"/>
      <c r="W96" s="62"/>
      <c r="X96" s="34"/>
      <c r="Y96" s="34"/>
      <c r="Z96" s="34"/>
      <c r="AA96" s="34"/>
      <c r="AB96" s="63"/>
      <c r="AC96" s="64"/>
    </row>
    <row r="97" spans="1:30" x14ac:dyDescent="0.15">
      <c r="A97" s="89"/>
      <c r="B97" s="89"/>
      <c r="C97" s="89"/>
      <c r="D97" s="89"/>
      <c r="E97" s="89"/>
      <c r="F97" s="91"/>
      <c r="G97" s="92"/>
      <c r="H97" s="92"/>
      <c r="I97" s="92"/>
      <c r="J97" s="92"/>
      <c r="K97" s="92"/>
      <c r="L97" s="89"/>
      <c r="M97" s="92"/>
      <c r="N97" s="92"/>
      <c r="O97" s="92"/>
      <c r="P97" s="92"/>
      <c r="Q97" s="92"/>
      <c r="R97" s="89"/>
      <c r="S97" s="89"/>
      <c r="T97" s="89"/>
      <c r="U97" s="51"/>
      <c r="V97" s="92"/>
      <c r="W97" s="71" t="s">
        <v>720</v>
      </c>
      <c r="X97" s="72" t="s">
        <v>721</v>
      </c>
      <c r="Y97" s="72" t="s">
        <v>723</v>
      </c>
      <c r="Z97" s="72" t="s">
        <v>670</v>
      </c>
      <c r="AA97" s="72" t="s">
        <v>671</v>
      </c>
      <c r="AB97" s="73">
        <v>25926</v>
      </c>
      <c r="AC97" s="116"/>
    </row>
    <row r="98" spans="1:30" ht="3" customHeight="1" x14ac:dyDescent="0.15">
      <c r="A98" s="51"/>
      <c r="B98" s="51"/>
      <c r="C98" s="51"/>
      <c r="D98" s="51"/>
      <c r="E98" s="51"/>
      <c r="F98" s="93"/>
      <c r="G98" s="51"/>
      <c r="H98" s="51"/>
      <c r="I98" s="51"/>
      <c r="J98" s="51"/>
      <c r="K98" s="51"/>
      <c r="L98" s="51"/>
      <c r="M98" s="51"/>
      <c r="N98" s="51"/>
      <c r="O98" s="51"/>
      <c r="P98" s="51"/>
      <c r="Q98" s="51"/>
      <c r="R98" s="51"/>
      <c r="S98" s="51"/>
      <c r="T98" s="51"/>
      <c r="U98" s="51"/>
      <c r="V98" s="51"/>
      <c r="W98" s="62"/>
      <c r="X98" s="34"/>
      <c r="Y98" s="34"/>
      <c r="Z98" s="34"/>
      <c r="AA98" s="34"/>
      <c r="AB98" s="63"/>
      <c r="AC98" s="64"/>
    </row>
    <row r="99" spans="1:30" x14ac:dyDescent="0.15">
      <c r="A99" s="89"/>
      <c r="B99" s="89"/>
      <c r="C99" s="89"/>
      <c r="D99" s="89"/>
      <c r="E99" s="89"/>
      <c r="F99" s="91"/>
      <c r="G99" s="92"/>
      <c r="H99" s="89"/>
      <c r="I99" s="92"/>
      <c r="J99" s="89"/>
      <c r="K99" s="89"/>
      <c r="L99" s="92"/>
      <c r="M99" s="92"/>
      <c r="N99" s="92"/>
      <c r="O99" s="92"/>
      <c r="P99" s="92"/>
      <c r="Q99" s="92"/>
      <c r="R99" s="89"/>
      <c r="S99" s="89"/>
      <c r="T99" s="89"/>
      <c r="U99" s="51"/>
      <c r="V99" s="89"/>
      <c r="W99" s="58" t="s">
        <v>1003</v>
      </c>
      <c r="X99" s="106" t="s">
        <v>1004</v>
      </c>
      <c r="Y99" s="106" t="s">
        <v>72</v>
      </c>
      <c r="Z99" s="106" t="s">
        <v>734</v>
      </c>
      <c r="AA99" s="106" t="s">
        <v>735</v>
      </c>
      <c r="AB99" s="107">
        <v>1</v>
      </c>
      <c r="AC99" s="108" t="s">
        <v>1006</v>
      </c>
    </row>
    <row r="100" spans="1:30" x14ac:dyDescent="0.15">
      <c r="A100" s="89"/>
      <c r="B100" s="89"/>
      <c r="C100" s="89"/>
      <c r="D100" s="89"/>
      <c r="E100" s="89"/>
      <c r="F100" s="91"/>
      <c r="G100" s="92"/>
      <c r="H100" s="89"/>
      <c r="I100" s="92"/>
      <c r="J100" s="89"/>
      <c r="K100" s="89"/>
      <c r="L100" s="92"/>
      <c r="M100" s="92"/>
      <c r="N100" s="92"/>
      <c r="O100" s="92"/>
      <c r="P100" s="92"/>
      <c r="Q100" s="92"/>
      <c r="R100" s="89"/>
      <c r="S100" s="89"/>
      <c r="T100" s="89"/>
      <c r="U100" s="51"/>
      <c r="V100" s="89"/>
      <c r="W100" s="109" t="s">
        <v>1012</v>
      </c>
      <c r="X100" s="110" t="s">
        <v>1013</v>
      </c>
      <c r="Y100" s="110" t="s">
        <v>72</v>
      </c>
      <c r="Z100" s="110" t="s">
        <v>734</v>
      </c>
      <c r="AA100" s="110" t="s">
        <v>735</v>
      </c>
      <c r="AB100" s="98">
        <v>1</v>
      </c>
      <c r="AC100" s="111" t="s">
        <v>1006</v>
      </c>
    </row>
    <row r="101" spans="1:30" x14ac:dyDescent="0.15">
      <c r="A101" s="89"/>
      <c r="B101" s="89"/>
      <c r="C101" s="89"/>
      <c r="D101" s="89"/>
      <c r="E101" s="89"/>
      <c r="F101" s="91"/>
      <c r="G101" s="92"/>
      <c r="H101" s="89"/>
      <c r="I101" s="92"/>
      <c r="J101" s="89"/>
      <c r="K101" s="89"/>
      <c r="L101" s="92"/>
      <c r="M101" s="92"/>
      <c r="N101" s="92"/>
      <c r="O101" s="92"/>
      <c r="P101" s="92"/>
      <c r="Q101" s="92"/>
      <c r="R101" s="89"/>
      <c r="S101" s="89"/>
      <c r="T101" s="89"/>
      <c r="U101" s="51"/>
      <c r="V101" s="89"/>
      <c r="W101" s="109" t="s">
        <v>1019</v>
      </c>
      <c r="X101" s="110" t="s">
        <v>1013</v>
      </c>
      <c r="Y101" s="110" t="s">
        <v>72</v>
      </c>
      <c r="Z101" s="110" t="s">
        <v>734</v>
      </c>
      <c r="AA101" s="110" t="s">
        <v>735</v>
      </c>
      <c r="AB101" s="98">
        <v>1</v>
      </c>
      <c r="AC101" s="111" t="s">
        <v>1006</v>
      </c>
    </row>
    <row r="102" spans="1:30" x14ac:dyDescent="0.15">
      <c r="A102" s="89"/>
      <c r="B102" s="89"/>
      <c r="C102" s="89"/>
      <c r="D102" s="89"/>
      <c r="E102" s="89"/>
      <c r="F102" s="91"/>
      <c r="G102" s="92"/>
      <c r="H102" s="89"/>
      <c r="I102" s="92"/>
      <c r="J102" s="89"/>
      <c r="K102" s="89"/>
      <c r="L102" s="92"/>
      <c r="M102" s="92"/>
      <c r="N102" s="92"/>
      <c r="O102" s="92"/>
      <c r="P102" s="92"/>
      <c r="Q102" s="92"/>
      <c r="R102" s="89"/>
      <c r="S102" s="89"/>
      <c r="T102" s="89"/>
      <c r="U102" s="51"/>
      <c r="V102" s="89"/>
      <c r="W102" s="109" t="s">
        <v>1026</v>
      </c>
      <c r="X102" s="110" t="s">
        <v>1027</v>
      </c>
      <c r="Y102" s="110" t="s">
        <v>72</v>
      </c>
      <c r="Z102" s="110" t="s">
        <v>734</v>
      </c>
      <c r="AA102" s="110" t="s">
        <v>735</v>
      </c>
      <c r="AB102" s="98">
        <v>400</v>
      </c>
      <c r="AC102" s="111" t="s">
        <v>1006</v>
      </c>
    </row>
    <row r="103" spans="1:30" x14ac:dyDescent="0.15">
      <c r="A103" s="89"/>
      <c r="B103" s="89"/>
      <c r="C103" s="89"/>
      <c r="D103" s="89"/>
      <c r="E103" s="89"/>
      <c r="F103" s="91"/>
      <c r="G103" s="92"/>
      <c r="H103" s="89"/>
      <c r="I103" s="92"/>
      <c r="J103" s="89"/>
      <c r="K103" s="89"/>
      <c r="L103" s="92"/>
      <c r="M103" s="92"/>
      <c r="N103" s="92"/>
      <c r="O103" s="92"/>
      <c r="P103" s="92"/>
      <c r="Q103" s="92"/>
      <c r="R103" s="89"/>
      <c r="S103" s="89"/>
      <c r="T103" s="89"/>
      <c r="U103" s="51"/>
      <c r="V103" s="89"/>
      <c r="W103" s="109" t="s">
        <v>1033</v>
      </c>
      <c r="X103" s="110" t="s">
        <v>1034</v>
      </c>
      <c r="Y103" s="110" t="s">
        <v>229</v>
      </c>
      <c r="Z103" s="110" t="s">
        <v>734</v>
      </c>
      <c r="AA103" s="110" t="s">
        <v>735</v>
      </c>
      <c r="AB103" s="98">
        <v>1500</v>
      </c>
      <c r="AC103" s="111" t="s">
        <v>1006</v>
      </c>
    </row>
    <row r="104" spans="1:30" x14ac:dyDescent="0.15">
      <c r="A104" s="89"/>
      <c r="B104" s="89"/>
      <c r="C104" s="89"/>
      <c r="D104" s="89"/>
      <c r="E104" s="89"/>
      <c r="F104" s="91"/>
      <c r="G104" s="92"/>
      <c r="H104" s="89"/>
      <c r="I104" s="92"/>
      <c r="J104" s="89"/>
      <c r="K104" s="89"/>
      <c r="L104" s="92"/>
      <c r="M104" s="92"/>
      <c r="N104" s="92"/>
      <c r="O104" s="92"/>
      <c r="P104" s="92"/>
      <c r="Q104" s="92"/>
      <c r="R104" s="89"/>
      <c r="S104" s="89"/>
      <c r="T104" s="89"/>
      <c r="U104" s="51"/>
      <c r="V104" s="89"/>
      <c r="W104" s="109" t="s">
        <v>1040</v>
      </c>
      <c r="X104" s="110" t="s">
        <v>1041</v>
      </c>
      <c r="Y104" s="110" t="s">
        <v>229</v>
      </c>
      <c r="Z104" s="110" t="s">
        <v>734</v>
      </c>
      <c r="AA104" s="110" t="s">
        <v>735</v>
      </c>
      <c r="AB104" s="98">
        <v>500</v>
      </c>
      <c r="AC104" s="111" t="s">
        <v>1006</v>
      </c>
    </row>
    <row r="105" spans="1:30" x14ac:dyDescent="0.15">
      <c r="A105" s="89"/>
      <c r="B105" s="89"/>
      <c r="C105" s="89"/>
      <c r="D105" s="89"/>
      <c r="E105" s="89"/>
      <c r="F105" s="91"/>
      <c r="G105" s="92"/>
      <c r="H105" s="89"/>
      <c r="I105" s="92"/>
      <c r="J105" s="89"/>
      <c r="K105" s="89"/>
      <c r="L105" s="92"/>
      <c r="M105" s="92"/>
      <c r="N105" s="92"/>
      <c r="O105" s="92"/>
      <c r="P105" s="92"/>
      <c r="Q105" s="92"/>
      <c r="R105" s="89"/>
      <c r="S105" s="89"/>
      <c r="T105" s="89"/>
      <c r="U105" s="51"/>
      <c r="V105" s="89"/>
      <c r="W105" s="109" t="s">
        <v>1048</v>
      </c>
      <c r="X105" s="110" t="s">
        <v>1049</v>
      </c>
      <c r="Y105" s="110" t="s">
        <v>229</v>
      </c>
      <c r="Z105" s="110" t="s">
        <v>734</v>
      </c>
      <c r="AA105" s="110" t="s">
        <v>735</v>
      </c>
      <c r="AB105" s="98">
        <v>500</v>
      </c>
      <c r="AC105" s="111" t="s">
        <v>1006</v>
      </c>
    </row>
    <row r="106" spans="1:30" x14ac:dyDescent="0.15">
      <c r="A106" s="89"/>
      <c r="B106" s="89"/>
      <c r="C106" s="89"/>
      <c r="D106" s="89"/>
      <c r="E106" s="89"/>
      <c r="F106" s="91"/>
      <c r="G106" s="92"/>
      <c r="H106" s="89"/>
      <c r="I106" s="92"/>
      <c r="J106" s="89"/>
      <c r="K106" s="89"/>
      <c r="L106" s="92"/>
      <c r="M106" s="92"/>
      <c r="N106" s="92"/>
      <c r="O106" s="92"/>
      <c r="P106" s="92"/>
      <c r="Q106" s="92"/>
      <c r="R106" s="89"/>
      <c r="S106" s="89"/>
      <c r="T106" s="89"/>
      <c r="U106" s="51"/>
      <c r="V106" s="89"/>
      <c r="W106" s="109" t="s">
        <v>1052</v>
      </c>
      <c r="X106" s="110" t="s">
        <v>1053</v>
      </c>
      <c r="Y106" s="110" t="s">
        <v>239</v>
      </c>
      <c r="Z106" s="110" t="s">
        <v>734</v>
      </c>
      <c r="AA106" s="110" t="s">
        <v>735</v>
      </c>
      <c r="AB106" s="98">
        <v>6000</v>
      </c>
      <c r="AC106" s="111" t="s">
        <v>1006</v>
      </c>
    </row>
    <row r="107" spans="1:30" x14ac:dyDescent="0.15">
      <c r="A107" s="89"/>
      <c r="B107" s="89"/>
      <c r="C107" s="89"/>
      <c r="D107" s="89"/>
      <c r="E107" s="89"/>
      <c r="F107" s="91"/>
      <c r="G107" s="92"/>
      <c r="H107" s="89"/>
      <c r="I107" s="92"/>
      <c r="J107" s="89"/>
      <c r="K107" s="89"/>
      <c r="L107" s="92"/>
      <c r="M107" s="92"/>
      <c r="N107" s="92"/>
      <c r="O107" s="92"/>
      <c r="P107" s="92"/>
      <c r="Q107" s="92"/>
      <c r="R107" s="89"/>
      <c r="S107" s="89"/>
      <c r="T107" s="89"/>
      <c r="U107" s="51"/>
      <c r="V107" s="89"/>
      <c r="W107" s="109" t="s">
        <v>1058</v>
      </c>
      <c r="X107" s="110" t="s">
        <v>1059</v>
      </c>
      <c r="Y107" s="110" t="s">
        <v>239</v>
      </c>
      <c r="Z107" s="110" t="s">
        <v>734</v>
      </c>
      <c r="AA107" s="110" t="s">
        <v>735</v>
      </c>
      <c r="AB107" s="98">
        <v>2000</v>
      </c>
      <c r="AC107" s="111" t="s">
        <v>1006</v>
      </c>
    </row>
    <row r="108" spans="1:30" x14ac:dyDescent="0.15">
      <c r="A108" s="89"/>
      <c r="B108" s="89"/>
      <c r="C108" s="89"/>
      <c r="D108" s="89"/>
      <c r="E108" s="89"/>
      <c r="F108" s="91"/>
      <c r="G108" s="92"/>
      <c r="H108" s="89"/>
      <c r="I108" s="92"/>
      <c r="J108" s="89"/>
      <c r="K108" s="89"/>
      <c r="L108" s="92"/>
      <c r="M108" s="92"/>
      <c r="N108" s="92"/>
      <c r="O108" s="92"/>
      <c r="P108" s="92"/>
      <c r="Q108" s="92"/>
      <c r="R108" s="89"/>
      <c r="S108" s="89"/>
      <c r="T108" s="89"/>
      <c r="U108" s="51"/>
      <c r="V108" s="89"/>
      <c r="W108" s="109" t="s">
        <v>1065</v>
      </c>
      <c r="X108" s="110" t="s">
        <v>1066</v>
      </c>
      <c r="Y108" s="110" t="s">
        <v>239</v>
      </c>
      <c r="Z108" s="110" t="s">
        <v>734</v>
      </c>
      <c r="AA108" s="110" t="s">
        <v>735</v>
      </c>
      <c r="AB108" s="98">
        <v>3000</v>
      </c>
      <c r="AC108" s="111" t="s">
        <v>1006</v>
      </c>
      <c r="AD108" s="16">
        <f>SUM(AB99:AB108)</f>
        <v>13903</v>
      </c>
    </row>
    <row r="109" spans="1:30" x14ac:dyDescent="0.15">
      <c r="A109" s="89"/>
      <c r="B109" s="89"/>
      <c r="C109" s="89"/>
      <c r="D109" s="89"/>
      <c r="E109" s="89"/>
      <c r="F109" s="91"/>
      <c r="G109" s="92"/>
      <c r="H109" s="89"/>
      <c r="I109" s="92"/>
      <c r="J109" s="89"/>
      <c r="K109" s="89"/>
      <c r="L109" s="92"/>
      <c r="M109" s="92"/>
      <c r="N109" s="92"/>
      <c r="O109" s="92"/>
      <c r="P109" s="92"/>
      <c r="Q109" s="92"/>
      <c r="R109" s="89"/>
      <c r="S109" s="89"/>
      <c r="T109" s="89"/>
      <c r="U109" s="51"/>
      <c r="V109" s="89"/>
      <c r="W109" s="109" t="s">
        <v>1078</v>
      </c>
      <c r="X109" s="110" t="s">
        <v>1079</v>
      </c>
      <c r="Y109" s="110" t="s">
        <v>561</v>
      </c>
      <c r="Z109" s="110" t="s">
        <v>734</v>
      </c>
      <c r="AA109" s="110" t="s">
        <v>735</v>
      </c>
      <c r="AB109" s="98">
        <v>4000</v>
      </c>
      <c r="AC109" s="111" t="s">
        <v>1006</v>
      </c>
    </row>
    <row r="110" spans="1:30" x14ac:dyDescent="0.15">
      <c r="A110" s="89"/>
      <c r="B110" s="89"/>
      <c r="C110" s="89"/>
      <c r="D110" s="89"/>
      <c r="E110" s="89"/>
      <c r="F110" s="91"/>
      <c r="G110" s="92"/>
      <c r="H110" s="89"/>
      <c r="I110" s="92"/>
      <c r="J110" s="89"/>
      <c r="K110" s="89"/>
      <c r="L110" s="92"/>
      <c r="M110" s="92"/>
      <c r="N110" s="92"/>
      <c r="O110" s="92"/>
      <c r="P110" s="92"/>
      <c r="Q110" s="92"/>
      <c r="R110" s="89"/>
      <c r="S110" s="89"/>
      <c r="T110" s="89"/>
      <c r="U110" s="51"/>
      <c r="V110" s="89"/>
      <c r="W110" s="109" t="s">
        <v>1085</v>
      </c>
      <c r="X110" s="110" t="s">
        <v>1086</v>
      </c>
      <c r="Y110" s="110" t="s">
        <v>561</v>
      </c>
      <c r="Z110" s="110" t="s">
        <v>734</v>
      </c>
      <c r="AA110" s="110" t="s">
        <v>735</v>
      </c>
      <c r="AB110" s="98">
        <v>500</v>
      </c>
      <c r="AC110" s="111" t="s">
        <v>1006</v>
      </c>
    </row>
    <row r="111" spans="1:30" x14ac:dyDescent="0.15">
      <c r="A111" s="89"/>
      <c r="B111" s="89"/>
      <c r="C111" s="89"/>
      <c r="D111" s="89"/>
      <c r="E111" s="89"/>
      <c r="F111" s="91"/>
      <c r="G111" s="92"/>
      <c r="H111" s="89"/>
      <c r="I111" s="92"/>
      <c r="J111" s="89"/>
      <c r="K111" s="89"/>
      <c r="L111" s="92"/>
      <c r="M111" s="92"/>
      <c r="N111" s="92"/>
      <c r="O111" s="92"/>
      <c r="P111" s="92"/>
      <c r="Q111" s="92"/>
      <c r="R111" s="89"/>
      <c r="S111" s="89"/>
      <c r="T111" s="89"/>
      <c r="U111" s="51"/>
      <c r="V111" s="89"/>
      <c r="W111" s="109" t="s">
        <v>1092</v>
      </c>
      <c r="X111" s="110" t="s">
        <v>1093</v>
      </c>
      <c r="Y111" s="110" t="s">
        <v>561</v>
      </c>
      <c r="Z111" s="110" t="s">
        <v>734</v>
      </c>
      <c r="AA111" s="110" t="s">
        <v>735</v>
      </c>
      <c r="AB111" s="98">
        <v>100</v>
      </c>
      <c r="AC111" s="111" t="s">
        <v>1006</v>
      </c>
    </row>
    <row r="112" spans="1:30" x14ac:dyDescent="0.15">
      <c r="A112" s="89"/>
      <c r="B112" s="89"/>
      <c r="C112" s="89"/>
      <c r="D112" s="89"/>
      <c r="E112" s="89"/>
      <c r="F112" s="91"/>
      <c r="G112" s="92"/>
      <c r="H112" s="89"/>
      <c r="I112" s="92"/>
      <c r="J112" s="89"/>
      <c r="K112" s="89"/>
      <c r="L112" s="92"/>
      <c r="M112" s="92"/>
      <c r="N112" s="92"/>
      <c r="O112" s="92"/>
      <c r="P112" s="92"/>
      <c r="Q112" s="92"/>
      <c r="R112" s="89"/>
      <c r="S112" s="89"/>
      <c r="T112" s="89"/>
      <c r="U112" s="51"/>
      <c r="V112" s="89"/>
      <c r="W112" s="109" t="s">
        <v>1098</v>
      </c>
      <c r="X112" s="110" t="s">
        <v>1099</v>
      </c>
      <c r="Y112" s="110" t="s">
        <v>561</v>
      </c>
      <c r="Z112" s="110" t="s">
        <v>734</v>
      </c>
      <c r="AA112" s="110" t="s">
        <v>735</v>
      </c>
      <c r="AB112" s="98">
        <v>200</v>
      </c>
      <c r="AC112" s="111" t="s">
        <v>1006</v>
      </c>
    </row>
    <row r="113" spans="1:30" x14ac:dyDescent="0.15">
      <c r="A113" s="89"/>
      <c r="B113" s="89"/>
      <c r="C113" s="89"/>
      <c r="D113" s="89"/>
      <c r="E113" s="89"/>
      <c r="F113" s="91"/>
      <c r="G113" s="92"/>
      <c r="H113" s="89"/>
      <c r="I113" s="92"/>
      <c r="J113" s="89"/>
      <c r="K113" s="89"/>
      <c r="L113" s="92"/>
      <c r="M113" s="92"/>
      <c r="N113" s="92"/>
      <c r="O113" s="92"/>
      <c r="P113" s="92"/>
      <c r="Q113" s="92"/>
      <c r="R113" s="89"/>
      <c r="S113" s="89"/>
      <c r="T113" s="89"/>
      <c r="U113" s="51"/>
      <c r="V113" s="89"/>
      <c r="W113" s="109" t="s">
        <v>1105</v>
      </c>
      <c r="X113" s="110" t="s">
        <v>1106</v>
      </c>
      <c r="Y113" s="110" t="s">
        <v>561</v>
      </c>
      <c r="Z113" s="110" t="s">
        <v>734</v>
      </c>
      <c r="AA113" s="110" t="s">
        <v>735</v>
      </c>
      <c r="AB113" s="98">
        <v>800</v>
      </c>
      <c r="AC113" s="111" t="s">
        <v>1006</v>
      </c>
    </row>
    <row r="114" spans="1:30" x14ac:dyDescent="0.15">
      <c r="A114" s="89"/>
      <c r="B114" s="89"/>
      <c r="C114" s="89"/>
      <c r="D114" s="89"/>
      <c r="E114" s="89"/>
      <c r="F114" s="91"/>
      <c r="G114" s="92"/>
      <c r="H114" s="89"/>
      <c r="I114" s="92"/>
      <c r="J114" s="89"/>
      <c r="K114" s="89"/>
      <c r="L114" s="92"/>
      <c r="M114" s="92"/>
      <c r="N114" s="92"/>
      <c r="O114" s="92"/>
      <c r="P114" s="92"/>
      <c r="Q114" s="92"/>
      <c r="R114" s="89"/>
      <c r="S114" s="89"/>
      <c r="T114" s="89"/>
      <c r="U114" s="51"/>
      <c r="V114" s="89"/>
      <c r="W114" s="109" t="s">
        <v>1112</v>
      </c>
      <c r="X114" s="110" t="s">
        <v>1113</v>
      </c>
      <c r="Y114" s="110" t="s">
        <v>561</v>
      </c>
      <c r="Z114" s="110" t="s">
        <v>734</v>
      </c>
      <c r="AA114" s="110" t="s">
        <v>735</v>
      </c>
      <c r="AB114" s="98">
        <v>3000</v>
      </c>
      <c r="AC114" s="111" t="s">
        <v>1006</v>
      </c>
    </row>
    <row r="115" spans="1:30" x14ac:dyDescent="0.15">
      <c r="A115" s="89"/>
      <c r="B115" s="89"/>
      <c r="C115" s="89"/>
      <c r="D115" s="89"/>
      <c r="E115" s="89"/>
      <c r="F115" s="91"/>
      <c r="G115" s="92"/>
      <c r="H115" s="89"/>
      <c r="I115" s="92"/>
      <c r="J115" s="89"/>
      <c r="K115" s="89"/>
      <c r="L115" s="92"/>
      <c r="M115" s="92"/>
      <c r="N115" s="92"/>
      <c r="O115" s="92"/>
      <c r="P115" s="92"/>
      <c r="Q115" s="92"/>
      <c r="R115" s="89"/>
      <c r="S115" s="89"/>
      <c r="T115" s="89"/>
      <c r="U115" s="51"/>
      <c r="V115" s="89"/>
      <c r="W115" s="109" t="s">
        <v>1118</v>
      </c>
      <c r="X115" s="110" t="s">
        <v>1119</v>
      </c>
      <c r="Y115" s="110" t="s">
        <v>561</v>
      </c>
      <c r="Z115" s="110" t="s">
        <v>734</v>
      </c>
      <c r="AA115" s="110" t="s">
        <v>735</v>
      </c>
      <c r="AB115" s="98">
        <v>900</v>
      </c>
      <c r="AC115" s="111" t="s">
        <v>1006</v>
      </c>
    </row>
    <row r="116" spans="1:30" x14ac:dyDescent="0.15">
      <c r="A116" s="89"/>
      <c r="B116" s="89"/>
      <c r="C116" s="89"/>
      <c r="D116" s="89"/>
      <c r="E116" s="89"/>
      <c r="F116" s="91"/>
      <c r="G116" s="92"/>
      <c r="H116" s="92"/>
      <c r="I116" s="92"/>
      <c r="J116" s="89"/>
      <c r="K116" s="89"/>
      <c r="L116" s="92"/>
      <c r="M116" s="92"/>
      <c r="N116" s="92"/>
      <c r="O116" s="92"/>
      <c r="P116" s="92"/>
      <c r="Q116" s="92"/>
      <c r="R116" s="89"/>
      <c r="S116" s="89"/>
      <c r="T116" s="89"/>
      <c r="U116" s="51"/>
      <c r="V116" s="89"/>
      <c r="W116" s="109" t="s">
        <v>1125</v>
      </c>
      <c r="X116" s="110" t="s">
        <v>1126</v>
      </c>
      <c r="Y116" s="110" t="s">
        <v>561</v>
      </c>
      <c r="Z116" s="110" t="s">
        <v>734</v>
      </c>
      <c r="AA116" s="110" t="s">
        <v>735</v>
      </c>
      <c r="AB116" s="98">
        <v>3000</v>
      </c>
      <c r="AC116" s="111" t="s">
        <v>1006</v>
      </c>
    </row>
    <row r="117" spans="1:30" x14ac:dyDescent="0.15">
      <c r="A117" s="89"/>
      <c r="B117" s="89"/>
      <c r="C117" s="89"/>
      <c r="D117" s="89"/>
      <c r="E117" s="89"/>
      <c r="F117" s="91"/>
      <c r="G117" s="92"/>
      <c r="H117" s="92"/>
      <c r="I117" s="92"/>
      <c r="J117" s="89"/>
      <c r="K117" s="92"/>
      <c r="L117" s="92"/>
      <c r="M117" s="92"/>
      <c r="N117" s="92"/>
      <c r="O117" s="92"/>
      <c r="P117" s="92"/>
      <c r="Q117" s="92"/>
      <c r="R117" s="89"/>
      <c r="S117" s="89"/>
      <c r="T117" s="89"/>
      <c r="U117" s="51"/>
      <c r="V117" s="89"/>
      <c r="W117" s="109" t="s">
        <v>1131</v>
      </c>
      <c r="X117" s="110" t="s">
        <v>1132</v>
      </c>
      <c r="Y117" s="110" t="s">
        <v>568</v>
      </c>
      <c r="Z117" s="110" t="s">
        <v>734</v>
      </c>
      <c r="AA117" s="110" t="s">
        <v>735</v>
      </c>
      <c r="AB117" s="98">
        <v>600</v>
      </c>
      <c r="AC117" s="111" t="s">
        <v>1006</v>
      </c>
    </row>
    <row r="118" spans="1:30" x14ac:dyDescent="0.15">
      <c r="A118" s="89"/>
      <c r="B118" s="89"/>
      <c r="C118" s="89"/>
      <c r="D118" s="89"/>
      <c r="E118" s="89"/>
      <c r="F118" s="91"/>
      <c r="G118" s="92"/>
      <c r="H118" s="92"/>
      <c r="I118" s="92"/>
      <c r="J118" s="89"/>
      <c r="K118" s="92"/>
      <c r="L118" s="92"/>
      <c r="M118" s="92"/>
      <c r="N118" s="92"/>
      <c r="O118" s="92"/>
      <c r="P118" s="92"/>
      <c r="Q118" s="92"/>
      <c r="R118" s="89"/>
      <c r="S118" s="89"/>
      <c r="T118" s="89"/>
      <c r="U118" s="51"/>
      <c r="V118" s="89"/>
      <c r="W118" s="109" t="s">
        <v>1138</v>
      </c>
      <c r="X118" s="110" t="s">
        <v>1139</v>
      </c>
      <c r="Y118" s="110" t="s">
        <v>568</v>
      </c>
      <c r="Z118" s="110" t="s">
        <v>734</v>
      </c>
      <c r="AA118" s="110" t="s">
        <v>735</v>
      </c>
      <c r="AB118" s="98">
        <v>11000</v>
      </c>
      <c r="AC118" s="111" t="s">
        <v>1006</v>
      </c>
    </row>
    <row r="119" spans="1:30" x14ac:dyDescent="0.15">
      <c r="A119" s="89"/>
      <c r="B119" s="89"/>
      <c r="C119" s="89"/>
      <c r="D119" s="89"/>
      <c r="E119" s="89"/>
      <c r="F119" s="91"/>
      <c r="G119" s="92"/>
      <c r="H119" s="92"/>
      <c r="I119" s="92"/>
      <c r="J119" s="89"/>
      <c r="K119" s="92"/>
      <c r="L119" s="92"/>
      <c r="M119" s="92"/>
      <c r="N119" s="92"/>
      <c r="O119" s="92"/>
      <c r="P119" s="92"/>
      <c r="Q119" s="92"/>
      <c r="R119" s="89"/>
      <c r="S119" s="89"/>
      <c r="T119" s="89"/>
      <c r="U119" s="51"/>
      <c r="V119" s="89"/>
      <c r="W119" s="112" t="s">
        <v>1145</v>
      </c>
      <c r="X119" s="113" t="s">
        <v>1146</v>
      </c>
      <c r="Y119" s="113" t="s">
        <v>568</v>
      </c>
      <c r="Z119" s="113" t="s">
        <v>734</v>
      </c>
      <c r="AA119" s="113" t="s">
        <v>735</v>
      </c>
      <c r="AB119" s="114">
        <v>1</v>
      </c>
      <c r="AC119" s="115" t="s">
        <v>1006</v>
      </c>
      <c r="AD119" s="16">
        <f>SUM(AB109:AB119)</f>
        <v>24101</v>
      </c>
    </row>
    <row r="120" spans="1:30" ht="3" customHeight="1" x14ac:dyDescent="0.15">
      <c r="A120" s="51"/>
      <c r="B120" s="51"/>
      <c r="C120" s="51"/>
      <c r="D120" s="51"/>
      <c r="E120" s="51"/>
      <c r="F120" s="93"/>
      <c r="G120" s="51"/>
      <c r="H120" s="51"/>
      <c r="I120" s="51"/>
      <c r="J120" s="51"/>
      <c r="K120" s="51"/>
      <c r="L120" s="51"/>
      <c r="M120" s="51"/>
      <c r="N120" s="51"/>
      <c r="O120" s="51"/>
      <c r="P120" s="51"/>
      <c r="Q120" s="51"/>
      <c r="R120" s="51"/>
      <c r="S120" s="51"/>
      <c r="T120" s="51"/>
      <c r="U120" s="51"/>
      <c r="V120" s="51"/>
      <c r="W120" s="62"/>
      <c r="X120" s="34"/>
      <c r="Y120" s="34"/>
      <c r="Z120" s="34"/>
      <c r="AA120" s="34"/>
      <c r="AB120" s="63"/>
      <c r="AC120" s="64"/>
    </row>
    <row r="121" spans="1:30" x14ac:dyDescent="0.15">
      <c r="A121" s="89"/>
      <c r="B121" s="89"/>
      <c r="C121" s="89"/>
      <c r="D121" s="89"/>
      <c r="E121" s="89"/>
      <c r="F121" s="91"/>
      <c r="G121" s="92"/>
      <c r="H121" s="89"/>
      <c r="I121" s="89"/>
      <c r="J121" s="89"/>
      <c r="K121" s="89"/>
      <c r="L121" s="92"/>
      <c r="M121" s="92"/>
      <c r="N121" s="92"/>
      <c r="O121" s="92"/>
      <c r="P121" s="92"/>
      <c r="Q121" s="92"/>
      <c r="R121" s="89"/>
      <c r="S121" s="89"/>
      <c r="T121" s="89"/>
      <c r="U121" s="51"/>
      <c r="V121" s="89"/>
      <c r="W121" s="76" t="s">
        <v>1688</v>
      </c>
      <c r="X121" s="77" t="s">
        <v>1689</v>
      </c>
      <c r="Y121" s="77" t="s">
        <v>1691</v>
      </c>
      <c r="Z121" s="77" t="s">
        <v>620</v>
      </c>
      <c r="AA121" s="77" t="s">
        <v>621</v>
      </c>
      <c r="AB121" s="78">
        <v>43558</v>
      </c>
      <c r="AC121" s="79" t="s">
        <v>1692</v>
      </c>
    </row>
    <row r="122" spans="1:30" x14ac:dyDescent="0.15">
      <c r="A122" s="89"/>
      <c r="B122" s="89"/>
      <c r="C122" s="89"/>
      <c r="D122" s="89"/>
      <c r="E122" s="89"/>
      <c r="F122" s="91"/>
      <c r="G122" s="92"/>
      <c r="H122" s="89"/>
      <c r="I122" s="89"/>
      <c r="J122" s="89"/>
      <c r="K122" s="89"/>
      <c r="L122" s="92"/>
      <c r="M122" s="92"/>
      <c r="N122" s="92"/>
      <c r="O122" s="92"/>
      <c r="P122" s="92"/>
      <c r="Q122" s="92"/>
      <c r="R122" s="89"/>
      <c r="S122" s="89"/>
      <c r="T122" s="89"/>
      <c r="U122" s="51"/>
      <c r="V122" s="89"/>
      <c r="W122" s="80" t="s">
        <v>1702</v>
      </c>
      <c r="X122" s="81" t="s">
        <v>1703</v>
      </c>
      <c r="Y122" s="81" t="s">
        <v>561</v>
      </c>
      <c r="Z122" s="81" t="s">
        <v>620</v>
      </c>
      <c r="AA122" s="81" t="s">
        <v>621</v>
      </c>
      <c r="AB122" s="82">
        <v>45920</v>
      </c>
      <c r="AC122" s="84" t="s">
        <v>1692</v>
      </c>
    </row>
    <row r="123" spans="1:30" x14ac:dyDescent="0.15">
      <c r="A123" s="89"/>
      <c r="B123" s="89"/>
      <c r="C123" s="89"/>
      <c r="D123" s="89"/>
      <c r="E123" s="89"/>
      <c r="F123" s="91"/>
      <c r="G123" s="92"/>
      <c r="H123" s="89"/>
      <c r="I123" s="89"/>
      <c r="J123" s="89"/>
      <c r="K123" s="89"/>
      <c r="L123" s="92"/>
      <c r="M123" s="92"/>
      <c r="N123" s="92"/>
      <c r="O123" s="92"/>
      <c r="P123" s="92"/>
      <c r="Q123" s="92"/>
      <c r="R123" s="89"/>
      <c r="S123" s="89"/>
      <c r="T123" s="89"/>
      <c r="U123" s="51"/>
      <c r="V123" s="89"/>
      <c r="W123" s="80" t="s">
        <v>1711</v>
      </c>
      <c r="X123" s="81" t="s">
        <v>1712</v>
      </c>
      <c r="Y123" s="81" t="s">
        <v>1714</v>
      </c>
      <c r="Z123" s="81" t="s">
        <v>620</v>
      </c>
      <c r="AA123" s="81" t="s">
        <v>621</v>
      </c>
      <c r="AB123" s="82">
        <v>4017</v>
      </c>
      <c r="AC123" s="84" t="s">
        <v>1692</v>
      </c>
    </row>
    <row r="124" spans="1:30" x14ac:dyDescent="0.15">
      <c r="A124" s="89"/>
      <c r="B124" s="89"/>
      <c r="C124" s="89"/>
      <c r="D124" s="89"/>
      <c r="E124" s="89"/>
      <c r="F124" s="91"/>
      <c r="G124" s="92"/>
      <c r="H124" s="89"/>
      <c r="I124" s="89"/>
      <c r="J124" s="89"/>
      <c r="K124" s="89"/>
      <c r="L124" s="92"/>
      <c r="M124" s="92"/>
      <c r="N124" s="92"/>
      <c r="O124" s="92"/>
      <c r="P124" s="92"/>
      <c r="Q124" s="92"/>
      <c r="R124" s="89"/>
      <c r="S124" s="89"/>
      <c r="T124" s="89"/>
      <c r="U124" s="51"/>
      <c r="V124" s="89"/>
      <c r="W124" s="80" t="s">
        <v>1720</v>
      </c>
      <c r="X124" s="81" t="s">
        <v>1721</v>
      </c>
      <c r="Y124" s="81" t="s">
        <v>1723</v>
      </c>
      <c r="Z124" s="81" t="s">
        <v>620</v>
      </c>
      <c r="AA124" s="81" t="s">
        <v>621</v>
      </c>
      <c r="AB124" s="82">
        <v>23436</v>
      </c>
      <c r="AC124" s="84" t="s">
        <v>1692</v>
      </c>
    </row>
    <row r="125" spans="1:30" x14ac:dyDescent="0.15">
      <c r="A125" s="89"/>
      <c r="B125" s="89"/>
      <c r="C125" s="89"/>
      <c r="D125" s="89"/>
      <c r="E125" s="89"/>
      <c r="F125" s="91"/>
      <c r="G125" s="92"/>
      <c r="H125" s="89"/>
      <c r="I125" s="89"/>
      <c r="J125" s="89"/>
      <c r="K125" s="89"/>
      <c r="L125" s="92"/>
      <c r="M125" s="92"/>
      <c r="N125" s="92"/>
      <c r="O125" s="92"/>
      <c r="P125" s="92"/>
      <c r="Q125" s="92"/>
      <c r="R125" s="89"/>
      <c r="S125" s="89"/>
      <c r="T125" s="89"/>
      <c r="U125" s="51"/>
      <c r="V125" s="89"/>
      <c r="W125" s="80" t="s">
        <v>1730</v>
      </c>
      <c r="X125" s="81" t="s">
        <v>1731</v>
      </c>
      <c r="Y125" s="81" t="s">
        <v>561</v>
      </c>
      <c r="Z125" s="81" t="s">
        <v>620</v>
      </c>
      <c r="AA125" s="81" t="s">
        <v>621</v>
      </c>
      <c r="AB125" s="82">
        <v>6409</v>
      </c>
      <c r="AC125" s="84" t="s">
        <v>1692</v>
      </c>
    </row>
    <row r="126" spans="1:30" x14ac:dyDescent="0.15">
      <c r="A126" s="89"/>
      <c r="B126" s="89"/>
      <c r="C126" s="89"/>
      <c r="D126" s="89"/>
      <c r="E126" s="89"/>
      <c r="F126" s="91"/>
      <c r="G126" s="92"/>
      <c r="H126" s="89"/>
      <c r="I126" s="89"/>
      <c r="J126" s="89"/>
      <c r="K126" s="89"/>
      <c r="L126" s="92"/>
      <c r="M126" s="92"/>
      <c r="N126" s="92"/>
      <c r="O126" s="92"/>
      <c r="P126" s="92"/>
      <c r="Q126" s="92"/>
      <c r="R126" s="89"/>
      <c r="S126" s="89"/>
      <c r="T126" s="89"/>
      <c r="U126" s="51"/>
      <c r="V126" s="89"/>
      <c r="W126" s="80" t="s">
        <v>1739</v>
      </c>
      <c r="X126" s="81" t="s">
        <v>1740</v>
      </c>
      <c r="Y126" s="81" t="s">
        <v>568</v>
      </c>
      <c r="Z126" s="81" t="s">
        <v>620</v>
      </c>
      <c r="AA126" s="81" t="s">
        <v>621</v>
      </c>
      <c r="AB126" s="82">
        <v>7643</v>
      </c>
      <c r="AC126" s="84" t="s">
        <v>1692</v>
      </c>
    </row>
    <row r="127" spans="1:30" x14ac:dyDescent="0.15">
      <c r="A127" s="89"/>
      <c r="B127" s="89"/>
      <c r="C127" s="89"/>
      <c r="D127" s="89"/>
      <c r="E127" s="89"/>
      <c r="F127" s="91"/>
      <c r="G127" s="92"/>
      <c r="H127" s="89"/>
      <c r="I127" s="89"/>
      <c r="J127" s="89"/>
      <c r="K127" s="89"/>
      <c r="L127" s="92"/>
      <c r="M127" s="92"/>
      <c r="N127" s="92"/>
      <c r="O127" s="92"/>
      <c r="P127" s="92"/>
      <c r="Q127" s="92"/>
      <c r="R127" s="89"/>
      <c r="S127" s="89"/>
      <c r="T127" s="89"/>
      <c r="U127" s="51"/>
      <c r="V127" s="89"/>
      <c r="W127" s="85" t="s">
        <v>1746</v>
      </c>
      <c r="X127" s="86" t="s">
        <v>1747</v>
      </c>
      <c r="Y127" s="86" t="s">
        <v>1749</v>
      </c>
      <c r="Z127" s="86" t="s">
        <v>620</v>
      </c>
      <c r="AA127" s="86" t="s">
        <v>621</v>
      </c>
      <c r="AB127" s="87">
        <v>40</v>
      </c>
      <c r="AC127" s="88" t="s">
        <v>1692</v>
      </c>
      <c r="AD127" s="16">
        <f>SUM(AB122:AB127)</f>
        <v>87465</v>
      </c>
    </row>
    <row r="128" spans="1:30" ht="3" customHeight="1" x14ac:dyDescent="0.15">
      <c r="A128" s="51"/>
      <c r="B128" s="51"/>
      <c r="C128" s="51"/>
      <c r="D128" s="51"/>
      <c r="E128" s="51"/>
      <c r="F128" s="93"/>
      <c r="G128" s="51"/>
      <c r="H128" s="51"/>
      <c r="I128" s="51"/>
      <c r="J128" s="51"/>
      <c r="K128" s="51"/>
      <c r="L128" s="51"/>
      <c r="M128" s="51"/>
      <c r="N128" s="51"/>
      <c r="O128" s="51"/>
      <c r="P128" s="51"/>
      <c r="Q128" s="51"/>
      <c r="R128" s="51"/>
      <c r="S128" s="51"/>
      <c r="T128" s="51"/>
      <c r="U128" s="51"/>
      <c r="V128" s="51"/>
      <c r="W128" s="62"/>
      <c r="X128" s="34"/>
      <c r="Y128" s="34"/>
      <c r="Z128" s="34"/>
      <c r="AA128" s="34"/>
      <c r="AB128" s="63"/>
      <c r="AC128" s="64"/>
    </row>
    <row r="129" spans="1:30" x14ac:dyDescent="0.15">
      <c r="A129" s="89"/>
      <c r="B129" s="89"/>
      <c r="C129" s="89"/>
      <c r="D129" s="89"/>
      <c r="E129" s="89"/>
      <c r="F129" s="91"/>
      <c r="G129" s="92"/>
      <c r="H129" s="89"/>
      <c r="I129" s="92"/>
      <c r="J129" s="92"/>
      <c r="K129" s="92"/>
      <c r="L129" s="92"/>
      <c r="M129" s="92"/>
      <c r="N129" s="92"/>
      <c r="O129" s="92"/>
      <c r="P129" s="92"/>
      <c r="Q129" s="92"/>
      <c r="R129" s="89"/>
      <c r="S129" s="89"/>
      <c r="T129" s="89"/>
      <c r="U129" s="51"/>
      <c r="V129" s="89"/>
      <c r="W129" s="65" t="s">
        <v>2138</v>
      </c>
      <c r="X129" s="117" t="s">
        <v>2139</v>
      </c>
      <c r="Y129" s="117" t="s">
        <v>1683</v>
      </c>
      <c r="Z129" s="117" t="s">
        <v>2144</v>
      </c>
      <c r="AA129" s="117" t="s">
        <v>2145</v>
      </c>
      <c r="AB129" s="118">
        <v>19152</v>
      </c>
      <c r="AC129" s="119" t="s">
        <v>2142</v>
      </c>
    </row>
    <row r="130" spans="1:30" ht="3" customHeight="1" x14ac:dyDescent="0.15">
      <c r="A130" s="51"/>
      <c r="B130" s="51"/>
      <c r="C130" s="51"/>
      <c r="D130" s="51"/>
      <c r="E130" s="51"/>
      <c r="F130" s="93"/>
      <c r="G130" s="51"/>
      <c r="H130" s="51"/>
      <c r="I130" s="51"/>
      <c r="J130" s="51"/>
      <c r="K130" s="51"/>
      <c r="L130" s="51"/>
      <c r="M130" s="51"/>
      <c r="N130" s="51"/>
      <c r="O130" s="51"/>
      <c r="P130" s="51"/>
      <c r="Q130" s="51"/>
      <c r="R130" s="51"/>
      <c r="S130" s="51"/>
      <c r="T130" s="51"/>
      <c r="U130" s="51"/>
      <c r="V130" s="51"/>
      <c r="W130" s="62"/>
      <c r="X130" s="34"/>
      <c r="Y130" s="34"/>
      <c r="Z130" s="34"/>
      <c r="AA130" s="34"/>
      <c r="AB130" s="63"/>
      <c r="AC130" s="64"/>
    </row>
    <row r="131" spans="1:30" x14ac:dyDescent="0.15">
      <c r="A131" s="89"/>
      <c r="B131" s="89"/>
      <c r="C131" s="89"/>
      <c r="D131" s="89"/>
      <c r="E131" s="89"/>
      <c r="F131" s="91"/>
      <c r="G131" s="92"/>
      <c r="H131" s="89"/>
      <c r="I131" s="89"/>
      <c r="J131" s="89"/>
      <c r="K131" s="89"/>
      <c r="L131" s="92"/>
      <c r="M131" s="92"/>
      <c r="N131" s="92"/>
      <c r="O131" s="92"/>
      <c r="P131" s="92"/>
      <c r="Q131" s="92"/>
      <c r="R131" s="89"/>
      <c r="S131" s="89"/>
      <c r="T131" s="89"/>
      <c r="U131" s="51"/>
      <c r="V131" s="89"/>
      <c r="W131" s="76" t="s">
        <v>1854</v>
      </c>
      <c r="X131" s="77" t="s">
        <v>1855</v>
      </c>
      <c r="Y131" s="77" t="s">
        <v>72</v>
      </c>
      <c r="Z131" s="77" t="s">
        <v>1817</v>
      </c>
      <c r="AA131" s="77" t="s">
        <v>1818</v>
      </c>
      <c r="AB131" s="78">
        <v>17644</v>
      </c>
      <c r="AC131" s="79" t="s">
        <v>1759</v>
      </c>
    </row>
    <row r="132" spans="1:30" x14ac:dyDescent="0.15">
      <c r="A132" s="89"/>
      <c r="B132" s="89"/>
      <c r="C132" s="89"/>
      <c r="D132" s="89"/>
      <c r="E132" s="89"/>
      <c r="F132" s="91"/>
      <c r="G132" s="92"/>
      <c r="H132" s="89"/>
      <c r="I132" s="89"/>
      <c r="J132" s="89"/>
      <c r="K132" s="89"/>
      <c r="L132" s="92"/>
      <c r="M132" s="92"/>
      <c r="N132" s="92"/>
      <c r="O132" s="92"/>
      <c r="P132" s="92"/>
      <c r="Q132" s="92"/>
      <c r="R132" s="89"/>
      <c r="S132" s="89"/>
      <c r="T132" s="89"/>
      <c r="U132" s="51"/>
      <c r="V132" s="89"/>
      <c r="W132" s="80" t="s">
        <v>1863</v>
      </c>
      <c r="X132" s="81" t="s">
        <v>1864</v>
      </c>
      <c r="Y132" s="81" t="s">
        <v>239</v>
      </c>
      <c r="Z132" s="81" t="s">
        <v>1817</v>
      </c>
      <c r="AA132" s="81" t="s">
        <v>1818</v>
      </c>
      <c r="AB132" s="82">
        <v>33152</v>
      </c>
      <c r="AC132" s="84" t="s">
        <v>1759</v>
      </c>
    </row>
    <row r="133" spans="1:30" x14ac:dyDescent="0.15">
      <c r="A133" s="89"/>
      <c r="B133" s="89"/>
      <c r="C133" s="89"/>
      <c r="D133" s="89"/>
      <c r="E133" s="89"/>
      <c r="F133" s="91"/>
      <c r="G133" s="92"/>
      <c r="H133" s="89"/>
      <c r="I133" s="89"/>
      <c r="J133" s="89"/>
      <c r="K133" s="89"/>
      <c r="L133" s="92"/>
      <c r="M133" s="92"/>
      <c r="N133" s="92"/>
      <c r="O133" s="92"/>
      <c r="P133" s="92"/>
      <c r="Q133" s="92"/>
      <c r="R133" s="89"/>
      <c r="S133" s="89"/>
      <c r="T133" s="89"/>
      <c r="U133" s="51"/>
      <c r="V133" s="89"/>
      <c r="W133" s="80" t="s">
        <v>1873</v>
      </c>
      <c r="X133" s="81" t="s">
        <v>1874</v>
      </c>
      <c r="Y133" s="81" t="s">
        <v>1683</v>
      </c>
      <c r="Z133" s="81" t="s">
        <v>1817</v>
      </c>
      <c r="AA133" s="81" t="s">
        <v>1818</v>
      </c>
      <c r="AB133" s="82">
        <v>8620</v>
      </c>
      <c r="AC133" s="84" t="s">
        <v>1759</v>
      </c>
    </row>
    <row r="134" spans="1:30" x14ac:dyDescent="0.15">
      <c r="A134" s="89"/>
      <c r="B134" s="89"/>
      <c r="C134" s="89"/>
      <c r="D134" s="89"/>
      <c r="E134" s="89"/>
      <c r="F134" s="91"/>
      <c r="G134" s="92"/>
      <c r="H134" s="89"/>
      <c r="I134" s="92"/>
      <c r="J134" s="89"/>
      <c r="K134" s="89"/>
      <c r="L134" s="92"/>
      <c r="M134" s="92"/>
      <c r="N134" s="92"/>
      <c r="O134" s="92"/>
      <c r="P134" s="92"/>
      <c r="Q134" s="92"/>
      <c r="R134" s="89"/>
      <c r="S134" s="89"/>
      <c r="T134" s="89"/>
      <c r="U134" s="51"/>
      <c r="V134" s="89"/>
      <c r="W134" s="85" t="s">
        <v>3150</v>
      </c>
      <c r="X134" s="86" t="s">
        <v>3151</v>
      </c>
      <c r="Y134" s="86" t="s">
        <v>3153</v>
      </c>
      <c r="Z134" s="86" t="s">
        <v>1817</v>
      </c>
      <c r="AA134" s="86" t="s">
        <v>1818</v>
      </c>
      <c r="AB134" s="87">
        <v>902</v>
      </c>
      <c r="AC134" s="88" t="s">
        <v>1759</v>
      </c>
      <c r="AD134" s="16">
        <f>SUM(AB131,AB132,AB134)</f>
        <v>51698</v>
      </c>
    </row>
    <row r="135" spans="1:30" ht="3" customHeight="1" x14ac:dyDescent="0.15">
      <c r="A135" s="51"/>
      <c r="B135" s="51"/>
      <c r="C135" s="51"/>
      <c r="D135" s="51"/>
      <c r="E135" s="51"/>
      <c r="F135" s="93"/>
      <c r="G135" s="51"/>
      <c r="H135" s="51"/>
      <c r="I135" s="51"/>
      <c r="J135" s="51"/>
      <c r="K135" s="51"/>
      <c r="L135" s="51"/>
      <c r="M135" s="51"/>
      <c r="N135" s="51"/>
      <c r="O135" s="51"/>
      <c r="P135" s="51"/>
      <c r="Q135" s="51"/>
      <c r="R135" s="51"/>
      <c r="S135" s="51"/>
      <c r="T135" s="51"/>
      <c r="U135" s="51"/>
      <c r="V135" s="51"/>
      <c r="W135" s="62"/>
      <c r="X135" s="34"/>
      <c r="Y135" s="34"/>
      <c r="Z135" s="34"/>
      <c r="AA135" s="34"/>
      <c r="AB135" s="63"/>
      <c r="AC135" s="64"/>
    </row>
    <row r="136" spans="1:30" x14ac:dyDescent="0.15">
      <c r="A136" s="89"/>
      <c r="B136" s="89"/>
      <c r="C136" s="89"/>
      <c r="D136" s="89"/>
      <c r="E136" s="89"/>
      <c r="F136" s="91"/>
      <c r="G136" s="92"/>
      <c r="H136" s="92"/>
      <c r="I136" s="89"/>
      <c r="J136" s="92"/>
      <c r="K136" s="89"/>
      <c r="L136" s="92"/>
      <c r="M136" s="92"/>
      <c r="N136" s="92"/>
      <c r="O136" s="92"/>
      <c r="P136" s="92"/>
      <c r="Q136" s="92"/>
      <c r="R136" s="89"/>
      <c r="S136" s="89"/>
      <c r="T136" s="89"/>
      <c r="U136" s="51"/>
      <c r="V136" s="89"/>
      <c r="W136" s="58" t="s">
        <v>3502</v>
      </c>
      <c r="X136" s="106" t="s">
        <v>3503</v>
      </c>
      <c r="Y136" s="106" t="s">
        <v>552</v>
      </c>
      <c r="Z136" s="106" t="s">
        <v>3446</v>
      </c>
      <c r="AA136" s="106" t="s">
        <v>3447</v>
      </c>
      <c r="AB136" s="107">
        <v>796</v>
      </c>
      <c r="AC136" s="108" t="s">
        <v>3445</v>
      </c>
    </row>
    <row r="137" spans="1:30" x14ac:dyDescent="0.15">
      <c r="A137" s="89"/>
      <c r="B137" s="89"/>
      <c r="C137" s="89"/>
      <c r="D137" s="89"/>
      <c r="E137" s="89"/>
      <c r="F137" s="91"/>
      <c r="G137" s="92"/>
      <c r="H137" s="92"/>
      <c r="I137" s="92"/>
      <c r="J137" s="92"/>
      <c r="K137" s="89"/>
      <c r="L137" s="92"/>
      <c r="M137" s="92"/>
      <c r="N137" s="92"/>
      <c r="O137" s="92"/>
      <c r="P137" s="92"/>
      <c r="Q137" s="92"/>
      <c r="R137" s="89"/>
      <c r="S137" s="89"/>
      <c r="T137" s="89"/>
      <c r="U137" s="51"/>
      <c r="V137" s="89"/>
      <c r="W137" s="109" t="s">
        <v>3509</v>
      </c>
      <c r="X137" s="110" t="s">
        <v>1731</v>
      </c>
      <c r="Y137" s="110" t="s">
        <v>561</v>
      </c>
      <c r="Z137" s="110" t="s">
        <v>3446</v>
      </c>
      <c r="AA137" s="110" t="s">
        <v>3447</v>
      </c>
      <c r="AB137" s="98">
        <v>941</v>
      </c>
      <c r="AC137" s="111" t="s">
        <v>3445</v>
      </c>
    </row>
    <row r="138" spans="1:30" x14ac:dyDescent="0.15">
      <c r="A138" s="89"/>
      <c r="B138" s="89"/>
      <c r="C138" s="89"/>
      <c r="D138" s="89"/>
      <c r="E138" s="89"/>
      <c r="F138" s="91"/>
      <c r="G138" s="92"/>
      <c r="H138" s="92"/>
      <c r="I138" s="92"/>
      <c r="J138" s="92"/>
      <c r="K138" s="89"/>
      <c r="L138" s="92"/>
      <c r="M138" s="92"/>
      <c r="N138" s="92"/>
      <c r="O138" s="92"/>
      <c r="P138" s="92"/>
      <c r="Q138" s="92"/>
      <c r="R138" s="89"/>
      <c r="S138" s="89"/>
      <c r="T138" s="89"/>
      <c r="U138" s="51"/>
      <c r="V138" s="89"/>
      <c r="W138" s="112" t="s">
        <v>3515</v>
      </c>
      <c r="X138" s="113" t="s">
        <v>1740</v>
      </c>
      <c r="Y138" s="113" t="s">
        <v>568</v>
      </c>
      <c r="Z138" s="113" t="s">
        <v>3446</v>
      </c>
      <c r="AA138" s="113" t="s">
        <v>3447</v>
      </c>
      <c r="AB138" s="114">
        <v>4987</v>
      </c>
      <c r="AC138" s="115" t="s">
        <v>3445</v>
      </c>
      <c r="AD138" s="16">
        <f>SUM(AB137:AB138)</f>
        <v>5928</v>
      </c>
    </row>
    <row r="139" spans="1:30" ht="3" customHeight="1" x14ac:dyDescent="0.15">
      <c r="A139" s="51"/>
      <c r="B139" s="51"/>
      <c r="C139" s="51"/>
      <c r="D139" s="51"/>
      <c r="E139" s="51"/>
      <c r="F139" s="93"/>
      <c r="G139" s="51"/>
      <c r="H139" s="51"/>
      <c r="I139" s="51"/>
      <c r="J139" s="51"/>
      <c r="K139" s="51"/>
      <c r="L139" s="51"/>
      <c r="M139" s="51"/>
      <c r="N139" s="51"/>
      <c r="O139" s="51"/>
      <c r="P139" s="51"/>
      <c r="Q139" s="51"/>
      <c r="R139" s="51"/>
      <c r="S139" s="51"/>
      <c r="T139" s="51"/>
      <c r="U139" s="51"/>
      <c r="V139" s="51"/>
      <c r="W139" s="62"/>
      <c r="X139" s="34"/>
      <c r="Y139" s="34"/>
      <c r="Z139" s="34"/>
      <c r="AA139" s="34"/>
      <c r="AB139" s="63"/>
      <c r="AC139" s="64"/>
    </row>
    <row r="140" spans="1:30" x14ac:dyDescent="0.15">
      <c r="A140" s="89"/>
      <c r="B140" s="89"/>
      <c r="C140" s="89"/>
      <c r="D140" s="89"/>
      <c r="E140" s="89"/>
      <c r="F140" s="91"/>
      <c r="G140" s="92"/>
      <c r="H140" s="92"/>
      <c r="I140" s="92"/>
      <c r="J140" s="92"/>
      <c r="K140" s="89"/>
      <c r="L140" s="92"/>
      <c r="M140" s="92"/>
      <c r="N140" s="92"/>
      <c r="O140" s="92"/>
      <c r="P140" s="92"/>
      <c r="Q140" s="92"/>
      <c r="R140" s="89"/>
      <c r="S140" s="89"/>
      <c r="T140" s="89"/>
      <c r="U140" s="51"/>
      <c r="V140" s="89"/>
      <c r="W140" s="76" t="s">
        <v>2081</v>
      </c>
      <c r="X140" s="77" t="s">
        <v>2082</v>
      </c>
      <c r="Y140" s="77" t="s">
        <v>2084</v>
      </c>
      <c r="Z140" s="77" t="s">
        <v>2059</v>
      </c>
      <c r="AA140" s="77" t="s">
        <v>2060</v>
      </c>
      <c r="AB140" s="78">
        <v>6500</v>
      </c>
      <c r="AC140" s="79" t="s">
        <v>2073</v>
      </c>
    </row>
    <row r="141" spans="1:30" x14ac:dyDescent="0.15">
      <c r="A141" s="89"/>
      <c r="B141" s="89"/>
      <c r="C141" s="89"/>
      <c r="D141" s="89"/>
      <c r="E141" s="89"/>
      <c r="F141" s="91"/>
      <c r="G141" s="92"/>
      <c r="H141" s="92"/>
      <c r="I141" s="92"/>
      <c r="J141" s="92"/>
      <c r="K141" s="89"/>
      <c r="L141" s="92"/>
      <c r="M141" s="92"/>
      <c r="N141" s="92"/>
      <c r="O141" s="92"/>
      <c r="P141" s="92"/>
      <c r="Q141" s="92"/>
      <c r="R141" s="89"/>
      <c r="S141" s="89"/>
      <c r="T141" s="89"/>
      <c r="U141" s="51"/>
      <c r="V141" s="89"/>
      <c r="W141" s="85" t="s">
        <v>2090</v>
      </c>
      <c r="X141" s="86" t="s">
        <v>2091</v>
      </c>
      <c r="Y141" s="86" t="s">
        <v>2093</v>
      </c>
      <c r="Z141" s="86" t="s">
        <v>2059</v>
      </c>
      <c r="AA141" s="86" t="s">
        <v>2060</v>
      </c>
      <c r="AB141" s="87">
        <v>2600</v>
      </c>
      <c r="AC141" s="88" t="s">
        <v>2073</v>
      </c>
    </row>
    <row r="142" spans="1:30" ht="3" customHeight="1" x14ac:dyDescent="0.15">
      <c r="A142" s="51"/>
      <c r="B142" s="51"/>
      <c r="C142" s="51"/>
      <c r="D142" s="51"/>
      <c r="E142" s="51"/>
      <c r="F142" s="93"/>
      <c r="G142" s="51"/>
      <c r="H142" s="51"/>
      <c r="I142" s="51"/>
      <c r="J142" s="51"/>
      <c r="K142" s="51"/>
      <c r="L142" s="51"/>
      <c r="M142" s="51"/>
      <c r="N142" s="51"/>
      <c r="O142" s="51"/>
      <c r="P142" s="51"/>
      <c r="Q142" s="51"/>
      <c r="R142" s="51"/>
      <c r="S142" s="51"/>
      <c r="T142" s="51"/>
      <c r="U142" s="51"/>
      <c r="V142" s="51"/>
      <c r="W142" s="62"/>
      <c r="X142" s="34"/>
      <c r="Y142" s="34"/>
      <c r="Z142" s="34"/>
      <c r="AA142" s="34"/>
      <c r="AB142" s="63"/>
      <c r="AC142" s="64"/>
    </row>
    <row r="143" spans="1:30" x14ac:dyDescent="0.15">
      <c r="A143" s="89"/>
      <c r="B143" s="89"/>
      <c r="C143" s="89"/>
      <c r="D143" s="89"/>
      <c r="E143" s="89"/>
      <c r="F143" s="91"/>
      <c r="G143" s="92"/>
      <c r="H143" s="89"/>
      <c r="I143" s="89"/>
      <c r="J143" s="89"/>
      <c r="K143" s="89"/>
      <c r="L143" s="92"/>
      <c r="M143" s="92"/>
      <c r="N143" s="92"/>
      <c r="O143" s="92"/>
      <c r="P143" s="92"/>
      <c r="Q143" s="92"/>
      <c r="R143" s="89"/>
      <c r="S143" s="89"/>
      <c r="T143" s="89"/>
      <c r="U143" s="51"/>
      <c r="V143" s="89"/>
      <c r="W143" s="58" t="s">
        <v>2033</v>
      </c>
      <c r="X143" s="106" t="s">
        <v>2034</v>
      </c>
      <c r="Y143" s="106" t="s">
        <v>72</v>
      </c>
      <c r="Z143" s="106" t="s">
        <v>1959</v>
      </c>
      <c r="AA143" s="106" t="s">
        <v>1960</v>
      </c>
      <c r="AB143" s="107">
        <v>96</v>
      </c>
      <c r="AC143" s="108" t="s">
        <v>2036</v>
      </c>
    </row>
    <row r="144" spans="1:30" x14ac:dyDescent="0.15">
      <c r="A144" s="89"/>
      <c r="B144" s="89"/>
      <c r="C144" s="89"/>
      <c r="D144" s="89"/>
      <c r="E144" s="89"/>
      <c r="F144" s="91"/>
      <c r="G144" s="92"/>
      <c r="H144" s="92"/>
      <c r="I144" s="89"/>
      <c r="J144" s="89"/>
      <c r="K144" s="89"/>
      <c r="L144" s="92"/>
      <c r="M144" s="92"/>
      <c r="N144" s="92"/>
      <c r="O144" s="92"/>
      <c r="P144" s="92"/>
      <c r="Q144" s="92"/>
      <c r="R144" s="89"/>
      <c r="S144" s="89"/>
      <c r="T144" s="89"/>
      <c r="U144" s="51"/>
      <c r="V144" s="89"/>
      <c r="W144" s="112" t="s">
        <v>2045</v>
      </c>
      <c r="X144" s="113" t="s">
        <v>2046</v>
      </c>
      <c r="Y144" s="113" t="s">
        <v>1749</v>
      </c>
      <c r="Z144" s="113" t="s">
        <v>1959</v>
      </c>
      <c r="AA144" s="113" t="s">
        <v>1960</v>
      </c>
      <c r="AB144" s="114">
        <v>600</v>
      </c>
      <c r="AC144" s="115" t="s">
        <v>2048</v>
      </c>
    </row>
    <row r="145" spans="1:30" ht="3" customHeight="1" x14ac:dyDescent="0.15">
      <c r="A145" s="51"/>
      <c r="B145" s="51"/>
      <c r="C145" s="51"/>
      <c r="D145" s="51"/>
      <c r="E145" s="51"/>
      <c r="F145" s="93"/>
      <c r="G145" s="51"/>
      <c r="H145" s="51"/>
      <c r="I145" s="51"/>
      <c r="J145" s="51"/>
      <c r="K145" s="51"/>
      <c r="L145" s="51"/>
      <c r="M145" s="51"/>
      <c r="N145" s="51"/>
      <c r="O145" s="51"/>
      <c r="P145" s="51"/>
      <c r="Q145" s="51"/>
      <c r="R145" s="51"/>
      <c r="S145" s="51"/>
      <c r="T145" s="51"/>
      <c r="U145" s="51"/>
      <c r="V145" s="51"/>
      <c r="W145" s="62"/>
      <c r="X145" s="34"/>
      <c r="Y145" s="34"/>
      <c r="Z145" s="34"/>
      <c r="AA145" s="34"/>
      <c r="AB145" s="63"/>
      <c r="AC145" s="64"/>
    </row>
    <row r="146" spans="1:30" x14ac:dyDescent="0.15">
      <c r="A146" s="89"/>
      <c r="B146" s="89"/>
      <c r="C146" s="89"/>
      <c r="D146" s="89"/>
      <c r="E146" s="89"/>
      <c r="F146" s="91"/>
      <c r="G146" s="92"/>
      <c r="H146" s="89"/>
      <c r="I146" s="89"/>
      <c r="J146" s="89"/>
      <c r="K146" s="89"/>
      <c r="L146" s="92"/>
      <c r="M146" s="92"/>
      <c r="N146" s="92"/>
      <c r="O146" s="92"/>
      <c r="P146" s="92"/>
      <c r="Q146" s="92"/>
      <c r="R146" s="89"/>
      <c r="S146" s="89"/>
      <c r="T146" s="89"/>
      <c r="U146" s="51"/>
      <c r="V146" s="89"/>
      <c r="W146" s="76" t="s">
        <v>3333</v>
      </c>
      <c r="X146" s="77" t="s">
        <v>3334</v>
      </c>
      <c r="Y146" s="77" t="s">
        <v>3336</v>
      </c>
      <c r="Z146" s="77" t="s">
        <v>3300</v>
      </c>
      <c r="AA146" s="77" t="s">
        <v>3301</v>
      </c>
      <c r="AB146" s="78">
        <v>2350</v>
      </c>
      <c r="AC146" s="79" t="s">
        <v>3337</v>
      </c>
    </row>
    <row r="147" spans="1:30" x14ac:dyDescent="0.15">
      <c r="A147" s="89"/>
      <c r="B147" s="89"/>
      <c r="C147" s="89"/>
      <c r="D147" s="89"/>
      <c r="E147" s="89"/>
      <c r="F147" s="91"/>
      <c r="G147" s="92"/>
      <c r="H147" s="89"/>
      <c r="I147" s="89"/>
      <c r="J147" s="89"/>
      <c r="K147" s="89"/>
      <c r="L147" s="92"/>
      <c r="M147" s="92"/>
      <c r="N147" s="92"/>
      <c r="O147" s="92"/>
      <c r="P147" s="92"/>
      <c r="Q147" s="92"/>
      <c r="R147" s="89"/>
      <c r="S147" s="89"/>
      <c r="T147" s="89"/>
      <c r="U147" s="51"/>
      <c r="V147" s="89"/>
      <c r="W147" s="80" t="s">
        <v>3346</v>
      </c>
      <c r="X147" s="81" t="s">
        <v>3347</v>
      </c>
      <c r="Y147" s="81" t="s">
        <v>561</v>
      </c>
      <c r="Z147" s="81" t="s">
        <v>3300</v>
      </c>
      <c r="AA147" s="81" t="s">
        <v>3301</v>
      </c>
      <c r="AB147" s="82"/>
      <c r="AC147" s="84" t="s">
        <v>3337</v>
      </c>
    </row>
    <row r="148" spans="1:30" x14ac:dyDescent="0.15">
      <c r="A148" s="89"/>
      <c r="B148" s="89"/>
      <c r="C148" s="89"/>
      <c r="D148" s="89"/>
      <c r="E148" s="89"/>
      <c r="F148" s="91"/>
      <c r="G148" s="92"/>
      <c r="H148" s="92"/>
      <c r="I148" s="89"/>
      <c r="J148" s="89"/>
      <c r="K148" s="89"/>
      <c r="L148" s="92"/>
      <c r="M148" s="92"/>
      <c r="N148" s="92"/>
      <c r="O148" s="92"/>
      <c r="P148" s="92"/>
      <c r="Q148" s="92"/>
      <c r="R148" s="89"/>
      <c r="S148" s="89"/>
      <c r="T148" s="89"/>
      <c r="U148" s="51"/>
      <c r="V148" s="89"/>
      <c r="W148" s="85" t="s">
        <v>3799</v>
      </c>
      <c r="X148" s="86" t="s">
        <v>1756</v>
      </c>
      <c r="Y148" s="86" t="s">
        <v>568</v>
      </c>
      <c r="Z148" s="86" t="s">
        <v>3300</v>
      </c>
      <c r="AA148" s="86" t="s">
        <v>3301</v>
      </c>
      <c r="AB148" s="87">
        <v>9000</v>
      </c>
      <c r="AC148" s="88" t="s">
        <v>3337</v>
      </c>
    </row>
    <row r="149" spans="1:30" ht="3" customHeight="1" x14ac:dyDescent="0.15">
      <c r="A149" s="51"/>
      <c r="B149" s="51"/>
      <c r="C149" s="51"/>
      <c r="D149" s="51"/>
      <c r="E149" s="51"/>
      <c r="F149" s="93"/>
      <c r="G149" s="51"/>
      <c r="H149" s="51"/>
      <c r="I149" s="51"/>
      <c r="J149" s="51"/>
      <c r="K149" s="51"/>
      <c r="L149" s="51"/>
      <c r="M149" s="51"/>
      <c r="N149" s="51"/>
      <c r="O149" s="51"/>
      <c r="P149" s="51"/>
      <c r="Q149" s="51"/>
      <c r="R149" s="51"/>
      <c r="S149" s="51"/>
      <c r="T149" s="51"/>
      <c r="U149" s="51"/>
      <c r="V149" s="51"/>
      <c r="W149" s="62"/>
      <c r="X149" s="34"/>
      <c r="Y149" s="34"/>
      <c r="Z149" s="34"/>
      <c r="AA149" s="34"/>
      <c r="AB149" s="63"/>
      <c r="AC149" s="64"/>
    </row>
    <row r="150" spans="1:30" x14ac:dyDescent="0.15">
      <c r="A150" s="89"/>
      <c r="B150" s="89"/>
      <c r="C150" s="89"/>
      <c r="D150" s="89"/>
      <c r="E150" s="89"/>
      <c r="F150" s="91"/>
      <c r="G150" s="92"/>
      <c r="H150" s="89"/>
      <c r="I150" s="92"/>
      <c r="J150" s="89"/>
      <c r="K150" s="89"/>
      <c r="L150" s="92"/>
      <c r="M150" s="92"/>
      <c r="N150" s="92"/>
      <c r="O150" s="92"/>
      <c r="P150" s="92"/>
      <c r="Q150" s="92"/>
      <c r="R150" s="89"/>
      <c r="S150" s="89"/>
      <c r="T150" s="89"/>
      <c r="U150" s="51"/>
      <c r="V150" s="89"/>
      <c r="W150" s="58" t="s">
        <v>68</v>
      </c>
      <c r="X150" s="106" t="s">
        <v>69</v>
      </c>
      <c r="Y150" s="106" t="s">
        <v>72</v>
      </c>
      <c r="Z150" s="106" t="s">
        <v>76</v>
      </c>
      <c r="AA150" s="106" t="s">
        <v>77</v>
      </c>
      <c r="AB150" s="107">
        <v>396</v>
      </c>
      <c r="AC150" s="108" t="s">
        <v>73</v>
      </c>
    </row>
    <row r="151" spans="1:30" x14ac:dyDescent="0.15">
      <c r="A151" s="89"/>
      <c r="B151" s="89"/>
      <c r="C151" s="89"/>
      <c r="D151" s="89"/>
      <c r="E151" s="89"/>
      <c r="F151" s="91"/>
      <c r="G151" s="92"/>
      <c r="H151" s="89"/>
      <c r="I151" s="92"/>
      <c r="J151" s="89"/>
      <c r="K151" s="89"/>
      <c r="L151" s="92"/>
      <c r="M151" s="92"/>
      <c r="N151" s="92"/>
      <c r="O151" s="92"/>
      <c r="P151" s="92"/>
      <c r="Q151" s="92"/>
      <c r="R151" s="89"/>
      <c r="S151" s="89"/>
      <c r="T151" s="89"/>
      <c r="U151" s="51"/>
      <c r="V151" s="89"/>
      <c r="W151" s="109" t="s">
        <v>175</v>
      </c>
      <c r="X151" s="110" t="s">
        <v>176</v>
      </c>
      <c r="Y151" s="110" t="s">
        <v>72</v>
      </c>
      <c r="Z151" s="110" t="s">
        <v>76</v>
      </c>
      <c r="AA151" s="110" t="s">
        <v>77</v>
      </c>
      <c r="AB151" s="98">
        <v>5100</v>
      </c>
      <c r="AC151" s="111" t="s">
        <v>178</v>
      </c>
    </row>
    <row r="152" spans="1:30" x14ac:dyDescent="0.15">
      <c r="A152" s="89"/>
      <c r="B152" s="89"/>
      <c r="C152" s="89"/>
      <c r="D152" s="89"/>
      <c r="E152" s="89"/>
      <c r="F152" s="91"/>
      <c r="G152" s="92"/>
      <c r="H152" s="89"/>
      <c r="I152" s="92"/>
      <c r="J152" s="89"/>
      <c r="K152" s="89"/>
      <c r="L152" s="92"/>
      <c r="M152" s="92"/>
      <c r="N152" s="92"/>
      <c r="O152" s="92"/>
      <c r="P152" s="92"/>
      <c r="Q152" s="92"/>
      <c r="R152" s="89"/>
      <c r="S152" s="89"/>
      <c r="T152" s="89"/>
      <c r="U152" s="51"/>
      <c r="V152" s="89"/>
      <c r="W152" s="109" t="s">
        <v>184</v>
      </c>
      <c r="X152" s="110" t="s">
        <v>185</v>
      </c>
      <c r="Y152" s="110" t="s">
        <v>72</v>
      </c>
      <c r="Z152" s="110" t="s">
        <v>76</v>
      </c>
      <c r="AA152" s="110" t="s">
        <v>77</v>
      </c>
      <c r="AB152" s="98">
        <v>133</v>
      </c>
      <c r="AC152" s="111" t="s">
        <v>178</v>
      </c>
    </row>
    <row r="153" spans="1:30" x14ac:dyDescent="0.15">
      <c r="A153" s="89"/>
      <c r="B153" s="89"/>
      <c r="C153" s="89"/>
      <c r="D153" s="89"/>
      <c r="E153" s="89"/>
      <c r="F153" s="91"/>
      <c r="G153" s="92"/>
      <c r="H153" s="89"/>
      <c r="I153" s="92"/>
      <c r="J153" s="89"/>
      <c r="K153" s="89"/>
      <c r="L153" s="92"/>
      <c r="M153" s="92"/>
      <c r="N153" s="92"/>
      <c r="O153" s="92"/>
      <c r="P153" s="92"/>
      <c r="Q153" s="92"/>
      <c r="R153" s="89"/>
      <c r="S153" s="89"/>
      <c r="T153" s="89"/>
      <c r="U153" s="51"/>
      <c r="V153" s="89"/>
      <c r="W153" s="109" t="s">
        <v>192</v>
      </c>
      <c r="X153" s="110" t="s">
        <v>193</v>
      </c>
      <c r="Y153" s="110" t="s">
        <v>72</v>
      </c>
      <c r="Z153" s="110" t="s">
        <v>76</v>
      </c>
      <c r="AA153" s="110" t="s">
        <v>77</v>
      </c>
      <c r="AB153" s="98">
        <v>5194</v>
      </c>
      <c r="AC153" s="111" t="s">
        <v>178</v>
      </c>
    </row>
    <row r="154" spans="1:30" x14ac:dyDescent="0.15">
      <c r="A154" s="89"/>
      <c r="B154" s="89"/>
      <c r="C154" s="89"/>
      <c r="D154" s="89"/>
      <c r="E154" s="89"/>
      <c r="F154" s="91"/>
      <c r="G154" s="92"/>
      <c r="H154" s="89"/>
      <c r="I154" s="92"/>
      <c r="J154" s="89"/>
      <c r="K154" s="89"/>
      <c r="L154" s="92"/>
      <c r="M154" s="92"/>
      <c r="N154" s="92"/>
      <c r="O154" s="92"/>
      <c r="P154" s="92"/>
      <c r="Q154" s="92"/>
      <c r="R154" s="89"/>
      <c r="S154" s="89"/>
      <c r="T154" s="89"/>
      <c r="U154" s="51"/>
      <c r="V154" s="89"/>
      <c r="W154" s="109" t="s">
        <v>201</v>
      </c>
      <c r="X154" s="110" t="s">
        <v>202</v>
      </c>
      <c r="Y154" s="110" t="s">
        <v>72</v>
      </c>
      <c r="Z154" s="110" t="s">
        <v>76</v>
      </c>
      <c r="AA154" s="110" t="s">
        <v>77</v>
      </c>
      <c r="AB154" s="98">
        <v>249</v>
      </c>
      <c r="AC154" s="111" t="s">
        <v>178</v>
      </c>
    </row>
    <row r="155" spans="1:30" x14ac:dyDescent="0.15">
      <c r="A155" s="89"/>
      <c r="B155" s="89"/>
      <c r="C155" s="89"/>
      <c r="D155" s="89"/>
      <c r="E155" s="89"/>
      <c r="F155" s="91"/>
      <c r="G155" s="92"/>
      <c r="H155" s="89"/>
      <c r="I155" s="92"/>
      <c r="J155" s="89"/>
      <c r="K155" s="89"/>
      <c r="L155" s="92"/>
      <c r="M155" s="92"/>
      <c r="N155" s="92"/>
      <c r="O155" s="92"/>
      <c r="P155" s="92"/>
      <c r="Q155" s="92"/>
      <c r="R155" s="89"/>
      <c r="S155" s="89"/>
      <c r="T155" s="89"/>
      <c r="U155" s="51"/>
      <c r="V155" s="89"/>
      <c r="W155" s="109" t="s">
        <v>209</v>
      </c>
      <c r="X155" s="110" t="s">
        <v>210</v>
      </c>
      <c r="Y155" s="110" t="s">
        <v>72</v>
      </c>
      <c r="Z155" s="110" t="s">
        <v>76</v>
      </c>
      <c r="AA155" s="110" t="s">
        <v>77</v>
      </c>
      <c r="AB155" s="98">
        <v>6068</v>
      </c>
      <c r="AC155" s="111" t="s">
        <v>178</v>
      </c>
    </row>
    <row r="156" spans="1:30" x14ac:dyDescent="0.15">
      <c r="A156" s="89"/>
      <c r="B156" s="89"/>
      <c r="C156" s="89"/>
      <c r="D156" s="89"/>
      <c r="E156" s="89"/>
      <c r="F156" s="91"/>
      <c r="G156" s="92"/>
      <c r="H156" s="89"/>
      <c r="I156" s="92"/>
      <c r="J156" s="89"/>
      <c r="K156" s="89"/>
      <c r="L156" s="92"/>
      <c r="M156" s="92"/>
      <c r="N156" s="92"/>
      <c r="O156" s="92"/>
      <c r="P156" s="92"/>
      <c r="Q156" s="92"/>
      <c r="R156" s="89"/>
      <c r="S156" s="89"/>
      <c r="T156" s="89"/>
      <c r="U156" s="51"/>
      <c r="V156" s="89"/>
      <c r="W156" s="109" t="s">
        <v>217</v>
      </c>
      <c r="X156" s="110" t="s">
        <v>218</v>
      </c>
      <c r="Y156" s="110" t="s">
        <v>72</v>
      </c>
      <c r="Z156" s="110" t="s">
        <v>76</v>
      </c>
      <c r="AA156" s="110" t="s">
        <v>77</v>
      </c>
      <c r="AB156" s="98">
        <v>6017</v>
      </c>
      <c r="AC156" s="111" t="s">
        <v>178</v>
      </c>
    </row>
    <row r="157" spans="1:30" x14ac:dyDescent="0.15">
      <c r="A157" s="89"/>
      <c r="B157" s="89"/>
      <c r="C157" s="89"/>
      <c r="D157" s="89"/>
      <c r="E157" s="89"/>
      <c r="F157" s="91"/>
      <c r="G157" s="92"/>
      <c r="H157" s="89"/>
      <c r="I157" s="92"/>
      <c r="J157" s="89"/>
      <c r="K157" s="89"/>
      <c r="L157" s="92"/>
      <c r="M157" s="92"/>
      <c r="N157" s="92"/>
      <c r="O157" s="92"/>
      <c r="P157" s="92"/>
      <c r="Q157" s="92"/>
      <c r="R157" s="89"/>
      <c r="S157" s="89"/>
      <c r="T157" s="89"/>
      <c r="U157" s="51"/>
      <c r="V157" s="89"/>
      <c r="W157" s="109" t="s">
        <v>226</v>
      </c>
      <c r="X157" s="110" t="s">
        <v>227</v>
      </c>
      <c r="Y157" s="110" t="s">
        <v>229</v>
      </c>
      <c r="Z157" s="110" t="s">
        <v>76</v>
      </c>
      <c r="AA157" s="110" t="s">
        <v>77</v>
      </c>
      <c r="AB157" s="98">
        <v>166</v>
      </c>
      <c r="AC157" s="111" t="s">
        <v>178</v>
      </c>
    </row>
    <row r="158" spans="1:30" x14ac:dyDescent="0.15">
      <c r="A158" s="89"/>
      <c r="B158" s="89"/>
      <c r="C158" s="89"/>
      <c r="D158" s="89"/>
      <c r="E158" s="89"/>
      <c r="F158" s="91"/>
      <c r="G158" s="92"/>
      <c r="H158" s="89"/>
      <c r="I158" s="92"/>
      <c r="J158" s="89"/>
      <c r="K158" s="89"/>
      <c r="L158" s="92"/>
      <c r="M158" s="92"/>
      <c r="N158" s="92"/>
      <c r="O158" s="92"/>
      <c r="P158" s="92"/>
      <c r="Q158" s="92"/>
      <c r="R158" s="89"/>
      <c r="S158" s="89"/>
      <c r="T158" s="89"/>
      <c r="U158" s="51"/>
      <c r="V158" s="89"/>
      <c r="W158" s="112" t="s">
        <v>236</v>
      </c>
      <c r="X158" s="113" t="s">
        <v>237</v>
      </c>
      <c r="Y158" s="113" t="s">
        <v>239</v>
      </c>
      <c r="Z158" s="113" t="s">
        <v>76</v>
      </c>
      <c r="AA158" s="113" t="s">
        <v>77</v>
      </c>
      <c r="AB158" s="114">
        <v>38000</v>
      </c>
      <c r="AC158" s="115" t="s">
        <v>178</v>
      </c>
      <c r="AD158" s="16">
        <f>SUM(AB150:AB158)</f>
        <v>61323</v>
      </c>
    </row>
    <row r="159" spans="1:30" ht="3" customHeight="1" x14ac:dyDescent="0.15">
      <c r="A159" s="51"/>
      <c r="B159" s="51"/>
      <c r="C159" s="51"/>
      <c r="D159" s="51"/>
      <c r="E159" s="51"/>
      <c r="F159" s="93"/>
      <c r="G159" s="51"/>
      <c r="H159" s="51"/>
      <c r="I159" s="51"/>
      <c r="J159" s="51"/>
      <c r="K159" s="51"/>
      <c r="L159" s="51"/>
      <c r="M159" s="51"/>
      <c r="N159" s="51"/>
      <c r="O159" s="51"/>
      <c r="P159" s="51"/>
      <c r="Q159" s="51"/>
      <c r="R159" s="51"/>
      <c r="S159" s="51"/>
      <c r="T159" s="51"/>
      <c r="U159" s="51"/>
      <c r="V159" s="51"/>
      <c r="W159" s="62"/>
      <c r="X159" s="34"/>
      <c r="Y159" s="34"/>
      <c r="Z159" s="34"/>
      <c r="AA159" s="34"/>
      <c r="AB159" s="63"/>
      <c r="AC159" s="64"/>
    </row>
    <row r="160" spans="1:30" x14ac:dyDescent="0.15">
      <c r="A160" s="89"/>
      <c r="B160" s="89"/>
      <c r="C160" s="89"/>
      <c r="D160" s="89"/>
      <c r="E160" s="89"/>
      <c r="F160" s="91"/>
      <c r="G160" s="92"/>
      <c r="H160" s="89"/>
      <c r="I160" s="89"/>
      <c r="J160" s="89"/>
      <c r="K160" s="89"/>
      <c r="L160" s="92"/>
      <c r="M160" s="92"/>
      <c r="N160" s="92"/>
      <c r="O160" s="92"/>
      <c r="P160" s="92"/>
      <c r="Q160" s="92"/>
      <c r="R160" s="89"/>
      <c r="S160" s="89"/>
      <c r="T160" s="89"/>
      <c r="U160" s="51"/>
      <c r="V160" s="89"/>
      <c r="W160" s="76" t="s">
        <v>1771</v>
      </c>
      <c r="X160" s="77" t="s">
        <v>1772</v>
      </c>
      <c r="Y160" s="77" t="s">
        <v>1774</v>
      </c>
      <c r="Z160" s="77" t="s">
        <v>1775</v>
      </c>
      <c r="AA160" s="77" t="s">
        <v>1776</v>
      </c>
      <c r="AB160" s="78">
        <v>200</v>
      </c>
      <c r="AC160" s="79" t="s">
        <v>1759</v>
      </c>
    </row>
    <row r="161" spans="1:29" x14ac:dyDescent="0.15">
      <c r="A161" s="89"/>
      <c r="B161" s="89"/>
      <c r="C161" s="89"/>
      <c r="D161" s="89"/>
      <c r="E161" s="89"/>
      <c r="F161" s="91"/>
      <c r="G161" s="92"/>
      <c r="H161" s="89"/>
      <c r="I161" s="92"/>
      <c r="J161" s="92"/>
      <c r="K161" s="92"/>
      <c r="L161" s="92"/>
      <c r="M161" s="92"/>
      <c r="N161" s="92"/>
      <c r="O161" s="92"/>
      <c r="P161" s="92"/>
      <c r="Q161" s="92"/>
      <c r="R161" s="89"/>
      <c r="S161" s="89"/>
      <c r="T161" s="89"/>
      <c r="U161" s="51"/>
      <c r="V161" s="89"/>
      <c r="W161" s="85" t="s">
        <v>3141</v>
      </c>
      <c r="X161" s="86" t="s">
        <v>3142</v>
      </c>
      <c r="Y161" s="86" t="s">
        <v>3144</v>
      </c>
      <c r="Z161" s="86" t="s">
        <v>1775</v>
      </c>
      <c r="AA161" s="86" t="s">
        <v>1776</v>
      </c>
      <c r="AB161" s="87">
        <v>6000</v>
      </c>
      <c r="AC161" s="88" t="s">
        <v>3134</v>
      </c>
    </row>
    <row r="162" spans="1:29" ht="3" customHeight="1" x14ac:dyDescent="0.15">
      <c r="A162" s="51"/>
      <c r="B162" s="51"/>
      <c r="C162" s="51"/>
      <c r="D162" s="51"/>
      <c r="E162" s="51"/>
      <c r="F162" s="93"/>
      <c r="G162" s="51"/>
      <c r="H162" s="51"/>
      <c r="I162" s="51"/>
      <c r="J162" s="51"/>
      <c r="K162" s="51"/>
      <c r="L162" s="51"/>
      <c r="M162" s="51"/>
      <c r="N162" s="51"/>
      <c r="O162" s="51"/>
      <c r="P162" s="51"/>
      <c r="Q162" s="51"/>
      <c r="R162" s="51"/>
      <c r="S162" s="51"/>
      <c r="T162" s="51"/>
      <c r="U162" s="51"/>
      <c r="V162" s="51"/>
      <c r="W162" s="62"/>
      <c r="X162" s="34"/>
      <c r="Y162" s="34"/>
      <c r="Z162" s="34"/>
      <c r="AA162" s="34"/>
      <c r="AB162" s="63"/>
      <c r="AC162" s="64"/>
    </row>
    <row r="163" spans="1:29" ht="14" thickBot="1" x14ac:dyDescent="0.2">
      <c r="A163" s="89"/>
      <c r="B163" s="89"/>
      <c r="C163" s="89"/>
      <c r="D163" s="89"/>
      <c r="E163" s="89"/>
      <c r="F163" s="91"/>
      <c r="G163" s="92"/>
      <c r="H163" s="92"/>
      <c r="I163" s="92"/>
      <c r="J163" s="92"/>
      <c r="K163" s="89"/>
      <c r="L163" s="92"/>
      <c r="M163" s="92"/>
      <c r="N163" s="92"/>
      <c r="O163" s="92"/>
      <c r="P163" s="92"/>
      <c r="Q163" s="92"/>
      <c r="R163" s="89"/>
      <c r="S163" s="89"/>
      <c r="T163" s="89"/>
      <c r="U163" s="51"/>
      <c r="V163" s="89"/>
      <c r="W163" s="120" t="s">
        <v>3972</v>
      </c>
      <c r="X163" s="121" t="s">
        <v>3973</v>
      </c>
      <c r="Y163" s="121" t="s">
        <v>3975</v>
      </c>
      <c r="Z163" s="121" t="s">
        <v>3887</v>
      </c>
      <c r="AA163" s="121" t="s">
        <v>3888</v>
      </c>
      <c r="AB163" s="122">
        <v>700114</v>
      </c>
      <c r="AC163" s="123" t="s">
        <v>3976</v>
      </c>
    </row>
    <row r="164" spans="1:29" x14ac:dyDescent="0.15">
      <c r="W164" s="51"/>
      <c r="X164" s="51"/>
      <c r="Y164" s="51"/>
      <c r="Z164" s="51"/>
      <c r="AA164" s="51"/>
      <c r="AB164" s="51"/>
    </row>
  </sheetData>
  <hyperlinks>
    <hyperlink ref="E3" r:id="rId1" xr:uid="{FD2C42DD-BEAB-F24C-BE17-68DB6C9A5929}"/>
    <hyperlink ref="E4" r:id="rId2" xr:uid="{EA3DA17E-D9EE-C34E-9A78-E5D09D245889}"/>
    <hyperlink ref="E5" r:id="rId3" xr:uid="{6E5EA8DD-024F-5642-9120-05E73BBB4AD0}"/>
    <hyperlink ref="E6" r:id="rId4" xr:uid="{7B68239E-3EA9-B840-8A21-D760AD3A86D3}"/>
    <hyperlink ref="E7" r:id="rId5" xr:uid="{8D25DFBF-3689-844E-A83E-A55B0434383F}"/>
    <hyperlink ref="E8" r:id="rId6" xr:uid="{122D2A6F-AB77-C54D-89B0-B8F21A1CFB7F}"/>
    <hyperlink ref="E11" r:id="rId7" xr:uid="{A3F991A4-DD9E-CA4D-9666-08865A912CBF}"/>
    <hyperlink ref="E12" r:id="rId8" xr:uid="{FAD98531-4F35-4B4E-AC74-3D652C32879B}"/>
    <hyperlink ref="E13" r:id="rId9" xr:uid="{B1235BDF-AAE9-DF44-81A8-91B10E75EEE6}"/>
    <hyperlink ref="E15" r:id="rId10" xr:uid="{35DEA526-C3CE-7E4D-A857-0F8EEB975D04}"/>
    <hyperlink ref="E16" r:id="rId11" xr:uid="{385C5259-23B4-6146-B0E9-622ED34BC6F4}"/>
    <hyperlink ref="E17" r:id="rId12" xr:uid="{CCD468DA-7D1E-F840-AFC1-D8CB0B9D3D6D}"/>
    <hyperlink ref="E20" r:id="rId13" xr:uid="{F6859144-7690-0349-BA56-A5EF610B2E5E}"/>
    <hyperlink ref="E19" r:id="rId14" xr:uid="{FFA4AF5B-AF24-A04B-9529-E19FB43992BF}"/>
    <hyperlink ref="E21" r:id="rId15" xr:uid="{97892DCA-50E7-5241-9B8B-84CF01A5F010}"/>
    <hyperlink ref="E22" r:id="rId16" xr:uid="{429AAFCD-AD0C-1B40-99EB-A3C28A775D00}"/>
    <hyperlink ref="E23" r:id="rId17" xr:uid="{F32939BB-D36F-FC4D-B808-9A5F694F33FA}"/>
    <hyperlink ref="E24" r:id="rId18" xr:uid="{4B7D3246-C393-0541-8C2E-BCBE74B2A3E7}"/>
    <hyperlink ref="E25" r:id="rId19" xr:uid="{D06BB184-3106-3A41-BCC5-EAF74C2D729C}"/>
    <hyperlink ref="AC150" r:id="rId20" xr:uid="{0C1EA9ED-07F9-B44A-A31B-E62E3EBD9219}"/>
    <hyperlink ref="AC151" r:id="rId21" xr:uid="{99CC81D5-0D86-C642-9950-C2D00C3B0F35}"/>
    <hyperlink ref="AC152" r:id="rId22" xr:uid="{B6804403-248B-9843-9DD2-7BD60A92A053}"/>
    <hyperlink ref="AC153" r:id="rId23" xr:uid="{FAED378E-A951-8942-9A50-1A61FBA24A9F}"/>
    <hyperlink ref="AC154" r:id="rId24" xr:uid="{973E6A71-9930-EB46-B376-B10E7AE56CF7}"/>
    <hyperlink ref="AC155" r:id="rId25" xr:uid="{42766CEF-EDE3-7140-B984-05E2AB59A2DF}"/>
    <hyperlink ref="AC156" r:id="rId26" xr:uid="{FFE8FC22-ECB8-214A-9781-7DEB8EB1F064}"/>
    <hyperlink ref="AC157" r:id="rId27" xr:uid="{F458C25B-11A6-D845-B0C9-69E33E24102D}"/>
    <hyperlink ref="AC158" r:id="rId28" xr:uid="{D5DF729C-B39F-CE45-A9CC-89AB1A9CDA02}"/>
    <hyperlink ref="AC81" r:id="rId29" xr:uid="{C4EDDBB8-3EC7-9147-BB0B-BDAC0BD828E0}"/>
    <hyperlink ref="AC82" r:id="rId30" xr:uid="{B5661408-F649-BE4E-A571-5CB70F179745}"/>
    <hyperlink ref="AC83" r:id="rId31" xr:uid="{38B1FE9D-4011-6946-858B-AFB8BE5B4E09}"/>
    <hyperlink ref="AC99" r:id="rId32" xr:uid="{03D29A00-7B25-A545-9C3E-E0E2CB12AE53}"/>
    <hyperlink ref="AC100" r:id="rId33" xr:uid="{020039C3-1A28-7C40-933B-50BC06FD86AB}"/>
    <hyperlink ref="AC101" r:id="rId34" xr:uid="{8AAABF69-07CB-0B4E-8ED8-DE488BFE285F}"/>
    <hyperlink ref="AC102" r:id="rId35" xr:uid="{DAB35D37-5F64-5149-8667-5D47899CDBF4}"/>
    <hyperlink ref="AC103" r:id="rId36" xr:uid="{3F760A14-4108-304A-8B02-47F7B6FF4254}"/>
    <hyperlink ref="AC104" r:id="rId37" xr:uid="{C71A5E5B-1DA4-8445-8844-23028226DFA0}"/>
    <hyperlink ref="AC105" r:id="rId38" xr:uid="{6610CB52-1BB2-C548-A395-76AEF3273093}"/>
    <hyperlink ref="AC106" r:id="rId39" xr:uid="{CDFFF93E-310A-334C-98BB-D491C11EE7E6}"/>
    <hyperlink ref="AC107" r:id="rId40" xr:uid="{26A247F6-DDB9-F648-8D9D-ECDE84DD5A33}"/>
    <hyperlink ref="AC108" r:id="rId41" xr:uid="{CBAA17C0-E0C2-1C41-A52A-3D1DF363A66A}"/>
    <hyperlink ref="AC109" r:id="rId42" xr:uid="{05BDF98C-B881-2341-AE5E-9C5C72A39F7B}"/>
    <hyperlink ref="AC110" r:id="rId43" xr:uid="{78189633-F97A-5944-95A2-1FA43F624859}"/>
    <hyperlink ref="AC111" r:id="rId44" xr:uid="{38F68188-BF9E-6F49-9880-70C25D0C7CB5}"/>
    <hyperlink ref="AC112" r:id="rId45" xr:uid="{4E35A3BF-5045-3146-B381-9501308E292C}"/>
    <hyperlink ref="AC113" r:id="rId46" xr:uid="{E053218E-BB2A-9243-BCF2-8D069D4FFD75}"/>
    <hyperlink ref="AC114" r:id="rId47" xr:uid="{7CF18A37-EF8F-1042-A673-56DD664C2277}"/>
    <hyperlink ref="AC115" r:id="rId48" xr:uid="{3B20080A-F9B0-5C4B-A866-804F29BB0B3C}"/>
    <hyperlink ref="AC116" r:id="rId49" xr:uid="{4D1355E0-6EF5-9E42-9AA0-16CE88CBBEF7}"/>
    <hyperlink ref="AC117" r:id="rId50" xr:uid="{DC86FA03-EF3F-B746-84C2-0159151329F5}"/>
    <hyperlink ref="AC118" r:id="rId51" xr:uid="{B619D2AE-3E1B-C545-B246-C05157D96410}"/>
    <hyperlink ref="AC119" r:id="rId52" xr:uid="{F22EFEAA-5E05-6546-8A42-A7049B0B98FD}"/>
    <hyperlink ref="AC31" r:id="rId53" xr:uid="{AF16EA75-1593-A14C-AACC-3710D03A75E7}"/>
    <hyperlink ref="AC94" r:id="rId54" display="saskia.klaassen@bl.ch" xr:uid="{C0E69FE7-AE00-6541-B4EE-D9B2C7A057A1}"/>
    <hyperlink ref="AC95" r:id="rId55" display="saskia.klaassen@bl.ch" xr:uid="{FD75A876-5F4C-E840-9956-0EBFB898A825}"/>
    <hyperlink ref="AC121" r:id="rId56" xr:uid="{336DB764-7212-0945-8643-B7CA2A1E87E2}"/>
    <hyperlink ref="AC122" r:id="rId57" xr:uid="{3E23F1AE-96D8-7C45-9836-D1CEA168C4F3}"/>
    <hyperlink ref="AC123" r:id="rId58" xr:uid="{22A6D67D-F092-1446-B50D-C33ACDC49DDF}"/>
    <hyperlink ref="AC124" r:id="rId59" xr:uid="{64CCD181-46D1-4846-B658-B298225F0E6B}"/>
    <hyperlink ref="AC125" r:id="rId60" xr:uid="{BA69D9F5-E991-9448-87AB-676A4CD8AF7D}"/>
    <hyperlink ref="AC126" r:id="rId61" xr:uid="{493A68F5-AF71-F340-B4FF-0A8DA36D840F}"/>
    <hyperlink ref="AC127" r:id="rId62" xr:uid="{4071EDBE-5065-5443-8A51-1E670513E06E}"/>
    <hyperlink ref="AC78" r:id="rId63" xr:uid="{A5CD5E1C-B87B-0845-B749-D9BABF33EB54}"/>
    <hyperlink ref="AC160" r:id="rId64" xr:uid="{2145AFC5-728B-E84E-BA4F-1E7C0466C18B}"/>
    <hyperlink ref="AC131" r:id="rId65" xr:uid="{C0C9112B-E569-EF4D-98BF-E567DC2A9D89}"/>
    <hyperlink ref="AC132" r:id="rId66" xr:uid="{BED233A8-A6C0-C740-9AD1-12E970D6A08D}"/>
    <hyperlink ref="AC133" r:id="rId67" xr:uid="{4AF6F011-5ACE-7448-AB5A-8A5A03282B91}"/>
    <hyperlink ref="AC143" r:id="rId68" xr:uid="{84247183-6E33-7B4A-AA07-20F4B76AB307}"/>
    <hyperlink ref="AC144" r:id="rId69" xr:uid="{9AC63BF6-706E-1C42-A391-BC9D5F6494DE}"/>
    <hyperlink ref="AC140" r:id="rId70" xr:uid="{D908635A-95DD-0D41-9FBF-3C2409C1AB4D}"/>
    <hyperlink ref="AC141" r:id="rId71" xr:uid="{6D766C29-6116-3048-9EED-9EED4E26D8A2}"/>
    <hyperlink ref="AC129" r:id="rId72" xr:uid="{C4267CEB-C809-204C-A0E1-38FBD85FCDA7}"/>
    <hyperlink ref="AC85" r:id="rId73" xr:uid="{4EBDB27E-8F86-6348-B609-FACC1D097727}"/>
    <hyperlink ref="AC86" r:id="rId74" xr:uid="{0171C2E1-BAE4-5449-A20B-135F520ADD8D}"/>
    <hyperlink ref="AC87" r:id="rId75" xr:uid="{4F63B891-EB40-DB40-9C7E-2B1AF568F48C}"/>
    <hyperlink ref="AC88" r:id="rId76" xr:uid="{4DF8B618-41E2-CC43-BF5D-A4DBCEF007EC}"/>
    <hyperlink ref="AC89" r:id="rId77" xr:uid="{6F797D52-7C40-214B-9898-312335CA69D3}"/>
    <hyperlink ref="AC90" r:id="rId78" xr:uid="{8C427EDC-0BCD-2242-8A53-88A350E19FAF}"/>
    <hyperlink ref="AC91" r:id="rId79" xr:uid="{CA731138-9D14-534E-84E7-A4D4F5F7952A}"/>
    <hyperlink ref="AC92" r:id="rId80" xr:uid="{DFA122EA-C889-9A47-81EB-FD839F16E879}"/>
    <hyperlink ref="AC28" r:id="rId81" xr:uid="{6C451A38-8886-1244-98F8-48E23A2F1428}"/>
    <hyperlink ref="AC29" r:id="rId82" xr:uid="{492F59B8-1274-F647-B1E7-EF6BC97C994C}"/>
    <hyperlink ref="AC51" r:id="rId83" xr:uid="{C80C20A2-B42E-0649-944A-70FF8E79480C}"/>
    <hyperlink ref="AC52" r:id="rId84" xr:uid="{A309E418-6D3B-4248-A3F1-E317E02BCDF8}"/>
    <hyperlink ref="AC53" r:id="rId85" xr:uid="{6DD7C7AC-9005-9647-801A-493135946AFD}"/>
    <hyperlink ref="AC54" r:id="rId86" xr:uid="{F0836E66-7BE9-E640-A1AC-6F608FF7822D}"/>
    <hyperlink ref="AC55" r:id="rId87" xr:uid="{5DEECED4-318D-E946-BD19-9FEE066A893B}"/>
    <hyperlink ref="AC56" r:id="rId88" xr:uid="{6893F2E4-43AC-4F4C-8F3E-63440C424A9D}"/>
    <hyperlink ref="AC57" r:id="rId89" xr:uid="{0C21911B-E449-BE4C-AA9F-889B8D9EF818}"/>
    <hyperlink ref="AC58" r:id="rId90" xr:uid="{C8DF8B3A-CF26-1042-A04E-418C34F57B08}"/>
    <hyperlink ref="AC59" r:id="rId91" xr:uid="{F5A7399D-6ACC-AB46-9397-BAE029C6B2B2}"/>
    <hyperlink ref="AC60" r:id="rId92" xr:uid="{23B5F179-EE6A-C046-9922-54258921E2A8}"/>
    <hyperlink ref="AC61" r:id="rId93" xr:uid="{B97A4840-BBFA-D44E-B869-42E722AF35CD}"/>
    <hyperlink ref="AC62" r:id="rId94" xr:uid="{B73F6328-BE57-AB4F-AF20-D8C8373042D5}"/>
    <hyperlink ref="AC63" r:id="rId95" xr:uid="{6015E5E4-56CC-6C4C-980F-9643CAC64205}"/>
    <hyperlink ref="AC64" r:id="rId96" xr:uid="{B9F470DD-4B4E-A242-BCCD-BAEEC3B8152D}"/>
    <hyperlink ref="AC65" r:id="rId97" xr:uid="{57570F3B-FA15-EE4F-A9D7-FB38B557126F}"/>
    <hyperlink ref="AC66" r:id="rId98" xr:uid="{01B197CF-55C6-1445-A7CB-E3E51FD7B132}"/>
    <hyperlink ref="AC67" r:id="rId99" xr:uid="{9DFA7C03-15EB-6E44-A579-7FA92484EA5D}"/>
    <hyperlink ref="AC68" r:id="rId100" xr:uid="{9E1ECA41-67B6-1548-81E2-5C7AE4E5283F}"/>
    <hyperlink ref="AC69" r:id="rId101" xr:uid="{0A8C4869-C294-7A42-8CDD-613A8BD371C7}"/>
    <hyperlink ref="AC70" r:id="rId102" xr:uid="{6C1503C1-B516-EE47-B8A5-1715D455DD85}"/>
    <hyperlink ref="AC71" r:id="rId103" xr:uid="{4E70B2C6-A86D-804D-83B6-721711268FF0}"/>
    <hyperlink ref="AC72" r:id="rId104" xr:uid="{F8AB0953-F6C8-6D4F-B44A-0136454A2852}"/>
    <hyperlink ref="AC73" r:id="rId105" xr:uid="{5551E154-5453-804D-A3E7-EB79464A8CC9}"/>
    <hyperlink ref="AC74" r:id="rId106" xr:uid="{B590FF1E-84FE-A44F-AF43-674D5DEB1F0C}"/>
    <hyperlink ref="AC75" r:id="rId107" xr:uid="{F13D8185-CDC2-2643-AC20-1B75DCA07D08}"/>
    <hyperlink ref="AC76" r:id="rId108" xr:uid="{431E0751-8E0F-D64B-BF1F-E0756EBD2F98}"/>
    <hyperlink ref="AC161" r:id="rId109" xr:uid="{7565D2C3-2A2A-8748-B0CD-F955199FF2A9}"/>
    <hyperlink ref="AC134" r:id="rId110" xr:uid="{C4CB3FD1-8792-C44A-A58A-0EE7C18EF652}"/>
    <hyperlink ref="AC42" r:id="rId111" xr:uid="{85695EC9-CADD-D040-B666-02BFCAC4EFB9}"/>
    <hyperlink ref="AC44" r:id="rId112" xr:uid="{A39D1B0C-E4FF-6445-B359-BDC81EE159F2}"/>
    <hyperlink ref="AC45" r:id="rId113" xr:uid="{8C696810-8C19-E044-94FA-B17A458FA81F}"/>
    <hyperlink ref="AC146" r:id="rId114" xr:uid="{981B84A6-8B28-714F-A1EA-289A3A5E5BB9}"/>
    <hyperlink ref="AC147" r:id="rId115" xr:uid="{09252302-D4B3-BE4C-8B86-BA5B5173F679}"/>
    <hyperlink ref="AC47" r:id="rId116" xr:uid="{10E796C6-1579-DC4E-B6BA-98061FD14C75}"/>
    <hyperlink ref="AC48" r:id="rId117" xr:uid="{3C89CF85-9440-C844-8B72-88112C6DB3DA}"/>
    <hyperlink ref="AC49" r:id="rId118" xr:uid="{D1DC7701-8109-4047-AC98-5C2482D43F23}"/>
    <hyperlink ref="AC136" r:id="rId119" xr:uid="{61F8F887-79B9-7E4C-93F5-6C5FF03FAFF9}"/>
    <hyperlink ref="AC137" r:id="rId120" xr:uid="{7F3E3A42-B669-AF49-811A-B20427BBA6C4}"/>
    <hyperlink ref="AC138" r:id="rId121" xr:uid="{A6CC012D-523C-EA4E-B836-A963E46DE841}"/>
    <hyperlink ref="AC33" r:id="rId122" xr:uid="{50E78E99-526D-3B41-9F3F-401146E53D11}"/>
    <hyperlink ref="AC34" r:id="rId123" xr:uid="{A22644E5-B8C3-644B-AC6D-FBCA8C553498}"/>
    <hyperlink ref="AC35" r:id="rId124" xr:uid="{A6B40481-48F4-F14B-A04B-F5282814EB69}"/>
    <hyperlink ref="AC36" r:id="rId125" xr:uid="{2850AF19-95E7-9F45-A05D-C143A0958163}"/>
    <hyperlink ref="AC37" r:id="rId126" xr:uid="{83120E06-FD95-144B-87FD-B4E0221FCE63}"/>
    <hyperlink ref="AC38" r:id="rId127" xr:uid="{7B61EAFF-3845-264A-9EC6-FC695FA65F76}"/>
    <hyperlink ref="AC39" r:id="rId128" xr:uid="{D89777C7-6980-ED4D-9A5C-6E5A79050ECB}"/>
    <hyperlink ref="AC40" r:id="rId129" xr:uid="{FF8FAE6F-1CF9-0E46-BAFE-1D5D2ACF4BFA}"/>
    <hyperlink ref="AC148" r:id="rId130" xr:uid="{6863A3B5-38A9-F546-BD38-EE6AEB4548AC}"/>
    <hyperlink ref="AC163" r:id="rId131" xr:uid="{A09BA800-D4AA-ED4E-A7B6-8413BF4DE63E}"/>
    <hyperlink ref="E18" r:id="rId132" xr:uid="{076DA5AC-63FA-BB4F-8198-7127508041D1}"/>
    <hyperlink ref="E9" r:id="rId133" xr:uid="{65F71ECD-C69F-604A-B495-E1BBB30340E2}"/>
    <hyperlink ref="E10" r:id="rId134" xr:uid="{15184D70-54AC-8746-BA56-F849F8030BFD}"/>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Blatt 1 - CH-collections</vt:lpstr>
      <vt:lpstr>Earth sciences and Paleo</vt:lpstr>
      <vt:lpstr>Earth sciences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Pia Stieger</cp:lastModifiedBy>
  <dcterms:created xsi:type="dcterms:W3CDTF">2026-05-12T13:00:32Z</dcterms:created>
  <dcterms:modified xsi:type="dcterms:W3CDTF">2026-05-12T13:04:26Z</dcterms:modified>
</cp:coreProperties>
</file>